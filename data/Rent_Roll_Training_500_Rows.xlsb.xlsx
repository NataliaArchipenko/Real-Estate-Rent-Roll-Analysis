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bbqberlin-my.sharepoint.com/personal/n_archipenko_edu_bbq_de/Documents/Desktop/Rent_Roll/"/>
    </mc:Choice>
  </mc:AlternateContent>
  <xr:revisionPtr revIDLastSave="144" documentId="13_ncr:1_{6A508ADC-26B9-4AE9-B9BC-837322A52220}" xr6:coauthVersionLast="47" xr6:coauthVersionMax="47" xr10:uidLastSave="{83C9499B-0DEF-4B02-ACE8-F3B300211427}"/>
  <bookViews>
    <workbookView xWindow="-110" yWindow="-110" windowWidth="19420" windowHeight="10300" activeTab="1" xr2:uid="{00000000-000D-0000-FFFF-FFFF00000000}"/>
  </bookViews>
  <sheets>
    <sheet name="Rent_Roll_Data" sheetId="1" r:id="rId1"/>
    <sheet name="1_KPIs_Pivot" sheetId="10" r:id="rId2"/>
    <sheet name="Dashboard" sheetId="15" r:id="rId3"/>
    <sheet name="2_Portfolio_An_Rent" sheetId="11" r:id="rId4"/>
    <sheet name="3_Occupancy by Property" sheetId="12" r:id="rId5"/>
    <sheet name="4_Lease_Expiry_Schedule" sheetId="13" r:id="rId6"/>
    <sheet name="Top_Tenants" sheetId="14" r:id="rId7"/>
    <sheet name="An_RENT_pivot" sheetId="7" r:id="rId8"/>
    <sheet name="Monatly_Rent_Pivot" sheetId="9" r:id="rId9"/>
  </sheets>
  <definedNames>
    <definedName name="Datenschnitt_Property">#N/A</definedName>
    <definedName name="Datenschnitt_Property1">#N/A</definedName>
    <definedName name="Datenschnitt_Status">#N/A</definedName>
    <definedName name="Datenschnitt_Status1">#N/A</definedName>
    <definedName name="Datenschnitt_Unit_Type">#N/A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21" i="1" l="1"/>
  <c r="B2" i="15"/>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3" i="1"/>
  <c r="V7" i="1"/>
  <c r="V18" i="1"/>
  <c r="V22" i="1"/>
  <c r="V27" i="1"/>
  <c r="V28" i="1"/>
  <c r="V38" i="1"/>
  <c r="V40" i="1"/>
  <c r="V53" i="1"/>
  <c r="V56" i="1"/>
  <c r="V61" i="1"/>
  <c r="V74" i="1"/>
  <c r="V76" i="1"/>
  <c r="V86" i="1"/>
  <c r="V89" i="1"/>
  <c r="V96" i="1"/>
  <c r="V101" i="1"/>
  <c r="V109" i="1"/>
  <c r="V121" i="1"/>
  <c r="V131" i="1"/>
  <c r="V136" i="1"/>
  <c r="V140" i="1"/>
  <c r="V158" i="1"/>
  <c r="V169" i="1"/>
  <c r="V180" i="1"/>
  <c r="V188" i="1"/>
  <c r="V190" i="1"/>
  <c r="V200" i="1"/>
  <c r="V209" i="1"/>
  <c r="V229" i="1"/>
  <c r="V232" i="1"/>
  <c r="V239" i="1"/>
  <c r="V250" i="1"/>
  <c r="V269" i="1"/>
  <c r="V284" i="1"/>
  <c r="V299" i="1"/>
  <c r="V311" i="1"/>
  <c r="V317" i="1"/>
  <c r="V324" i="1"/>
  <c r="V328" i="1"/>
  <c r="V329" i="1"/>
  <c r="V337" i="1"/>
  <c r="V343" i="1"/>
  <c r="V354" i="1"/>
  <c r="V361" i="1"/>
  <c r="V373" i="1"/>
  <c r="V377" i="1"/>
  <c r="V386" i="1"/>
  <c r="V396" i="1"/>
  <c r="V410" i="1"/>
  <c r="V422" i="1"/>
  <c r="V426" i="1"/>
  <c r="V427" i="1"/>
  <c r="V436" i="1"/>
  <c r="V437" i="1"/>
  <c r="V438" i="1"/>
  <c r="V444" i="1"/>
  <c r="V449" i="1"/>
  <c r="V450" i="1"/>
  <c r="V451" i="1"/>
  <c r="V454" i="1"/>
  <c r="V455" i="1"/>
  <c r="V457" i="1"/>
  <c r="V460" i="1"/>
  <c r="V461" i="1"/>
  <c r="V475" i="1"/>
  <c r="V486" i="1"/>
  <c r="V495" i="1"/>
  <c r="V496" i="1"/>
  <c r="U3" i="1"/>
  <c r="Y3" i="1" s="1"/>
  <c r="U4" i="1"/>
  <c r="V4" i="1" s="1"/>
  <c r="U5" i="1"/>
  <c r="V5" i="1" s="1"/>
  <c r="U6" i="1"/>
  <c r="V6" i="1" s="1"/>
  <c r="U7" i="1"/>
  <c r="Y7" i="1" s="1"/>
  <c r="U8" i="1"/>
  <c r="V8" i="1" s="1"/>
  <c r="U9" i="1"/>
  <c r="V9" i="1" s="1"/>
  <c r="U10" i="1"/>
  <c r="V10" i="1" s="1"/>
  <c r="U11" i="1"/>
  <c r="V11" i="1" s="1"/>
  <c r="U12" i="1"/>
  <c r="V12" i="1" s="1"/>
  <c r="U13" i="1"/>
  <c r="V13" i="1" s="1"/>
  <c r="U14" i="1"/>
  <c r="V14" i="1" s="1"/>
  <c r="U15" i="1"/>
  <c r="V15" i="1" s="1"/>
  <c r="U16" i="1"/>
  <c r="V16" i="1" s="1"/>
  <c r="U17" i="1"/>
  <c r="V17" i="1" s="1"/>
  <c r="U18" i="1"/>
  <c r="Y18" i="1" s="1"/>
  <c r="U19" i="1"/>
  <c r="V19" i="1" s="1"/>
  <c r="U20" i="1"/>
  <c r="V20" i="1" s="1"/>
  <c r="U21" i="1"/>
  <c r="V21" i="1" s="1"/>
  <c r="U22" i="1"/>
  <c r="Y22" i="1" s="1"/>
  <c r="U23" i="1"/>
  <c r="V23" i="1" s="1"/>
  <c r="U24" i="1"/>
  <c r="V24" i="1" s="1"/>
  <c r="U25" i="1"/>
  <c r="V25" i="1" s="1"/>
  <c r="U26" i="1"/>
  <c r="V26" i="1" s="1"/>
  <c r="U27" i="1"/>
  <c r="Y27" i="1" s="1"/>
  <c r="U28" i="1"/>
  <c r="Y28" i="1" s="1"/>
  <c r="U29" i="1"/>
  <c r="V29" i="1" s="1"/>
  <c r="U30" i="1"/>
  <c r="V30" i="1" s="1"/>
  <c r="U31" i="1"/>
  <c r="V31" i="1" s="1"/>
  <c r="U32" i="1"/>
  <c r="V32" i="1" s="1"/>
  <c r="U33" i="1"/>
  <c r="V33" i="1" s="1"/>
  <c r="U34" i="1"/>
  <c r="V34" i="1" s="1"/>
  <c r="U35" i="1"/>
  <c r="V35" i="1" s="1"/>
  <c r="U36" i="1"/>
  <c r="V36" i="1" s="1"/>
  <c r="U37" i="1"/>
  <c r="V37" i="1" s="1"/>
  <c r="U38" i="1"/>
  <c r="Y38" i="1" s="1"/>
  <c r="U39" i="1"/>
  <c r="V39" i="1" s="1"/>
  <c r="U40" i="1"/>
  <c r="Y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Y53" i="1" s="1"/>
  <c r="U54" i="1"/>
  <c r="V54" i="1" s="1"/>
  <c r="U55" i="1"/>
  <c r="V55" i="1" s="1"/>
  <c r="U56" i="1"/>
  <c r="Y56" i="1" s="1"/>
  <c r="U57" i="1"/>
  <c r="V57" i="1" s="1"/>
  <c r="U58" i="1"/>
  <c r="V58" i="1" s="1"/>
  <c r="U59" i="1"/>
  <c r="V59" i="1" s="1"/>
  <c r="U60" i="1"/>
  <c r="V60" i="1" s="1"/>
  <c r="U61" i="1"/>
  <c r="Y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Y74" i="1" s="1"/>
  <c r="U75" i="1"/>
  <c r="V75" i="1" s="1"/>
  <c r="U76" i="1"/>
  <c r="Y76" i="1" s="1"/>
  <c r="U77" i="1"/>
  <c r="V77" i="1" s="1"/>
  <c r="U78" i="1"/>
  <c r="V78" i="1" s="1"/>
  <c r="U79" i="1"/>
  <c r="V79" i="1" s="1"/>
  <c r="U80" i="1"/>
  <c r="V80" i="1" s="1"/>
  <c r="U81" i="1"/>
  <c r="V81" i="1" s="1"/>
  <c r="U82" i="1"/>
  <c r="V82" i="1" s="1"/>
  <c r="U83" i="1"/>
  <c r="V83" i="1" s="1"/>
  <c r="U84" i="1"/>
  <c r="V84" i="1" s="1"/>
  <c r="U85" i="1"/>
  <c r="V85" i="1" s="1"/>
  <c r="U86" i="1"/>
  <c r="Y86" i="1" s="1"/>
  <c r="U87" i="1"/>
  <c r="V87" i="1" s="1"/>
  <c r="U88" i="1"/>
  <c r="V88" i="1" s="1"/>
  <c r="U89" i="1"/>
  <c r="Y89" i="1" s="1"/>
  <c r="U90" i="1"/>
  <c r="V90" i="1" s="1"/>
  <c r="U91" i="1"/>
  <c r="V91" i="1" s="1"/>
  <c r="U92" i="1"/>
  <c r="V92" i="1" s="1"/>
  <c r="U93" i="1"/>
  <c r="V93" i="1" s="1"/>
  <c r="U94" i="1"/>
  <c r="V94" i="1" s="1"/>
  <c r="U95" i="1"/>
  <c r="V95" i="1" s="1"/>
  <c r="U96" i="1"/>
  <c r="Y96" i="1" s="1"/>
  <c r="U97" i="1"/>
  <c r="V97" i="1" s="1"/>
  <c r="U98" i="1"/>
  <c r="V98" i="1" s="1"/>
  <c r="U99" i="1"/>
  <c r="V99" i="1" s="1"/>
  <c r="U100" i="1"/>
  <c r="V100" i="1" s="1"/>
  <c r="U101" i="1"/>
  <c r="Y101" i="1" s="1"/>
  <c r="U102" i="1"/>
  <c r="V102" i="1" s="1"/>
  <c r="U103" i="1"/>
  <c r="V103" i="1" s="1"/>
  <c r="U104" i="1"/>
  <c r="V104" i="1" s="1"/>
  <c r="U105" i="1"/>
  <c r="V105" i="1" s="1"/>
  <c r="U106" i="1"/>
  <c r="V106" i="1" s="1"/>
  <c r="U107" i="1"/>
  <c r="V107" i="1" s="1"/>
  <c r="U108" i="1"/>
  <c r="V108" i="1" s="1"/>
  <c r="U109" i="1"/>
  <c r="Y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Y121" i="1" s="1"/>
  <c r="U122" i="1"/>
  <c r="V122" i="1" s="1"/>
  <c r="U123" i="1"/>
  <c r="V123" i="1" s="1"/>
  <c r="U124" i="1"/>
  <c r="V124" i="1" s="1"/>
  <c r="U125" i="1"/>
  <c r="V125" i="1" s="1"/>
  <c r="U126" i="1"/>
  <c r="V126" i="1" s="1"/>
  <c r="U127" i="1"/>
  <c r="V127" i="1" s="1"/>
  <c r="U128" i="1"/>
  <c r="V128" i="1" s="1"/>
  <c r="U129" i="1"/>
  <c r="V129" i="1" s="1"/>
  <c r="U130" i="1"/>
  <c r="V130" i="1" s="1"/>
  <c r="U131" i="1"/>
  <c r="Y131" i="1" s="1"/>
  <c r="U132" i="1"/>
  <c r="V132" i="1" s="1"/>
  <c r="U133" i="1"/>
  <c r="V133" i="1" s="1"/>
  <c r="U134" i="1"/>
  <c r="V134" i="1" s="1"/>
  <c r="U135" i="1"/>
  <c r="V135" i="1" s="1"/>
  <c r="U136" i="1"/>
  <c r="Y136" i="1" s="1"/>
  <c r="U137" i="1"/>
  <c r="V137" i="1" s="1"/>
  <c r="U138" i="1"/>
  <c r="V138" i="1" s="1"/>
  <c r="U139" i="1"/>
  <c r="V139" i="1" s="1"/>
  <c r="U140" i="1"/>
  <c r="Y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Y158" i="1" s="1"/>
  <c r="U159" i="1"/>
  <c r="V159" i="1" s="1"/>
  <c r="U160" i="1"/>
  <c r="V160" i="1" s="1"/>
  <c r="U161" i="1"/>
  <c r="V161" i="1" s="1"/>
  <c r="U162" i="1"/>
  <c r="V162" i="1" s="1"/>
  <c r="U163" i="1"/>
  <c r="V163" i="1" s="1"/>
  <c r="U164" i="1"/>
  <c r="V164" i="1" s="1"/>
  <c r="U165" i="1"/>
  <c r="V165" i="1" s="1"/>
  <c r="U166" i="1"/>
  <c r="V166" i="1" s="1"/>
  <c r="U167" i="1"/>
  <c r="V167" i="1" s="1"/>
  <c r="U168" i="1"/>
  <c r="V168" i="1" s="1"/>
  <c r="U169" i="1"/>
  <c r="Y169" i="1" s="1"/>
  <c r="U170" i="1"/>
  <c r="V170" i="1" s="1"/>
  <c r="U171" i="1"/>
  <c r="V171" i="1" s="1"/>
  <c r="U172" i="1"/>
  <c r="V172" i="1" s="1"/>
  <c r="U173" i="1"/>
  <c r="V173" i="1" s="1"/>
  <c r="U174" i="1"/>
  <c r="V174" i="1" s="1"/>
  <c r="U175" i="1"/>
  <c r="V175" i="1" s="1"/>
  <c r="U176" i="1"/>
  <c r="V176" i="1" s="1"/>
  <c r="U177" i="1"/>
  <c r="V177" i="1" s="1"/>
  <c r="U178" i="1"/>
  <c r="V178" i="1" s="1"/>
  <c r="U179" i="1"/>
  <c r="V179" i="1" s="1"/>
  <c r="U180" i="1"/>
  <c r="Y180" i="1" s="1"/>
  <c r="U181" i="1"/>
  <c r="V181" i="1" s="1"/>
  <c r="U182" i="1"/>
  <c r="V182" i="1" s="1"/>
  <c r="U183" i="1"/>
  <c r="V183" i="1" s="1"/>
  <c r="U184" i="1"/>
  <c r="V184" i="1" s="1"/>
  <c r="U185" i="1"/>
  <c r="V185" i="1" s="1"/>
  <c r="U186" i="1"/>
  <c r="V186" i="1" s="1"/>
  <c r="U187" i="1"/>
  <c r="V187" i="1" s="1"/>
  <c r="U188" i="1"/>
  <c r="Y188" i="1" s="1"/>
  <c r="U189" i="1"/>
  <c r="V189" i="1" s="1"/>
  <c r="U190" i="1"/>
  <c r="Y190" i="1" s="1"/>
  <c r="U191" i="1"/>
  <c r="V191" i="1" s="1"/>
  <c r="U192" i="1"/>
  <c r="V192" i="1" s="1"/>
  <c r="U193" i="1"/>
  <c r="V193" i="1" s="1"/>
  <c r="U194" i="1"/>
  <c r="V194" i="1" s="1"/>
  <c r="U195" i="1"/>
  <c r="V195" i="1" s="1"/>
  <c r="U196" i="1"/>
  <c r="V196" i="1" s="1"/>
  <c r="U197" i="1"/>
  <c r="V197" i="1" s="1"/>
  <c r="U198" i="1"/>
  <c r="V198" i="1" s="1"/>
  <c r="U199" i="1"/>
  <c r="V199" i="1" s="1"/>
  <c r="U200" i="1"/>
  <c r="Y200" i="1" s="1"/>
  <c r="U201" i="1"/>
  <c r="V201" i="1" s="1"/>
  <c r="U202" i="1"/>
  <c r="V202" i="1" s="1"/>
  <c r="U203" i="1"/>
  <c r="V203" i="1" s="1"/>
  <c r="U204" i="1"/>
  <c r="V204" i="1" s="1"/>
  <c r="U205" i="1"/>
  <c r="V205" i="1" s="1"/>
  <c r="U206" i="1"/>
  <c r="V206" i="1" s="1"/>
  <c r="U207" i="1"/>
  <c r="V207" i="1" s="1"/>
  <c r="U208" i="1"/>
  <c r="V208" i="1" s="1"/>
  <c r="U209" i="1"/>
  <c r="Y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Y229" i="1" s="1"/>
  <c r="U230" i="1"/>
  <c r="V230" i="1" s="1"/>
  <c r="U231" i="1"/>
  <c r="V231" i="1" s="1"/>
  <c r="U232" i="1"/>
  <c r="Y232" i="1" s="1"/>
  <c r="U233" i="1"/>
  <c r="V233" i="1" s="1"/>
  <c r="U234" i="1"/>
  <c r="V234" i="1" s="1"/>
  <c r="U235" i="1"/>
  <c r="V235" i="1" s="1"/>
  <c r="U236" i="1"/>
  <c r="V236" i="1" s="1"/>
  <c r="U237" i="1"/>
  <c r="V237" i="1" s="1"/>
  <c r="U238" i="1"/>
  <c r="V238" i="1" s="1"/>
  <c r="U239" i="1"/>
  <c r="Y239" i="1" s="1"/>
  <c r="U240" i="1"/>
  <c r="V240" i="1" s="1"/>
  <c r="U241" i="1"/>
  <c r="V241" i="1" s="1"/>
  <c r="U242" i="1"/>
  <c r="V242" i="1" s="1"/>
  <c r="U243" i="1"/>
  <c r="V243" i="1" s="1"/>
  <c r="U244" i="1"/>
  <c r="V244" i="1" s="1"/>
  <c r="U245" i="1"/>
  <c r="V245" i="1" s="1"/>
  <c r="U246" i="1"/>
  <c r="V246" i="1" s="1"/>
  <c r="U247" i="1"/>
  <c r="V247" i="1" s="1"/>
  <c r="U248" i="1"/>
  <c r="V248" i="1" s="1"/>
  <c r="U249" i="1"/>
  <c r="V249" i="1" s="1"/>
  <c r="U250" i="1"/>
  <c r="Y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Y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Y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Y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Y311" i="1" s="1"/>
  <c r="U312" i="1"/>
  <c r="V312" i="1" s="1"/>
  <c r="U313" i="1"/>
  <c r="V313" i="1" s="1"/>
  <c r="U314" i="1"/>
  <c r="V314" i="1" s="1"/>
  <c r="U315" i="1"/>
  <c r="V315" i="1" s="1"/>
  <c r="U316" i="1"/>
  <c r="V316" i="1" s="1"/>
  <c r="U317" i="1"/>
  <c r="Y317" i="1" s="1"/>
  <c r="U318" i="1"/>
  <c r="V318" i="1" s="1"/>
  <c r="U319" i="1"/>
  <c r="V319" i="1" s="1"/>
  <c r="U320" i="1"/>
  <c r="V320" i="1" s="1"/>
  <c r="U321" i="1"/>
  <c r="V321" i="1" s="1"/>
  <c r="U322" i="1"/>
  <c r="V322" i="1" s="1"/>
  <c r="U323" i="1"/>
  <c r="V323" i="1" s="1"/>
  <c r="U324" i="1"/>
  <c r="Y324" i="1" s="1"/>
  <c r="U325" i="1"/>
  <c r="V325" i="1" s="1"/>
  <c r="U326" i="1"/>
  <c r="V326" i="1" s="1"/>
  <c r="U327" i="1"/>
  <c r="V327" i="1" s="1"/>
  <c r="U328" i="1"/>
  <c r="Y328" i="1" s="1"/>
  <c r="U329" i="1"/>
  <c r="Y329" i="1" s="1"/>
  <c r="U330" i="1"/>
  <c r="V330" i="1" s="1"/>
  <c r="U331" i="1"/>
  <c r="V331" i="1" s="1"/>
  <c r="U332" i="1"/>
  <c r="V332" i="1" s="1"/>
  <c r="U333" i="1"/>
  <c r="V333" i="1" s="1"/>
  <c r="U334" i="1"/>
  <c r="V334" i="1" s="1"/>
  <c r="U335" i="1"/>
  <c r="V335" i="1" s="1"/>
  <c r="U336" i="1"/>
  <c r="V336" i="1" s="1"/>
  <c r="U337" i="1"/>
  <c r="Y337" i="1" s="1"/>
  <c r="U338" i="1"/>
  <c r="V338" i="1" s="1"/>
  <c r="U339" i="1"/>
  <c r="V339" i="1" s="1"/>
  <c r="U340" i="1"/>
  <c r="V340" i="1" s="1"/>
  <c r="U341" i="1"/>
  <c r="V341" i="1" s="1"/>
  <c r="U342" i="1"/>
  <c r="V342" i="1" s="1"/>
  <c r="U343" i="1"/>
  <c r="Y343" i="1" s="1"/>
  <c r="U344" i="1"/>
  <c r="V344" i="1" s="1"/>
  <c r="U345" i="1"/>
  <c r="V345" i="1" s="1"/>
  <c r="U346" i="1"/>
  <c r="V346" i="1" s="1"/>
  <c r="U347" i="1"/>
  <c r="V347" i="1" s="1"/>
  <c r="U348" i="1"/>
  <c r="V348" i="1" s="1"/>
  <c r="U349" i="1"/>
  <c r="V349" i="1" s="1"/>
  <c r="U350" i="1"/>
  <c r="V350" i="1" s="1"/>
  <c r="U351" i="1"/>
  <c r="V351" i="1" s="1"/>
  <c r="U352" i="1"/>
  <c r="V352" i="1" s="1"/>
  <c r="U353" i="1"/>
  <c r="V353" i="1" s="1"/>
  <c r="U354" i="1"/>
  <c r="Y354" i="1" s="1"/>
  <c r="U355" i="1"/>
  <c r="V355" i="1" s="1"/>
  <c r="U356" i="1"/>
  <c r="V356" i="1" s="1"/>
  <c r="U357" i="1"/>
  <c r="V357" i="1" s="1"/>
  <c r="U358" i="1"/>
  <c r="V358" i="1" s="1"/>
  <c r="U359" i="1"/>
  <c r="V359" i="1" s="1"/>
  <c r="U360" i="1"/>
  <c r="V360" i="1" s="1"/>
  <c r="U361" i="1"/>
  <c r="Y361" i="1" s="1"/>
  <c r="U362" i="1"/>
  <c r="V362" i="1" s="1"/>
  <c r="U363" i="1"/>
  <c r="V363" i="1" s="1"/>
  <c r="U364" i="1"/>
  <c r="V364" i="1" s="1"/>
  <c r="U365" i="1"/>
  <c r="V365" i="1" s="1"/>
  <c r="U366" i="1"/>
  <c r="V366" i="1" s="1"/>
  <c r="U367" i="1"/>
  <c r="V367" i="1" s="1"/>
  <c r="U368" i="1"/>
  <c r="V368" i="1" s="1"/>
  <c r="U369" i="1"/>
  <c r="V369" i="1" s="1"/>
  <c r="U370" i="1"/>
  <c r="V370" i="1" s="1"/>
  <c r="U371" i="1"/>
  <c r="V371" i="1" s="1"/>
  <c r="U372" i="1"/>
  <c r="V372" i="1" s="1"/>
  <c r="U373" i="1"/>
  <c r="Y373" i="1" s="1"/>
  <c r="U374" i="1"/>
  <c r="V374" i="1" s="1"/>
  <c r="U375" i="1"/>
  <c r="V375" i="1" s="1"/>
  <c r="U376" i="1"/>
  <c r="V376" i="1" s="1"/>
  <c r="U377" i="1"/>
  <c r="Y377" i="1" s="1"/>
  <c r="U378" i="1"/>
  <c r="V378" i="1" s="1"/>
  <c r="U379" i="1"/>
  <c r="V379" i="1" s="1"/>
  <c r="U380" i="1"/>
  <c r="V380" i="1" s="1"/>
  <c r="U381" i="1"/>
  <c r="V381" i="1" s="1"/>
  <c r="U382" i="1"/>
  <c r="V382" i="1" s="1"/>
  <c r="U383" i="1"/>
  <c r="V383" i="1" s="1"/>
  <c r="U384" i="1"/>
  <c r="V384" i="1" s="1"/>
  <c r="U385" i="1"/>
  <c r="V385" i="1" s="1"/>
  <c r="U386" i="1"/>
  <c r="Y386" i="1" s="1"/>
  <c r="U387" i="1"/>
  <c r="V387" i="1" s="1"/>
  <c r="U388" i="1"/>
  <c r="V388" i="1" s="1"/>
  <c r="U389" i="1"/>
  <c r="V389" i="1" s="1"/>
  <c r="U390" i="1"/>
  <c r="V390" i="1" s="1"/>
  <c r="U391" i="1"/>
  <c r="V391" i="1" s="1"/>
  <c r="U392" i="1"/>
  <c r="V392" i="1" s="1"/>
  <c r="U393" i="1"/>
  <c r="V393" i="1" s="1"/>
  <c r="U394" i="1"/>
  <c r="V394" i="1" s="1"/>
  <c r="U395" i="1"/>
  <c r="V395" i="1" s="1"/>
  <c r="U396" i="1"/>
  <c r="Y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Y410" i="1" s="1"/>
  <c r="U411" i="1"/>
  <c r="V411" i="1" s="1"/>
  <c r="U412" i="1"/>
  <c r="V412" i="1" s="1"/>
  <c r="U413" i="1"/>
  <c r="V413" i="1" s="1"/>
  <c r="U414" i="1"/>
  <c r="V414" i="1" s="1"/>
  <c r="U415" i="1"/>
  <c r="V415" i="1" s="1"/>
  <c r="U416" i="1"/>
  <c r="V416" i="1" s="1"/>
  <c r="U417" i="1"/>
  <c r="V417" i="1" s="1"/>
  <c r="U418" i="1"/>
  <c r="V418" i="1" s="1"/>
  <c r="U419" i="1"/>
  <c r="V419" i="1" s="1"/>
  <c r="U420" i="1"/>
  <c r="V420" i="1" s="1"/>
  <c r="U421" i="1"/>
  <c r="V421" i="1" s="1"/>
  <c r="U422" i="1"/>
  <c r="Y422" i="1" s="1"/>
  <c r="U423" i="1"/>
  <c r="V423" i="1" s="1"/>
  <c r="U424" i="1"/>
  <c r="V424" i="1" s="1"/>
  <c r="U425" i="1"/>
  <c r="V425" i="1" s="1"/>
  <c r="U426" i="1"/>
  <c r="Y426" i="1" s="1"/>
  <c r="U427" i="1"/>
  <c r="Y427" i="1" s="1"/>
  <c r="U428" i="1"/>
  <c r="V428" i="1" s="1"/>
  <c r="U429" i="1"/>
  <c r="V429" i="1" s="1"/>
  <c r="U430" i="1"/>
  <c r="V430" i="1" s="1"/>
  <c r="U431" i="1"/>
  <c r="V431" i="1" s="1"/>
  <c r="U432" i="1"/>
  <c r="V432" i="1" s="1"/>
  <c r="U433" i="1"/>
  <c r="V433" i="1" s="1"/>
  <c r="U434" i="1"/>
  <c r="V434" i="1" s="1"/>
  <c r="U435" i="1"/>
  <c r="V435" i="1" s="1"/>
  <c r="U436" i="1"/>
  <c r="Y436" i="1" s="1"/>
  <c r="U437" i="1"/>
  <c r="Y437" i="1" s="1"/>
  <c r="U438" i="1"/>
  <c r="Y438" i="1" s="1"/>
  <c r="U439" i="1"/>
  <c r="V439" i="1" s="1"/>
  <c r="U440" i="1"/>
  <c r="V440" i="1" s="1"/>
  <c r="U441" i="1"/>
  <c r="V441" i="1" s="1"/>
  <c r="U442" i="1"/>
  <c r="V442" i="1" s="1"/>
  <c r="U443" i="1"/>
  <c r="V443" i="1" s="1"/>
  <c r="U444" i="1"/>
  <c r="Y444" i="1" s="1"/>
  <c r="U445" i="1"/>
  <c r="V445" i="1" s="1"/>
  <c r="U446" i="1"/>
  <c r="V446" i="1" s="1"/>
  <c r="U447" i="1"/>
  <c r="V447" i="1" s="1"/>
  <c r="U448" i="1"/>
  <c r="V448" i="1" s="1"/>
  <c r="U449" i="1"/>
  <c r="Y449" i="1" s="1"/>
  <c r="U450" i="1"/>
  <c r="Y450" i="1" s="1"/>
  <c r="U451" i="1"/>
  <c r="Y451" i="1" s="1"/>
  <c r="U452" i="1"/>
  <c r="V452" i="1" s="1"/>
  <c r="U453" i="1"/>
  <c r="V453" i="1" s="1"/>
  <c r="U454" i="1"/>
  <c r="Y454" i="1" s="1"/>
  <c r="U455" i="1"/>
  <c r="Y455" i="1" s="1"/>
  <c r="U456" i="1"/>
  <c r="V456" i="1" s="1"/>
  <c r="U457" i="1"/>
  <c r="Y457" i="1" s="1"/>
  <c r="U458" i="1"/>
  <c r="V458" i="1" s="1"/>
  <c r="U459" i="1"/>
  <c r="V459" i="1" s="1"/>
  <c r="U460" i="1"/>
  <c r="Y460" i="1" s="1"/>
  <c r="U461" i="1"/>
  <c r="Y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Y475" i="1" s="1"/>
  <c r="U476" i="1"/>
  <c r="V476" i="1" s="1"/>
  <c r="U477" i="1"/>
  <c r="V477" i="1" s="1"/>
  <c r="U478" i="1"/>
  <c r="V478" i="1" s="1"/>
  <c r="U479" i="1"/>
  <c r="V479" i="1" s="1"/>
  <c r="U480" i="1"/>
  <c r="V480" i="1" s="1"/>
  <c r="U481" i="1"/>
  <c r="V481" i="1" s="1"/>
  <c r="U482" i="1"/>
  <c r="V482" i="1" s="1"/>
  <c r="U483" i="1"/>
  <c r="V483" i="1" s="1"/>
  <c r="U484" i="1"/>
  <c r="V484" i="1" s="1"/>
  <c r="U485" i="1"/>
  <c r="V485" i="1" s="1"/>
  <c r="U486" i="1"/>
  <c r="Y486" i="1" s="1"/>
  <c r="U487" i="1"/>
  <c r="V487" i="1" s="1"/>
  <c r="U488" i="1"/>
  <c r="V488" i="1" s="1"/>
  <c r="U489" i="1"/>
  <c r="V489" i="1" s="1"/>
  <c r="U490" i="1"/>
  <c r="V490" i="1" s="1"/>
  <c r="U491" i="1"/>
  <c r="V491" i="1" s="1"/>
  <c r="U492" i="1"/>
  <c r="V492" i="1" s="1"/>
  <c r="U493" i="1"/>
  <c r="V493" i="1" s="1"/>
  <c r="U494" i="1"/>
  <c r="V494" i="1" s="1"/>
  <c r="U495" i="1"/>
  <c r="Y495" i="1" s="1"/>
  <c r="U496" i="1"/>
  <c r="Y496" i="1" s="1"/>
  <c r="U497" i="1"/>
  <c r="V497" i="1" s="1"/>
  <c r="U498" i="1"/>
  <c r="V498" i="1" s="1"/>
  <c r="U499" i="1"/>
  <c r="V499" i="1" s="1"/>
  <c r="U500" i="1"/>
  <c r="V500" i="1" s="1"/>
  <c r="U501" i="1"/>
  <c r="V501" i="1" s="1"/>
  <c r="U2" i="1"/>
  <c r="V2"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D502" i="1"/>
  <c r="B5" i="15" s="1"/>
  <c r="G502" i="1"/>
  <c r="H502" i="1"/>
  <c r="M502" i="1"/>
  <c r="N50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B10" i="15"/>
  <c r="F4" i="10"/>
  <c r="E4" i="10"/>
  <c r="B7" i="15"/>
  <c r="B6" i="15" l="1"/>
  <c r="Y313" i="1"/>
  <c r="Y249" i="1"/>
  <c r="Y185" i="1"/>
  <c r="Y57" i="1"/>
  <c r="Y441" i="1"/>
  <c r="Y433" i="1"/>
  <c r="Y369" i="1"/>
  <c r="Y305" i="1"/>
  <c r="Y241" i="1"/>
  <c r="Y177" i="1"/>
  <c r="Y113" i="1"/>
  <c r="Y49" i="1"/>
  <c r="Y489" i="1"/>
  <c r="Y425" i="1"/>
  <c r="Y297" i="1"/>
  <c r="Y233" i="1"/>
  <c r="Y105" i="1"/>
  <c r="Y41" i="1"/>
  <c r="Y481" i="1"/>
  <c r="Y417" i="1"/>
  <c r="Y353" i="1"/>
  <c r="Y289" i="1"/>
  <c r="Y225" i="1"/>
  <c r="Y161" i="1"/>
  <c r="Y97" i="1"/>
  <c r="Y33" i="1"/>
  <c r="Y473" i="1"/>
  <c r="Y409" i="1"/>
  <c r="Y345" i="1"/>
  <c r="Y281" i="1"/>
  <c r="Y217" i="1"/>
  <c r="Y153" i="1"/>
  <c r="Y25" i="1"/>
  <c r="Y465" i="1"/>
  <c r="Y401" i="1"/>
  <c r="Y273" i="1"/>
  <c r="Y145" i="1"/>
  <c r="Y81" i="1"/>
  <c r="Y17" i="1"/>
  <c r="Y393" i="1"/>
  <c r="Y265" i="1"/>
  <c r="Y201" i="1"/>
  <c r="Y137" i="1"/>
  <c r="Y73" i="1"/>
  <c r="Y9" i="1"/>
  <c r="Y385" i="1"/>
  <c r="Y321" i="1"/>
  <c r="Y257" i="1"/>
  <c r="Y193" i="1"/>
  <c r="Y129" i="1"/>
  <c r="Y65" i="1"/>
  <c r="Y497" i="1"/>
  <c r="Y488" i="1"/>
  <c r="Y480" i="1"/>
  <c r="Y472" i="1"/>
  <c r="Y464" i="1"/>
  <c r="Y456" i="1"/>
  <c r="Y448" i="1"/>
  <c r="Y440" i="1"/>
  <c r="Y432" i="1"/>
  <c r="Y424" i="1"/>
  <c r="Y416" i="1"/>
  <c r="Y408" i="1"/>
  <c r="Y400" i="1"/>
  <c r="Y392" i="1"/>
  <c r="Y384" i="1"/>
  <c r="Y376" i="1"/>
  <c r="Y368" i="1"/>
  <c r="Y360" i="1"/>
  <c r="Y352" i="1"/>
  <c r="Y344" i="1"/>
  <c r="Y336" i="1"/>
  <c r="Y320" i="1"/>
  <c r="Y312" i="1"/>
  <c r="Y304" i="1"/>
  <c r="Y296" i="1"/>
  <c r="Y288" i="1"/>
  <c r="Y280" i="1"/>
  <c r="Y272" i="1"/>
  <c r="Y264" i="1"/>
  <c r="Y256" i="1"/>
  <c r="Y248" i="1"/>
  <c r="Y240" i="1"/>
  <c r="Y224" i="1"/>
  <c r="Y216" i="1"/>
  <c r="Y208" i="1"/>
  <c r="Y192" i="1"/>
  <c r="Y184" i="1"/>
  <c r="Y176" i="1"/>
  <c r="Y168" i="1"/>
  <c r="Y160" i="1"/>
  <c r="Y152" i="1"/>
  <c r="Y144" i="1"/>
  <c r="Y128" i="1"/>
  <c r="Y120" i="1"/>
  <c r="Y112" i="1"/>
  <c r="Y104" i="1"/>
  <c r="Y88" i="1"/>
  <c r="Y80" i="1"/>
  <c r="Y72" i="1"/>
  <c r="Y64" i="1"/>
  <c r="Y48" i="1"/>
  <c r="Y32" i="1"/>
  <c r="Y24" i="1"/>
  <c r="Y16" i="1"/>
  <c r="Y8" i="1"/>
  <c r="Y487" i="1"/>
  <c r="Y479" i="1"/>
  <c r="Y471" i="1"/>
  <c r="Y463" i="1"/>
  <c r="Y447" i="1"/>
  <c r="Y439" i="1"/>
  <c r="Y431" i="1"/>
  <c r="Y423" i="1"/>
  <c r="Y415" i="1"/>
  <c r="Y407" i="1"/>
  <c r="Y399" i="1"/>
  <c r="Y391" i="1"/>
  <c r="Y383" i="1"/>
  <c r="Y375" i="1"/>
  <c r="Y367" i="1"/>
  <c r="Y359" i="1"/>
  <c r="Y351" i="1"/>
  <c r="Y335" i="1"/>
  <c r="Y327" i="1"/>
  <c r="Y319" i="1"/>
  <c r="Y303" i="1"/>
  <c r="Y295" i="1"/>
  <c r="Y287" i="1"/>
  <c r="Y279" i="1"/>
  <c r="Y271" i="1"/>
  <c r="Y263" i="1"/>
  <c r="Y255" i="1"/>
  <c r="Y247" i="1"/>
  <c r="Y231" i="1"/>
  <c r="Y223" i="1"/>
  <c r="Y215" i="1"/>
  <c r="Y207" i="1"/>
  <c r="Y199" i="1"/>
  <c r="Y191" i="1"/>
  <c r="Y183" i="1"/>
  <c r="Y175" i="1"/>
  <c r="Y167" i="1"/>
  <c r="Y159" i="1"/>
  <c r="Y151" i="1"/>
  <c r="Y143" i="1"/>
  <c r="Y135" i="1"/>
  <c r="Y127" i="1"/>
  <c r="Y119" i="1"/>
  <c r="Y111" i="1"/>
  <c r="Y103" i="1"/>
  <c r="Y95" i="1"/>
  <c r="Y87" i="1"/>
  <c r="Y79" i="1"/>
  <c r="Y71" i="1"/>
  <c r="Y63" i="1"/>
  <c r="Y55" i="1"/>
  <c r="Y47" i="1"/>
  <c r="Y39" i="1"/>
  <c r="Y31" i="1"/>
  <c r="Y23" i="1"/>
  <c r="Y15" i="1"/>
  <c r="Y494" i="1"/>
  <c r="Y478" i="1"/>
  <c r="Y470" i="1"/>
  <c r="Y462" i="1"/>
  <c r="Y446" i="1"/>
  <c r="Y430" i="1"/>
  <c r="Y414" i="1"/>
  <c r="Y406" i="1"/>
  <c r="Y398" i="1"/>
  <c r="Y390" i="1"/>
  <c r="Y382" i="1"/>
  <c r="Y374" i="1"/>
  <c r="Y366" i="1"/>
  <c r="Y358" i="1"/>
  <c r="Y350" i="1"/>
  <c r="Y342" i="1"/>
  <c r="Y334" i="1"/>
  <c r="Y326" i="1"/>
  <c r="Y318" i="1"/>
  <c r="Y310" i="1"/>
  <c r="Y302" i="1"/>
  <c r="Y294" i="1"/>
  <c r="Y286" i="1"/>
  <c r="Y278" i="1"/>
  <c r="Y270" i="1"/>
  <c r="Y262" i="1"/>
  <c r="Y254" i="1"/>
  <c r="Y246" i="1"/>
  <c r="Y238" i="1"/>
  <c r="Y230" i="1"/>
  <c r="Y222" i="1"/>
  <c r="Y214" i="1"/>
  <c r="Y206" i="1"/>
  <c r="Y198" i="1"/>
  <c r="Y182" i="1"/>
  <c r="Y174" i="1"/>
  <c r="Y166" i="1"/>
  <c r="Y150" i="1"/>
  <c r="Y142" i="1"/>
  <c r="Y134" i="1"/>
  <c r="Y126" i="1"/>
  <c r="Y118" i="1"/>
  <c r="Y110" i="1"/>
  <c r="Y102" i="1"/>
  <c r="Y94" i="1"/>
  <c r="Y78" i="1"/>
  <c r="Y70" i="1"/>
  <c r="Y62" i="1"/>
  <c r="Y54" i="1"/>
  <c r="Y46" i="1"/>
  <c r="Y30" i="1"/>
  <c r="Y14" i="1"/>
  <c r="Y6" i="1"/>
  <c r="Y501" i="1"/>
  <c r="Y493" i="1"/>
  <c r="Y485" i="1"/>
  <c r="Y477" i="1"/>
  <c r="Y469" i="1"/>
  <c r="Y453" i="1"/>
  <c r="Y445" i="1"/>
  <c r="Y429" i="1"/>
  <c r="Y421" i="1"/>
  <c r="Y413" i="1"/>
  <c r="Y405" i="1"/>
  <c r="Y397" i="1"/>
  <c r="Y389" i="1"/>
  <c r="Y381" i="1"/>
  <c r="Y365" i="1"/>
  <c r="Y357" i="1"/>
  <c r="Y349" i="1"/>
  <c r="Y341" i="1"/>
  <c r="Y333" i="1"/>
  <c r="Y325" i="1"/>
  <c r="Y309" i="1"/>
  <c r="Y301" i="1"/>
  <c r="Y293" i="1"/>
  <c r="Y285" i="1"/>
  <c r="Y277" i="1"/>
  <c r="Y261" i="1"/>
  <c r="Y253" i="1"/>
  <c r="Y245" i="1"/>
  <c r="Y237" i="1"/>
  <c r="Y221" i="1"/>
  <c r="Y213" i="1"/>
  <c r="Y205" i="1"/>
  <c r="Y197" i="1"/>
  <c r="Y189" i="1"/>
  <c r="Y181" i="1"/>
  <c r="Y173" i="1"/>
  <c r="Y165" i="1"/>
  <c r="Y157" i="1"/>
  <c r="Y149" i="1"/>
  <c r="Y141" i="1"/>
  <c r="Y133" i="1"/>
  <c r="Y125" i="1"/>
  <c r="Y117" i="1"/>
  <c r="Y93" i="1"/>
  <c r="Y85" i="1"/>
  <c r="Y77" i="1"/>
  <c r="Y69" i="1"/>
  <c r="Y45" i="1"/>
  <c r="Y37" i="1"/>
  <c r="Y29" i="1"/>
  <c r="Y21" i="1"/>
  <c r="Y13" i="1"/>
  <c r="Y5" i="1"/>
  <c r="Y500" i="1"/>
  <c r="Y492" i="1"/>
  <c r="Y484" i="1"/>
  <c r="Y476" i="1"/>
  <c r="Y468" i="1"/>
  <c r="Y452" i="1"/>
  <c r="Y428" i="1"/>
  <c r="Y420" i="1"/>
  <c r="Y412" i="1"/>
  <c r="Y404" i="1"/>
  <c r="Y388" i="1"/>
  <c r="Y380" i="1"/>
  <c r="Y372" i="1"/>
  <c r="Y364" i="1"/>
  <c r="Y356" i="1"/>
  <c r="Y348" i="1"/>
  <c r="Y340" i="1"/>
  <c r="Y332" i="1"/>
  <c r="Y316" i="1"/>
  <c r="Y308" i="1"/>
  <c r="Y300" i="1"/>
  <c r="Y292" i="1"/>
  <c r="Y276" i="1"/>
  <c r="Y268" i="1"/>
  <c r="Y260" i="1"/>
  <c r="Y252" i="1"/>
  <c r="Y244" i="1"/>
  <c r="Y236" i="1"/>
  <c r="Y228" i="1"/>
  <c r="Y220" i="1"/>
  <c r="Y212" i="1"/>
  <c r="Y204" i="1"/>
  <c r="Y196" i="1"/>
  <c r="Y172" i="1"/>
  <c r="Y164" i="1"/>
  <c r="Y156" i="1"/>
  <c r="Y148" i="1"/>
  <c r="Y132" i="1"/>
  <c r="Y124" i="1"/>
  <c r="Y116" i="1"/>
  <c r="Y108" i="1"/>
  <c r="Y100" i="1"/>
  <c r="Y92" i="1"/>
  <c r="Y84" i="1"/>
  <c r="Y68" i="1"/>
  <c r="Y60" i="1"/>
  <c r="Y52" i="1"/>
  <c r="Y44" i="1"/>
  <c r="Y36" i="1"/>
  <c r="Y20" i="1"/>
  <c r="Y12" i="1"/>
  <c r="Y4" i="1"/>
  <c r="Y499" i="1"/>
  <c r="Y491" i="1"/>
  <c r="Y483" i="1"/>
  <c r="Y467" i="1"/>
  <c r="Y459" i="1"/>
  <c r="Y443" i="1"/>
  <c r="Y435" i="1"/>
  <c r="Y419" i="1"/>
  <c r="Y411" i="1"/>
  <c r="Y403" i="1"/>
  <c r="Y395" i="1"/>
  <c r="Y387" i="1"/>
  <c r="Y379" i="1"/>
  <c r="Y371" i="1"/>
  <c r="Y363" i="1"/>
  <c r="Y355" i="1"/>
  <c r="Y347" i="1"/>
  <c r="Y339" i="1"/>
  <c r="Y331" i="1"/>
  <c r="Y323" i="1"/>
  <c r="Y315" i="1"/>
  <c r="Y307" i="1"/>
  <c r="Y291" i="1"/>
  <c r="Y283" i="1"/>
  <c r="Y275" i="1"/>
  <c r="Y267" i="1"/>
  <c r="Y259" i="1"/>
  <c r="Y251" i="1"/>
  <c r="Y243" i="1"/>
  <c r="Y235" i="1"/>
  <c r="Y227" i="1"/>
  <c r="Y219" i="1"/>
  <c r="Y211" i="1"/>
  <c r="Y203" i="1"/>
  <c r="Y195" i="1"/>
  <c r="Y187" i="1"/>
  <c r="Y179" i="1"/>
  <c r="Y171" i="1"/>
  <c r="Y163" i="1"/>
  <c r="Y155" i="1"/>
  <c r="Y147" i="1"/>
  <c r="Y139" i="1"/>
  <c r="Y123" i="1"/>
  <c r="Y115" i="1"/>
  <c r="Y107" i="1"/>
  <c r="Y99" i="1"/>
  <c r="Y91" i="1"/>
  <c r="Y83" i="1"/>
  <c r="Y75" i="1"/>
  <c r="Y67" i="1"/>
  <c r="Y59" i="1"/>
  <c r="Y51" i="1"/>
  <c r="Y43" i="1"/>
  <c r="Y35" i="1"/>
  <c r="Y19" i="1"/>
  <c r="Y11" i="1"/>
  <c r="Y498" i="1"/>
  <c r="Y490" i="1"/>
  <c r="Y482" i="1"/>
  <c r="Y474" i="1"/>
  <c r="Y466" i="1"/>
  <c r="Y458" i="1"/>
  <c r="Y442" i="1"/>
  <c r="Y434" i="1"/>
  <c r="Y418" i="1"/>
  <c r="Y402" i="1"/>
  <c r="Y394" i="1"/>
  <c r="Y378" i="1"/>
  <c r="Y370" i="1"/>
  <c r="Y362" i="1"/>
  <c r="Y346" i="1"/>
  <c r="Y338" i="1"/>
  <c r="Y330" i="1"/>
  <c r="Y322" i="1"/>
  <c r="Y314" i="1"/>
  <c r="Y306" i="1"/>
  <c r="Y298" i="1"/>
  <c r="Y290" i="1"/>
  <c r="Y282" i="1"/>
  <c r="Y274" i="1"/>
  <c r="Y266" i="1"/>
  <c r="Y258" i="1"/>
  <c r="Y242" i="1"/>
  <c r="Y234" i="1"/>
  <c r="Y226" i="1"/>
  <c r="Y218" i="1"/>
  <c r="Y210" i="1"/>
  <c r="Y202" i="1"/>
  <c r="Y194" i="1"/>
  <c r="Y186" i="1"/>
  <c r="Y178" i="1"/>
  <c r="Y170" i="1"/>
  <c r="Y162" i="1"/>
  <c r="Y154" i="1"/>
  <c r="Y146" i="1"/>
  <c r="Y138" i="1"/>
  <c r="Y130" i="1"/>
  <c r="Y122" i="1"/>
  <c r="Y114" i="1"/>
  <c r="Y106" i="1"/>
  <c r="Y98" i="1"/>
  <c r="Y90" i="1"/>
  <c r="Y82" i="1"/>
  <c r="Y66" i="1"/>
  <c r="Y58" i="1"/>
  <c r="Y50" i="1"/>
  <c r="Y42" i="1"/>
  <c r="Y34" i="1"/>
  <c r="Y26" i="1"/>
  <c r="Y10" i="1"/>
  <c r="Y2" i="1"/>
  <c r="X502" i="1"/>
  <c r="B8" i="15" s="1"/>
  <c r="W502" i="1"/>
  <c r="T502" i="1"/>
  <c r="S50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J457" i="1" s="1"/>
  <c r="I458" i="1"/>
  <c r="J458" i="1" s="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497" i="1"/>
  <c r="J497" i="1" s="1"/>
  <c r="I498" i="1"/>
  <c r="J498" i="1" s="1"/>
  <c r="I499" i="1"/>
  <c r="J499" i="1" s="1"/>
  <c r="I500" i="1"/>
  <c r="J500" i="1" s="1"/>
  <c r="I501" i="1"/>
  <c r="J501" i="1" s="1"/>
  <c r="I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3" i="1"/>
  <c r="Q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J2" i="1" l="1"/>
  <c r="J502" i="1" s="1"/>
  <c r="I502" i="1"/>
  <c r="H4" i="10"/>
  <c r="B11" i="15"/>
  <c r="Y502" i="1"/>
  <c r="R502" i="1"/>
  <c r="B9" i="15" l="1"/>
  <c r="G4" i="10"/>
</calcChain>
</file>

<file path=xl/sharedStrings.xml><?xml version="1.0" encoding="utf-8"?>
<sst xmlns="http://schemas.openxmlformats.org/spreadsheetml/2006/main" count="2700" uniqueCount="738">
  <si>
    <t>Property</t>
  </si>
  <si>
    <t>Unit_ID</t>
  </si>
  <si>
    <t>Unit_Type</t>
  </si>
  <si>
    <t>Area_sqm</t>
  </si>
  <si>
    <t>Status</t>
  </si>
  <si>
    <t>Tenant_Name</t>
  </si>
  <si>
    <t>Monthly_Rent_EUR</t>
  </si>
  <si>
    <t>Annual_Rent_EUR</t>
  </si>
  <si>
    <t>Lease_Start</t>
  </si>
  <si>
    <t>Lease_End</t>
  </si>
  <si>
    <t>Service_Charge_EUR</t>
  </si>
  <si>
    <t>Operating_Cost_EUR</t>
  </si>
  <si>
    <t>Berlin_Mahlsdorf</t>
  </si>
  <si>
    <t>U0001</t>
  </si>
  <si>
    <t>Production</t>
  </si>
  <si>
    <t>Occupied</t>
  </si>
  <si>
    <t>Tenant_7</t>
  </si>
  <si>
    <t>Berlin_Borsigwerke</t>
  </si>
  <si>
    <t>U0002</t>
  </si>
  <si>
    <t>Office</t>
  </si>
  <si>
    <t>Vacant</t>
  </si>
  <si>
    <t>Leipzig_Park</t>
  </si>
  <si>
    <t>U0003</t>
  </si>
  <si>
    <t>Tenant_127</t>
  </si>
  <si>
    <t>Dresden_Park</t>
  </si>
  <si>
    <t>U0004</t>
  </si>
  <si>
    <t>Tenant_29</t>
  </si>
  <si>
    <t>Berlin_Gartenfeld</t>
  </si>
  <si>
    <t>U0005</t>
  </si>
  <si>
    <t>Storage</t>
  </si>
  <si>
    <t>Tenant_34</t>
  </si>
  <si>
    <t>Berlin_Tempelhof</t>
  </si>
  <si>
    <t>U0006</t>
  </si>
  <si>
    <t>Warehouse</t>
  </si>
  <si>
    <t>U0007</t>
  </si>
  <si>
    <t>Tenant_26</t>
  </si>
  <si>
    <t>U0008</t>
  </si>
  <si>
    <t>Tenant_12</t>
  </si>
  <si>
    <t>U0009</t>
  </si>
  <si>
    <t>Tenant_63</t>
  </si>
  <si>
    <t>U0010</t>
  </si>
  <si>
    <t>Tenant_78</t>
  </si>
  <si>
    <t>U0011</t>
  </si>
  <si>
    <t>Tenant_145</t>
  </si>
  <si>
    <t>Hamburg_Park</t>
  </si>
  <si>
    <t>U0012</t>
  </si>
  <si>
    <t>Tenant_146</t>
  </si>
  <si>
    <t>U0013</t>
  </si>
  <si>
    <t>Tenant_13</t>
  </si>
  <si>
    <t>U0014</t>
  </si>
  <si>
    <t>Tenant_95</t>
  </si>
  <si>
    <t>U0015</t>
  </si>
  <si>
    <t>Tenant_136</t>
  </si>
  <si>
    <t>U0016</t>
  </si>
  <si>
    <t>Tenant_166</t>
  </si>
  <si>
    <t>U0017</t>
  </si>
  <si>
    <t>Munich_Park</t>
  </si>
  <si>
    <t>U0018</t>
  </si>
  <si>
    <t>U0019</t>
  </si>
  <si>
    <t>Tenant_140</t>
  </si>
  <si>
    <t>U0020</t>
  </si>
  <si>
    <t>Tenant_143</t>
  </si>
  <si>
    <t>U0021</t>
  </si>
  <si>
    <t>U0022</t>
  </si>
  <si>
    <t>Tenant_33</t>
  </si>
  <si>
    <t>U0023</t>
  </si>
  <si>
    <t>Tenant_48</t>
  </si>
  <si>
    <t>U0024</t>
  </si>
  <si>
    <t>Tenant_55</t>
  </si>
  <si>
    <t>U0025</t>
  </si>
  <si>
    <t>Tenant_152</t>
  </si>
  <si>
    <t>U0026</t>
  </si>
  <si>
    <t>U0027</t>
  </si>
  <si>
    <t>U0028</t>
  </si>
  <si>
    <t>Tenant_144</t>
  </si>
  <si>
    <t>U0029</t>
  </si>
  <si>
    <t>Tenant_37</t>
  </si>
  <si>
    <t>U0030</t>
  </si>
  <si>
    <t>Tenant_189</t>
  </si>
  <si>
    <t>U0031</t>
  </si>
  <si>
    <t>Tenant_14</t>
  </si>
  <si>
    <t>U0032</t>
  </si>
  <si>
    <t>Tenant_138</t>
  </si>
  <si>
    <t>U0033</t>
  </si>
  <si>
    <t>Tenant_159</t>
  </si>
  <si>
    <t>U0034</t>
  </si>
  <si>
    <t>Tenant_73</t>
  </si>
  <si>
    <t>U0035</t>
  </si>
  <si>
    <t>Tenant_148</t>
  </si>
  <si>
    <t>U0036</t>
  </si>
  <si>
    <t>Tenant_188</t>
  </si>
  <si>
    <t>U0037</t>
  </si>
  <si>
    <t>U0038</t>
  </si>
  <si>
    <t>U0039</t>
  </si>
  <si>
    <t>U0040</t>
  </si>
  <si>
    <t>Tenant_45</t>
  </si>
  <si>
    <t>U0041</t>
  </si>
  <si>
    <t>U0042</t>
  </si>
  <si>
    <t>Tenant_176</t>
  </si>
  <si>
    <t>U0043</t>
  </si>
  <si>
    <t>Tenant_20</t>
  </si>
  <si>
    <t>U0044</t>
  </si>
  <si>
    <t>Tenant_4</t>
  </si>
  <si>
    <t>U0045</t>
  </si>
  <si>
    <t>Tenant_100</t>
  </si>
  <si>
    <t>U0046</t>
  </si>
  <si>
    <t>Tenant_69</t>
  </si>
  <si>
    <t>U0047</t>
  </si>
  <si>
    <t>Tenant_103</t>
  </si>
  <si>
    <t>U0048</t>
  </si>
  <si>
    <t>U0049</t>
  </si>
  <si>
    <t>Tenant_94</t>
  </si>
  <si>
    <t>U0050</t>
  </si>
  <si>
    <t>U0051</t>
  </si>
  <si>
    <t>Tenant_118</t>
  </si>
  <si>
    <t>U0052</t>
  </si>
  <si>
    <t>U0053</t>
  </si>
  <si>
    <t>Tenant_164</t>
  </si>
  <si>
    <t>U0054</t>
  </si>
  <si>
    <t>Tenant_132</t>
  </si>
  <si>
    <t>U0055</t>
  </si>
  <si>
    <t>U0056</t>
  </si>
  <si>
    <t>Tenant_91</t>
  </si>
  <si>
    <t>U0057</t>
  </si>
  <si>
    <t>Tenant_51</t>
  </si>
  <si>
    <t>U0058</t>
  </si>
  <si>
    <t>Tenant_114</t>
  </si>
  <si>
    <t>U0059</t>
  </si>
  <si>
    <t>Tenant_121</t>
  </si>
  <si>
    <t>U0060</t>
  </si>
  <si>
    <t>U0061</t>
  </si>
  <si>
    <t>U0062</t>
  </si>
  <si>
    <t>Tenant_177</t>
  </si>
  <si>
    <t>U0063</t>
  </si>
  <si>
    <t>Tenant_43</t>
  </si>
  <si>
    <t>U0064</t>
  </si>
  <si>
    <t>U0065</t>
  </si>
  <si>
    <t>U0066</t>
  </si>
  <si>
    <t>U0067</t>
  </si>
  <si>
    <t>Tenant_25</t>
  </si>
  <si>
    <t>U0068</t>
  </si>
  <si>
    <t>U0069</t>
  </si>
  <si>
    <t>Tenant_87</t>
  </si>
  <si>
    <t>U0070</t>
  </si>
  <si>
    <t>Tenant_180</t>
  </si>
  <si>
    <t>U0071</t>
  </si>
  <si>
    <t>Tenant_197</t>
  </si>
  <si>
    <t>U0072</t>
  </si>
  <si>
    <t>Tenant_15</t>
  </si>
  <si>
    <t>U0073</t>
  </si>
  <si>
    <t>U0074</t>
  </si>
  <si>
    <t>U0075</t>
  </si>
  <si>
    <t>U0076</t>
  </si>
  <si>
    <t>Tenant_162</t>
  </si>
  <si>
    <t>U0077</t>
  </si>
  <si>
    <t>U0078</t>
  </si>
  <si>
    <t>Tenant_169</t>
  </si>
  <si>
    <t>U0079</t>
  </si>
  <si>
    <t>Tenant_137</t>
  </si>
  <si>
    <t>U0080</t>
  </si>
  <si>
    <t>Tenant_199</t>
  </si>
  <si>
    <t>U0081</t>
  </si>
  <si>
    <t>Tenant_75</t>
  </si>
  <si>
    <t>U0082</t>
  </si>
  <si>
    <t>Tenant_154</t>
  </si>
  <si>
    <t>U0083</t>
  </si>
  <si>
    <t>U0084</t>
  </si>
  <si>
    <t>U0085</t>
  </si>
  <si>
    <t>U0086</t>
  </si>
  <si>
    <t>Tenant_200</t>
  </si>
  <si>
    <t>U0087</t>
  </si>
  <si>
    <t>U0088</t>
  </si>
  <si>
    <t>U0089</t>
  </si>
  <si>
    <t>Tenant_99</t>
  </si>
  <si>
    <t>U0090</t>
  </si>
  <si>
    <t>Tenant_1</t>
  </si>
  <si>
    <t>U0091</t>
  </si>
  <si>
    <t>Tenant_135</t>
  </si>
  <si>
    <t>U0092</t>
  </si>
  <si>
    <t>Tenant_31</t>
  </si>
  <si>
    <t>U0093</t>
  </si>
  <si>
    <t>U0094</t>
  </si>
  <si>
    <t>Tenant_35</t>
  </si>
  <si>
    <t>U0095</t>
  </si>
  <si>
    <t>U0096</t>
  </si>
  <si>
    <t>Tenant_139</t>
  </si>
  <si>
    <t>U0097</t>
  </si>
  <si>
    <t>U0098</t>
  </si>
  <si>
    <t>U0099</t>
  </si>
  <si>
    <t>U0100</t>
  </si>
  <si>
    <t>U0101</t>
  </si>
  <si>
    <t>U0102</t>
  </si>
  <si>
    <t>Tenant_112</t>
  </si>
  <si>
    <t>U0103</t>
  </si>
  <si>
    <t>Tenant_117</t>
  </si>
  <si>
    <t>U0104</t>
  </si>
  <si>
    <t>Tenant_9</t>
  </si>
  <si>
    <t>U0105</t>
  </si>
  <si>
    <t>U0106</t>
  </si>
  <si>
    <t>Tenant_102</t>
  </si>
  <si>
    <t>U0107</t>
  </si>
  <si>
    <t>Tenant_5</t>
  </si>
  <si>
    <t>U0108</t>
  </si>
  <si>
    <t>U0109</t>
  </si>
  <si>
    <t>Tenant_30</t>
  </si>
  <si>
    <t>U0110</t>
  </si>
  <si>
    <t>U0111</t>
  </si>
  <si>
    <t>U0112</t>
  </si>
  <si>
    <t>Tenant_171</t>
  </si>
  <si>
    <t>U0113</t>
  </si>
  <si>
    <t>Tenant_198</t>
  </si>
  <si>
    <t>U0114</t>
  </si>
  <si>
    <t>Tenant_79</t>
  </si>
  <si>
    <t>U0115</t>
  </si>
  <si>
    <t>U0116</t>
  </si>
  <si>
    <t>Tenant_186</t>
  </si>
  <si>
    <t>U0117</t>
  </si>
  <si>
    <t>Tenant_47</t>
  </si>
  <si>
    <t>U0118</t>
  </si>
  <si>
    <t>Tenant_21</t>
  </si>
  <si>
    <t>U0119</t>
  </si>
  <si>
    <t>Tenant_190</t>
  </si>
  <si>
    <t>U0120</t>
  </si>
  <si>
    <t>U0121</t>
  </si>
  <si>
    <t>Tenant_44</t>
  </si>
  <si>
    <t>U0122</t>
  </si>
  <si>
    <t>U0123</t>
  </si>
  <si>
    <t>Tenant_68</t>
  </si>
  <si>
    <t>U0124</t>
  </si>
  <si>
    <t>U0125</t>
  </si>
  <si>
    <t>U0126</t>
  </si>
  <si>
    <t>Tenant_19</t>
  </si>
  <si>
    <t>U0127</t>
  </si>
  <si>
    <t>Tenant_174</t>
  </si>
  <si>
    <t>U0128</t>
  </si>
  <si>
    <t>Tenant_122</t>
  </si>
  <si>
    <t>U0129</t>
  </si>
  <si>
    <t>Tenant_161</t>
  </si>
  <si>
    <t>U0130</t>
  </si>
  <si>
    <t>U0131</t>
  </si>
  <si>
    <t>U0132</t>
  </si>
  <si>
    <t>Tenant_89</t>
  </si>
  <si>
    <t>U0133</t>
  </si>
  <si>
    <t>Tenant_50</t>
  </si>
  <si>
    <t>U0134</t>
  </si>
  <si>
    <t>U0135</t>
  </si>
  <si>
    <t>U0136</t>
  </si>
  <si>
    <t>Tenant_119</t>
  </si>
  <si>
    <t>U0137</t>
  </si>
  <si>
    <t>Tenant_168</t>
  </si>
  <si>
    <t>U0138</t>
  </si>
  <si>
    <t>Tenant_183</t>
  </si>
  <si>
    <t>U0139</t>
  </si>
  <si>
    <t>U0140</t>
  </si>
  <si>
    <t>Tenant_17</t>
  </si>
  <si>
    <t>U0141</t>
  </si>
  <si>
    <t>U0142</t>
  </si>
  <si>
    <t>Tenant_92</t>
  </si>
  <si>
    <t>U0143</t>
  </si>
  <si>
    <t>U0144</t>
  </si>
  <si>
    <t>Tenant_71</t>
  </si>
  <si>
    <t>U0145</t>
  </si>
  <si>
    <t>U0146</t>
  </si>
  <si>
    <t>Tenant_67</t>
  </si>
  <si>
    <t>U0147</t>
  </si>
  <si>
    <t>U0148</t>
  </si>
  <si>
    <t>U0149</t>
  </si>
  <si>
    <t>U0150</t>
  </si>
  <si>
    <t>Tenant_32</t>
  </si>
  <si>
    <t>U0151</t>
  </si>
  <si>
    <t>Tenant_98</t>
  </si>
  <si>
    <t>U0152</t>
  </si>
  <si>
    <t>U0153</t>
  </si>
  <si>
    <t>Tenant_193</t>
  </si>
  <si>
    <t>U0154</t>
  </si>
  <si>
    <t>U0155</t>
  </si>
  <si>
    <t>Tenant_22</t>
  </si>
  <si>
    <t>U0156</t>
  </si>
  <si>
    <t>U0157</t>
  </si>
  <si>
    <t>U0158</t>
  </si>
  <si>
    <t>Tenant_97</t>
  </si>
  <si>
    <t>U0159</t>
  </si>
  <si>
    <t>Tenant_90</t>
  </si>
  <si>
    <t>U0160</t>
  </si>
  <si>
    <t>Tenant_167</t>
  </si>
  <si>
    <t>U0161</t>
  </si>
  <si>
    <t>Tenant_88</t>
  </si>
  <si>
    <t>U0162</t>
  </si>
  <si>
    <t>U0163</t>
  </si>
  <si>
    <t>Tenant_96</t>
  </si>
  <si>
    <t>U0164</t>
  </si>
  <si>
    <t>Tenant_46</t>
  </si>
  <si>
    <t>U0165</t>
  </si>
  <si>
    <t>U0166</t>
  </si>
  <si>
    <t>Tenant_42</t>
  </si>
  <si>
    <t>U0167</t>
  </si>
  <si>
    <t>U0168</t>
  </si>
  <si>
    <t>U0169</t>
  </si>
  <si>
    <t>Tenant_108</t>
  </si>
  <si>
    <t>U0170</t>
  </si>
  <si>
    <t>Tenant_133</t>
  </si>
  <si>
    <t>U0171</t>
  </si>
  <si>
    <t>U0172</t>
  </si>
  <si>
    <t>U0173</t>
  </si>
  <si>
    <t>U0174</t>
  </si>
  <si>
    <t>U0175</t>
  </si>
  <si>
    <t>U0176</t>
  </si>
  <si>
    <t>Tenant_86</t>
  </si>
  <si>
    <t>U0177</t>
  </si>
  <si>
    <t>Tenant_38</t>
  </si>
  <si>
    <t>U0178</t>
  </si>
  <si>
    <t>Tenant_6</t>
  </si>
  <si>
    <t>U0179</t>
  </si>
  <si>
    <t>U0180</t>
  </si>
  <si>
    <t>U0181</t>
  </si>
  <si>
    <t>Tenant_165</t>
  </si>
  <si>
    <t>U0182</t>
  </si>
  <si>
    <t>Tenant_28</t>
  </si>
  <si>
    <t>U0183</t>
  </si>
  <si>
    <t>Tenant_175</t>
  </si>
  <si>
    <t>U0184</t>
  </si>
  <si>
    <t>U0185</t>
  </si>
  <si>
    <t>U0186</t>
  </si>
  <si>
    <t>Tenant_147</t>
  </si>
  <si>
    <t>U0187</t>
  </si>
  <si>
    <t>U0188</t>
  </si>
  <si>
    <t>U0189</t>
  </si>
  <si>
    <t>U0190</t>
  </si>
  <si>
    <t>U0191</t>
  </si>
  <si>
    <t>Tenant_126</t>
  </si>
  <si>
    <t>U0192</t>
  </si>
  <si>
    <t>Tenant_157</t>
  </si>
  <si>
    <t>U0193</t>
  </si>
  <si>
    <t>Tenant_8</t>
  </si>
  <si>
    <t>U0194</t>
  </si>
  <si>
    <t>U0195</t>
  </si>
  <si>
    <t>U0196</t>
  </si>
  <si>
    <t>U0197</t>
  </si>
  <si>
    <t>Tenant_111</t>
  </si>
  <si>
    <t>U0198</t>
  </si>
  <si>
    <t>Tenant_54</t>
  </si>
  <si>
    <t>U0199</t>
  </si>
  <si>
    <t>U0200</t>
  </si>
  <si>
    <t>U0201</t>
  </si>
  <si>
    <t>U0202</t>
  </si>
  <si>
    <t>Tenant_115</t>
  </si>
  <si>
    <t>U0203</t>
  </si>
  <si>
    <t>U0204</t>
  </si>
  <si>
    <t>U0205</t>
  </si>
  <si>
    <t>U0206</t>
  </si>
  <si>
    <t>U0207</t>
  </si>
  <si>
    <t>U0208</t>
  </si>
  <si>
    <t>U0209</t>
  </si>
  <si>
    <t>U0210</t>
  </si>
  <si>
    <t>U0211</t>
  </si>
  <si>
    <t>Tenant_70</t>
  </si>
  <si>
    <t>U0212</t>
  </si>
  <si>
    <t>Tenant_83</t>
  </si>
  <si>
    <t>U0213</t>
  </si>
  <si>
    <t>U0214</t>
  </si>
  <si>
    <t>Tenant_27</t>
  </si>
  <si>
    <t>U0215</t>
  </si>
  <si>
    <t>Tenant_24</t>
  </si>
  <si>
    <t>U0216</t>
  </si>
  <si>
    <t>U0217</t>
  </si>
  <si>
    <t>U0218</t>
  </si>
  <si>
    <t>U0219</t>
  </si>
  <si>
    <t>U0220</t>
  </si>
  <si>
    <t>U0221</t>
  </si>
  <si>
    <t>U0222</t>
  </si>
  <si>
    <t>U0223</t>
  </si>
  <si>
    <t>U0224</t>
  </si>
  <si>
    <t>U0225</t>
  </si>
  <si>
    <t>U0226</t>
  </si>
  <si>
    <t>Tenant_123</t>
  </si>
  <si>
    <t>U0227</t>
  </si>
  <si>
    <t>U0228</t>
  </si>
  <si>
    <t>U0229</t>
  </si>
  <si>
    <t>U0230</t>
  </si>
  <si>
    <t>U0231</t>
  </si>
  <si>
    <t>U0232</t>
  </si>
  <si>
    <t>Tenant_52</t>
  </si>
  <si>
    <t>U0233</t>
  </si>
  <si>
    <t>U0234</t>
  </si>
  <si>
    <t>U0235</t>
  </si>
  <si>
    <t>U0236</t>
  </si>
  <si>
    <t>U0237</t>
  </si>
  <si>
    <t>Tenant_181</t>
  </si>
  <si>
    <t>U0238</t>
  </si>
  <si>
    <t>U0239</t>
  </si>
  <si>
    <t>U0240</t>
  </si>
  <si>
    <t>U0241</t>
  </si>
  <si>
    <t>U0242</t>
  </si>
  <si>
    <t>U0243</t>
  </si>
  <si>
    <t>Tenant_80</t>
  </si>
  <si>
    <t>U0244</t>
  </si>
  <si>
    <t>U0245</t>
  </si>
  <si>
    <t>U0246</t>
  </si>
  <si>
    <t>U0247</t>
  </si>
  <si>
    <t>Tenant_156</t>
  </si>
  <si>
    <t>U0248</t>
  </si>
  <si>
    <t>U0249</t>
  </si>
  <si>
    <t>U0250</t>
  </si>
  <si>
    <t>Tenant_18</t>
  </si>
  <si>
    <t>U0251</t>
  </si>
  <si>
    <t>Tenant_84</t>
  </si>
  <si>
    <t>U0252</t>
  </si>
  <si>
    <t>Tenant_101</t>
  </si>
  <si>
    <t>U0253</t>
  </si>
  <si>
    <t>U0254</t>
  </si>
  <si>
    <t>U0255</t>
  </si>
  <si>
    <t>Tenant_77</t>
  </si>
  <si>
    <t>U0256</t>
  </si>
  <si>
    <t>U0257</t>
  </si>
  <si>
    <t>U0258</t>
  </si>
  <si>
    <t>U0259</t>
  </si>
  <si>
    <t>U0260</t>
  </si>
  <si>
    <t>Tenant_153</t>
  </si>
  <si>
    <t>U0261</t>
  </si>
  <si>
    <t>U0262</t>
  </si>
  <si>
    <t>U0263</t>
  </si>
  <si>
    <t>Tenant_41</t>
  </si>
  <si>
    <t>U0264</t>
  </si>
  <si>
    <t>U0265</t>
  </si>
  <si>
    <t>U0266</t>
  </si>
  <si>
    <t>U0267</t>
  </si>
  <si>
    <t>U0268</t>
  </si>
  <si>
    <t>U0269</t>
  </si>
  <si>
    <t>U0270</t>
  </si>
  <si>
    <t>Tenant_93</t>
  </si>
  <si>
    <t>U0271</t>
  </si>
  <si>
    <t>U0272</t>
  </si>
  <si>
    <t>U0273</t>
  </si>
  <si>
    <t>Tenant_85</t>
  </si>
  <si>
    <t>U0274</t>
  </si>
  <si>
    <t>U0275</t>
  </si>
  <si>
    <t>Tenant_192</t>
  </si>
  <si>
    <t>U0276</t>
  </si>
  <si>
    <t>U0277</t>
  </si>
  <si>
    <t>U0278</t>
  </si>
  <si>
    <t>U0279</t>
  </si>
  <si>
    <t>Tenant_105</t>
  </si>
  <si>
    <t>U0280</t>
  </si>
  <si>
    <t>U0281</t>
  </si>
  <si>
    <t>U0282</t>
  </si>
  <si>
    <t>U0283</t>
  </si>
  <si>
    <t>U0284</t>
  </si>
  <si>
    <t>U0285</t>
  </si>
  <si>
    <t>Tenant_184</t>
  </si>
  <si>
    <t>U0286</t>
  </si>
  <si>
    <t>U0287</t>
  </si>
  <si>
    <t>U0288</t>
  </si>
  <si>
    <t>Tenant_173</t>
  </si>
  <si>
    <t>U0289</t>
  </si>
  <si>
    <t>Tenant_65</t>
  </si>
  <si>
    <t>U0290</t>
  </si>
  <si>
    <t>U0291</t>
  </si>
  <si>
    <t>U0292</t>
  </si>
  <si>
    <t>Tenant_110</t>
  </si>
  <si>
    <t>U0293</t>
  </si>
  <si>
    <t>U0294</t>
  </si>
  <si>
    <t>Tenant_170</t>
  </si>
  <si>
    <t>U0295</t>
  </si>
  <si>
    <t>U0296</t>
  </si>
  <si>
    <t>U0297</t>
  </si>
  <si>
    <t>U0298</t>
  </si>
  <si>
    <t>U0299</t>
  </si>
  <si>
    <t>Tenant_82</t>
  </si>
  <si>
    <t>U0300</t>
  </si>
  <si>
    <t>U0301</t>
  </si>
  <si>
    <t>U0302</t>
  </si>
  <si>
    <t>U0303</t>
  </si>
  <si>
    <t>Tenant_2</t>
  </si>
  <si>
    <t>U0304</t>
  </si>
  <si>
    <t>U0305</t>
  </si>
  <si>
    <t>Tenant_74</t>
  </si>
  <si>
    <t>U0306</t>
  </si>
  <si>
    <t>U0307</t>
  </si>
  <si>
    <t>U0308</t>
  </si>
  <si>
    <t>U0309</t>
  </si>
  <si>
    <t>U0310</t>
  </si>
  <si>
    <t>U0311</t>
  </si>
  <si>
    <t>U0312</t>
  </si>
  <si>
    <t>U0313</t>
  </si>
  <si>
    <t>U0314</t>
  </si>
  <si>
    <t>U0315</t>
  </si>
  <si>
    <t>Tenant_57</t>
  </si>
  <si>
    <t>U0316</t>
  </si>
  <si>
    <t>U0317</t>
  </si>
  <si>
    <t>U0318</t>
  </si>
  <si>
    <t>Tenant_182</t>
  </si>
  <si>
    <t>U0319</t>
  </si>
  <si>
    <t>U0320</t>
  </si>
  <si>
    <t>U0321</t>
  </si>
  <si>
    <t>U0322</t>
  </si>
  <si>
    <t>Tenant_36</t>
  </si>
  <si>
    <t>U0323</t>
  </si>
  <si>
    <t>U0324</t>
  </si>
  <si>
    <t>U0325</t>
  </si>
  <si>
    <t>Tenant_142</t>
  </si>
  <si>
    <t>U0326</t>
  </si>
  <si>
    <t>U0327</t>
  </si>
  <si>
    <t>U0328</t>
  </si>
  <si>
    <t>U0329</t>
  </si>
  <si>
    <t>U0330</t>
  </si>
  <si>
    <t>U0331</t>
  </si>
  <si>
    <t>Tenant_64</t>
  </si>
  <si>
    <t>U0332</t>
  </si>
  <si>
    <t>U0333</t>
  </si>
  <si>
    <t>Tenant_104</t>
  </si>
  <si>
    <t>U0334</t>
  </si>
  <si>
    <t>Tenant_11</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</si>
  <si>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</si>
  <si>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</si>
  <si>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</si>
  <si>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</si>
  <si>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</si>
  <si>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</si>
  <si>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</si>
  <si>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</si>
  <si>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</si>
  <si>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</si>
  <si>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</si>
  <si>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</si>
  <si>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</si>
  <si>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</si>
  <si>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</si>
  <si>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</si>
  <si>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</si>
  <si>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</si>
  <si>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</si>
  <si>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</si>
  <si>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Tenant_120</t>
  </si>
  <si>
    <t>U0355</t>
  </si>
  <si>
    <t>U0356</t>
  </si>
  <si>
    <t>U0357</t>
  </si>
  <si>
    <t>U0358</t>
  </si>
  <si>
    <t>U0359</t>
  </si>
  <si>
    <t>U0360</t>
  </si>
  <si>
    <t>U0361</t>
  </si>
  <si>
    <t>U0362</t>
  </si>
  <si>
    <t>U0363</t>
  </si>
  <si>
    <t>U0364</t>
  </si>
  <si>
    <t>U0365</t>
  </si>
  <si>
    <t>U0366</t>
  </si>
  <si>
    <t>Tenant_128</t>
  </si>
  <si>
    <t>U0367</t>
  </si>
  <si>
    <t>U0368</t>
  </si>
  <si>
    <t>U0369</t>
  </si>
  <si>
    <t>U0370</t>
  </si>
  <si>
    <t>U0371</t>
  </si>
  <si>
    <t>U0372</t>
  </si>
  <si>
    <t>U0373</t>
  </si>
  <si>
    <t>U0374</t>
  </si>
  <si>
    <t>Tenant_66</t>
  </si>
  <si>
    <t>U0375</t>
  </si>
  <si>
    <t>Tenant_124</t>
  </si>
  <si>
    <t>U0376</t>
  </si>
  <si>
    <t>U0377</t>
  </si>
  <si>
    <t>U0378</t>
  </si>
  <si>
    <t>U0379</t>
  </si>
  <si>
    <t>Tenant_194</t>
  </si>
  <si>
    <t>U0380</t>
  </si>
  <si>
    <t>U0381</t>
  </si>
  <si>
    <t>U0382</t>
  </si>
  <si>
    <t>U0383</t>
  </si>
  <si>
    <t>U0384</t>
  </si>
  <si>
    <t>U0385</t>
  </si>
  <si>
    <t>U0386</t>
  </si>
  <si>
    <t>U0387</t>
  </si>
  <si>
    <t>U0388</t>
  </si>
  <si>
    <t>Tenant_172</t>
  </si>
  <si>
    <t>U0389</t>
  </si>
  <si>
    <t>U0390</t>
  </si>
  <si>
    <t>U0391</t>
  </si>
  <si>
    <t>U0392</t>
  </si>
  <si>
    <t>U0393</t>
  </si>
  <si>
    <t>U0394</t>
  </si>
  <si>
    <t>U0395</t>
  </si>
  <si>
    <t>U0396</t>
  </si>
  <si>
    <t>U0397</t>
  </si>
  <si>
    <t>U0398</t>
  </si>
  <si>
    <t>Tenant_56</t>
  </si>
  <si>
    <t>U0399</t>
  </si>
  <si>
    <t>U0400</t>
  </si>
  <si>
    <t>U0401</t>
  </si>
  <si>
    <t>U0402</t>
  </si>
  <si>
    <t>Tenant_130</t>
  </si>
  <si>
    <t>U0403</t>
  </si>
  <si>
    <t>U0404</t>
  </si>
  <si>
    <t>U0405</t>
  </si>
  <si>
    <t>Tenant_10</t>
  </si>
  <si>
    <t>U0406</t>
  </si>
  <si>
    <t>U0407</t>
  </si>
  <si>
    <t>U0408</t>
  </si>
  <si>
    <t>U0409</t>
  </si>
  <si>
    <t>U0410</t>
  </si>
  <si>
    <t>Tenant_58</t>
  </si>
  <si>
    <t>U0411</t>
  </si>
  <si>
    <t>U0412</t>
  </si>
  <si>
    <t>U0413</t>
  </si>
  <si>
    <t>U0414</t>
  </si>
  <si>
    <t>U0415</t>
  </si>
  <si>
    <t>U0416</t>
  </si>
  <si>
    <t>U0417</t>
  </si>
  <si>
    <t>Tenant_187</t>
  </si>
  <si>
    <t>U0418</t>
  </si>
  <si>
    <t>U0419</t>
  </si>
  <si>
    <t>U0420</t>
  </si>
  <si>
    <t>Tenant_185</t>
  </si>
  <si>
    <t>U0421</t>
  </si>
  <si>
    <t>U0422</t>
  </si>
  <si>
    <t>Tenant_23</t>
  </si>
  <si>
    <t>U0423</t>
  </si>
  <si>
    <t>Tenant_125</t>
  </si>
  <si>
    <t>U0424</t>
  </si>
  <si>
    <t>U0425</t>
  </si>
  <si>
    <t>U0426</t>
  </si>
  <si>
    <t>U0427</t>
  </si>
  <si>
    <t>U0428</t>
  </si>
  <si>
    <t>U0429</t>
  </si>
  <si>
    <t>U0430</t>
  </si>
  <si>
    <t>U0431</t>
  </si>
  <si>
    <t>Tenant_179</t>
  </si>
  <si>
    <t>U0432</t>
  </si>
  <si>
    <t>U0433</t>
  </si>
  <si>
    <t>U0434</t>
  </si>
  <si>
    <t>U0435</t>
  </si>
  <si>
    <t>U0436</t>
  </si>
  <si>
    <t>U0437</t>
  </si>
  <si>
    <t>U0438</t>
  </si>
  <si>
    <t>U0439</t>
  </si>
  <si>
    <t>Tenant_141</t>
  </si>
  <si>
    <t>U0440</t>
  </si>
  <si>
    <t>U0441</t>
  </si>
  <si>
    <t>U0442</t>
  </si>
  <si>
    <t>U0443</t>
  </si>
  <si>
    <t>U0444</t>
  </si>
  <si>
    <t>U0445</t>
  </si>
  <si>
    <t>U0446</t>
  </si>
  <si>
    <t>U0447</t>
  </si>
  <si>
    <t>U0448</t>
  </si>
  <si>
    <t>U0449</t>
  </si>
  <si>
    <t>U0450</t>
  </si>
  <si>
    <t>U0451</t>
  </si>
  <si>
    <t>Tenant_158</t>
  </si>
  <si>
    <t>U0452</t>
  </si>
  <si>
    <t>U0453</t>
  </si>
  <si>
    <t>U0454</t>
  </si>
  <si>
    <t>U0455</t>
  </si>
  <si>
    <t>U0456</t>
  </si>
  <si>
    <t>U0457</t>
  </si>
  <si>
    <t>U0458</t>
  </si>
  <si>
    <t>U0459</t>
  </si>
  <si>
    <t>U0460</t>
  </si>
  <si>
    <t>U0461</t>
  </si>
  <si>
    <t>U0462</t>
  </si>
  <si>
    <t>U0463</t>
  </si>
  <si>
    <t>U0464</t>
  </si>
  <si>
    <t>U0465</t>
  </si>
  <si>
    <t>U0466</t>
  </si>
  <si>
    <t>U0467</t>
  </si>
  <si>
    <t>U0468</t>
  </si>
  <si>
    <t>U0469</t>
  </si>
  <si>
    <t>U0470</t>
  </si>
  <si>
    <t>U0471</t>
  </si>
  <si>
    <t>U0472</t>
  </si>
  <si>
    <t>U0473</t>
  </si>
  <si>
    <t>U0474</t>
  </si>
  <si>
    <t>U0475</t>
  </si>
  <si>
    <t>Tenant_53</t>
  </si>
  <si>
    <t>U0476</t>
  </si>
  <si>
    <t>U0477</t>
  </si>
  <si>
    <t>U0478</t>
  </si>
  <si>
    <t>U0479</t>
  </si>
  <si>
    <t>U0480</t>
  </si>
  <si>
    <t>U0481</t>
  </si>
  <si>
    <t>Tenant_150</t>
  </si>
  <si>
    <t>U0482</t>
  </si>
  <si>
    <t>U0483</t>
  </si>
  <si>
    <t>U0484</t>
  </si>
  <si>
    <t>Tenant_106</t>
  </si>
  <si>
    <t>U0485</t>
  </si>
  <si>
    <t>U0486</t>
  </si>
  <si>
    <t>U0487</t>
  </si>
  <si>
    <t>U0488</t>
  </si>
  <si>
    <t>U0489</t>
  </si>
  <si>
    <t>U0490</t>
  </si>
  <si>
    <t>Tenant_131</t>
  </si>
  <si>
    <t>U0491</t>
  </si>
  <si>
    <t>U0492</t>
  </si>
  <si>
    <t>U0493</t>
  </si>
  <si>
    <t>U0494</t>
  </si>
  <si>
    <t>U0495</t>
  </si>
  <si>
    <t>U0496</t>
  </si>
  <si>
    <t>U0497</t>
  </si>
  <si>
    <t>U0498</t>
  </si>
  <si>
    <t>U0499</t>
  </si>
  <si>
    <t>U0500</t>
  </si>
  <si>
    <t>Check</t>
  </si>
  <si>
    <t>Check_Area</t>
  </si>
  <si>
    <t>Check_Rent</t>
  </si>
  <si>
    <t>Jahresrente_EUR</t>
  </si>
  <si>
    <t>Unterschied</t>
  </si>
  <si>
    <t>Rent_per_sqm</t>
  </si>
  <si>
    <t>Total_Cost_EURO</t>
  </si>
  <si>
    <t>NOI_pro_UNIT</t>
  </si>
  <si>
    <t>Month_to_Expiry</t>
  </si>
  <si>
    <t>Expiry Bucket</t>
  </si>
  <si>
    <t>Vacant_Area</t>
  </si>
  <si>
    <t>Oc_Area</t>
  </si>
  <si>
    <t>Zeilenbeschriftungen</t>
  </si>
  <si>
    <t>Gesamtergebnis</t>
  </si>
  <si>
    <t>Summe von Vacant_Area</t>
  </si>
  <si>
    <t>Summe von Oc_Area</t>
  </si>
  <si>
    <t>0-3 Monaten</t>
  </si>
  <si>
    <t>12 M+</t>
  </si>
  <si>
    <t>3-6 Monaten</t>
  </si>
  <si>
    <t>6-12 Monaten</t>
  </si>
  <si>
    <t>Summe von Monthly_Rent_EUR</t>
  </si>
  <si>
    <t>Summe von Annual_Rent_EUR</t>
  </si>
  <si>
    <t>Summe von Area_sqm</t>
  </si>
  <si>
    <t>Mittelwert von Annual_Rent_EUR</t>
  </si>
  <si>
    <t>Occupancy, %</t>
  </si>
  <si>
    <t>Vacancy, %</t>
  </si>
  <si>
    <t>Rent Roll Dashboard</t>
  </si>
  <si>
    <t>As of</t>
  </si>
  <si>
    <t>Total Units</t>
  </si>
  <si>
    <t xml:space="preserve"> Total Area</t>
  </si>
  <si>
    <t>Total Annual Rent (Euro)</t>
  </si>
  <si>
    <t>Occupancy (%)</t>
  </si>
  <si>
    <t>Weighted Rent per sqm (Euro)</t>
  </si>
  <si>
    <t>WAULT (Years)</t>
  </si>
  <si>
    <t>Vacant Area</t>
  </si>
  <si>
    <t>WeightedTermYears</t>
  </si>
  <si>
    <t>NOI Margin</t>
  </si>
  <si>
    <t>Wault</t>
  </si>
  <si>
    <t>Spalte1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</si>
</sst>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0.0000"/>
    <numFmt numFmtId="166" formatCode="0.000"/>
  </numFmts>
  <fonts count="5" x14ac:knownFonts="1">
    <font>
      <sz val="11"/>
      <color theme="1"/>
      <name val="Calibri"/>
      <family val="2"/>
      <scheme val="minor"/>
    </font>
    <font>
      <b/>
      <sz val="11"/>
      <color theme="1"/>
      <name val="Calibri"/>
      <family val="2"/>
      <scheme val="minor"/>
    </font>
    <font>
      <b/>
      <sz val="26"/>
      <color theme="1"/>
      <name val="Calibri"/>
      <family val="2"/>
      <scheme val="minor"/>
    </font>
    <font>
      <i/>
      <sz val="18"/>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20">
    <xf numFmtId="0" fontId="0" fillId="0" borderId="0" xfId="0"/>
    <xf numFmtId="164" fontId="0" fillId="0" borderId="0" xfId="0" applyNumberFormat="1"/>
    <xf numFmtId="0" fontId="0" fillId="2" borderId="0" xfId="0" applyFill="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0" xfId="0" applyFont="1" applyFill="1"/>
    <xf numFmtId="0" fontId="1" fillId="0" borderId="0" xfId="0" applyFont="1"/>
    <xf numFmtId="0" fontId="2" fillId="0" borderId="0" xfId="0" applyFont="1"/>
    <xf numFmtId="0" fontId="3" fillId="0" borderId="0" xfId="0" applyFont="1"/>
    <xf numFmtId="14" fontId="4" fillId="0" borderId="0" xfId="0" applyNumberFormat="1" applyFont="1"/>
    <xf numFmtId="2" fontId="1" fillId="0" borderId="0" xfId="0" applyNumberFormat="1" applyFont="1"/>
    <xf numFmtId="2" fontId="1" fillId="0" borderId="0" xfId="0" applyNumberFormat="1" applyFont="1" applyFill="1"/>
    <xf numFmtId="0" fontId="1" fillId="0" borderId="0" xfId="0" applyFont="1" applyFill="1" applyBorder="1"/>
    <xf numFmtId="0" fontId="0" fillId="0" borderId="0" xfId="0" applyFont="1"/>
    <xf numFmtId="165" fontId="1" fillId="0" borderId="0" xfId="0" applyNumberFormat="1" applyFont="1"/>
    <xf numFmtId="0" fontId="0" fillId="0" borderId="0" xfId="0" applyFill="1"/>
    <xf numFmtId="0" fontId="0" fillId="0" borderId="0" xfId="0" applyAlignment="1">
      <alignment vertical="justify"/>
    </xf>
    <xf numFmtId="166" fontId="0" fillId="0" borderId="0" xfId="0" applyNumberFormat="1"/>
  </cellXfs>
  <cellStyles count="1">
    <cellStyle name="Standard" xfId="0" builtinId="0"/>
  </cellStyles>
  <dxfs count="15">
    <dxf>
      <numFmt numFmtId="164" formatCode="yyyy\-mm\-dd\ h:mm:ss"/>
    </dxf>
    <dxf>
      <numFmt numFmtId="164" formatCode="yyyy\-mm\-dd\ h:mm:ss"/>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mm:ss"/>
    </dxf>
    <dxf>
      <numFmt numFmtId="164" formatCode="yyyy\-mm\-dd\ h:mm:ss"/>
    </dxf>
    <dxf>
      <fill>
        <patternFill patternType="solid">
          <fgColor indexed="64"/>
          <bgColor theme="6" tint="0.79998168889431442"/>
        </patternFill>
      </fill>
    </dxf>
    <dxf>
      <fill>
        <patternFill patternType="solid">
          <fgColor indexed="64"/>
          <bgColor theme="6" tint="0.79998168889431442"/>
        </patternFill>
      </fill>
    </dxf>
    <dxf>
      <alignment horizontal="general" vertical="justify"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Occupancy Rate</a:t>
            </a:r>
            <a:r>
              <a:rPr lang="de-DE" baseline="0"/>
              <a:t> (</a:t>
            </a:r>
            <a:r>
              <a:rPr lang="de-DE"/>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D7B4-4C98-8E64-85A09370A479}"/>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D7B4-4C98-8E64-85A09370A47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de-DE"/>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'1_KPIs_Pivot'!$E$3:$F$3</c:f>
              <c:strCache>
                <c:ptCount val="2"/>
                <c:pt idx="0">
                  <c:v>Occupancy, %</c:v>
                </c:pt>
                <c:pt idx="1">
                  <c:v>Vacancy, %</c:v>
                </c:pt>
              </c:strCache>
            </c:strRef>
          </c:cat>
          <c:val>
            <c:numRef>
              <c:f>'1_KPIs_Pivot'!$E$4:$F$4</c:f>
              <c:numCache>
                <c:formatCode>0.00</c:formatCode>
                <c:ptCount val="2"/>
                <c:pt idx="0">
                  <c:v>86.655990144748998</c:v>
                </c:pt>
                <c:pt idx="1">
                  <c:v>13.344009855251002</c:v>
                </c:pt>
              </c:numCache>
            </c:numRef>
          </c:val>
          <c:extLst>
            <c:ext xmlns:c16="http://schemas.microsoft.com/office/drawing/2014/chart" uri="{C3380CC4-5D6E-409C-BE32-E72D297353CC}">
              <c16:uniqueId val="{00000000-75C4-4390-8660-1710C4690B2E}"/>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Occupancy Rate</a:t>
            </a:r>
            <a:r>
              <a:rPr lang="de-DE" baseline="0"/>
              <a:t> (</a:t>
            </a:r>
            <a:r>
              <a:rPr lang="de-DE"/>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1-E105-4D5C-9597-49E6EC35F93D}"/>
              </c:ext>
            </c:extLst>
          </c:dPt>
          <c:dPt>
            <c:idx val="1"/>
            <c:invertIfNegative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E105-4D5C-9597-49E6EC35F93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'1_KPIs_Pivot'!$E$3:$F$3</c:f>
              <c:strCache>
                <c:ptCount val="2"/>
                <c:pt idx="0">
                  <c:v>Occupancy, %</c:v>
                </c:pt>
                <c:pt idx="1">
                  <c:v>Vacancy, %</c:v>
                </c:pt>
              </c:strCache>
            </c:strRef>
          </c:cat>
          <c:val>
            <c:numRef>
              <c:f>'1_KPIs_Pivot'!$E$4:$F$4</c:f>
              <c:numCache>
                <c:formatCode>0.00</c:formatCode>
                <c:ptCount val="2"/>
                <c:pt idx="0">
                  <c:v>86.655990144748998</c:v>
                </c:pt>
                <c:pt idx="1">
                  <c:v>13.344009855251002</c:v>
                </c:pt>
              </c:numCache>
            </c:numRef>
          </c:val>
          <c:extLst>
            <c:ext xmlns:c16="http://schemas.microsoft.com/office/drawing/2014/chart" uri="{C3380CC4-5D6E-409C-BE32-E72D297353CC}">
              <c16:uniqueId val="{00000004-E105-4D5C-9597-49E6EC35F93D}"/>
            </c:ext>
          </c:extLst>
        </c:ser>
        <c:dLbls>
          <c:showLegendKey val="0"/>
          <c:showVal val="0"/>
          <c:showCatName val="0"/>
          <c:showSerName val="0"/>
          <c:showPercent val="0"/>
          <c:showBubbleSize val="0"/>
        </c:dLbls>
        <c:gapWidth val="100"/>
        <c:axId val="1906603151"/>
        <c:axId val="1906602191"/>
      </c:barChart>
      <c:catAx>
        <c:axId val="1906603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6602191"/>
        <c:crosses val="autoZero"/>
        <c:auto val="1"/>
        <c:lblAlgn val="ctr"/>
        <c:lblOffset val="100"/>
        <c:noMultiLvlLbl val="0"/>
      </c:catAx>
      <c:valAx>
        <c:axId val="1906602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660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[Rent_Roll_Training_500_Rows.xlsb.xlsx]2_Portfolio_An_Rent!PivotTable14</c:name>
    <c:fmtId val="1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Annual Rent by Property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de-DE"/>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'2_Portfolio_An_Rent'!$B$3</c:f>
              <c:strCache>
                <c:ptCount val="1"/>
                <c:pt idx="0">
                  <c:v>Ergebnis</c:v>
                </c:pt>
              </c:strCache>
            </c:strRef>
          </c:tx>
          <c:spPr>
            <a:solidFill>
              <a:schemeClr val="accent1">
                <a:alpha val="70000"/>
              </a:schemeClr>
            </a:solidFill>
            <a:ln>
              <a:noFill/>
            </a:ln>
            <a:effectLst/>
          </c:spPr>
          <c:invertIfNegative val="0"/>
          <c:cat>
            <c:strRef>
              <c:f>'2_Portfolio_An_Rent'!$A$4:$A$12</c:f>
              <c:strCache>
                <c:ptCount val="8"/>
                <c:pt idx="0">
                  <c:v>Berlin_Tempelhof</c:v>
                </c:pt>
                <c:pt idx="1">
                  <c:v>Leipzig_Park</c:v>
                </c:pt>
                <c:pt idx="2">
                  <c:v>Berlin_Borsigwerke</c:v>
                </c:pt>
                <c:pt idx="3">
                  <c:v>Hamburg_Park</c:v>
                </c:pt>
                <c:pt idx="4">
                  <c:v>Berlin_Gartenfeld</c:v>
                </c:pt>
                <c:pt idx="5">
                  <c:v>Berlin_Mahlsdorf</c:v>
                </c:pt>
                <c:pt idx="6">
                  <c:v>Munich_Park</c:v>
                </c:pt>
                <c:pt idx="7">
                  <c:v>Dresden_Park</c:v>
                </c:pt>
              </c:strCache>
            </c:strRef>
          </c:cat>
          <c:val>
            <c:numRef>
              <c:f>'2_Portfolio_An_Rent'!$B$4:$B$12</c:f>
              <c:numCache>
                <c:formatCode>General</c:formatCode>
                <c:ptCount val="8"/>
                <c:pt idx="0">
                  <c:v>5166499.08</c:v>
                </c:pt>
                <c:pt idx="1">
                  <c:v>5288700.4800000004</c:v>
                </c:pt>
                <c:pt idx="2">
                  <c:v>5642157.8399999999</c:v>
                </c:pt>
                <c:pt idx="3">
                  <c:v>6188352.5999999996</c:v>
                </c:pt>
                <c:pt idx="4">
                  <c:v>6450223.8000000007</c:v>
                </c:pt>
                <c:pt idx="5">
                  <c:v>6673342.6800000006</c:v>
                </c:pt>
                <c:pt idx="6">
                  <c:v>6813046.080000001</c:v>
                </c:pt>
                <c:pt idx="7">
                  <c:v>7639767.3600000003</c:v>
                </c:pt>
              </c:numCache>
            </c:numRef>
          </c:val>
          <c:extLst>
            <c:ext xmlns:c16="http://schemas.microsoft.com/office/drawing/2014/chart" uri="{C3380CC4-5D6E-409C-BE32-E72D297353CC}">
              <c16:uniqueId val="{00000000-CDC7-4F39-8D57-6C4CC0DAEA66}"/>
            </c:ext>
          </c:extLst>
        </c:ser>
        <c:dLbls>
          <c:showLegendKey val="0"/>
          <c:showVal val="0"/>
          <c:showCatName val="0"/>
          <c:showSerName val="0"/>
          <c:showPercent val="0"/>
          <c:showBubbleSize val="0"/>
        </c:dLbls>
        <c:gapWidth val="80"/>
        <c:overlap val="25"/>
        <c:axId val="2063146447"/>
        <c:axId val="2063143567"/>
      </c:barChart>
      <c:catAx>
        <c:axId val="20631464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de-DE"/>
          </a:p>
        </c:txPr>
        <c:crossAx val="2063143567"/>
        <c:crosses val="autoZero"/>
        <c:auto val="1"/>
        <c:lblAlgn val="ctr"/>
        <c:lblOffset val="100"/>
        <c:noMultiLvlLbl val="0"/>
      </c:catAx>
      <c:valAx>
        <c:axId val="20631435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de-DE"/>
          </a:p>
        </c:txPr>
        <c:crossAx val="2063146447"/>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[Rent_Roll_Training_500_Rows.xlsb.xlsx]3_Occupancy by Property!PivotTable1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'3_Occupancy by Property'!$B$3</c:f>
              <c:strCache>
                <c:ptCount val="1"/>
                <c:pt idx="0">
                  <c:v>Summe von Oc_Area</c:v>
                </c:pt>
              </c:strCache>
            </c:strRef>
          </c:tx>
          <c:spPr>
            <a:solidFill>
              <a:schemeClr val="accent1"/>
            </a:solidFill>
            <a:ln>
              <a:noFill/>
            </a:ln>
            <a:effectLst/>
          </c:spPr>
          <c:invertIfNegative val="0"/>
          <c:cat>
            <c:strRef>
              <c:f>'3_Occupancy by Property'!$A$4:$A$12</c:f>
              <c:strCache>
                <c:ptCount val="8"/>
                <c:pt idx="0">
                  <c:v>Berlin_Borsigwerke</c:v>
                </c:pt>
                <c:pt idx="1">
                  <c:v>Berlin_Gartenfeld</c:v>
                </c:pt>
                <c:pt idx="2">
                  <c:v>Berlin_Mahlsdorf</c:v>
                </c:pt>
                <c:pt idx="3">
                  <c:v>Berlin_Tempelhof</c:v>
                </c:pt>
                <c:pt idx="4">
                  <c:v>Dresden_Park</c:v>
                </c:pt>
                <c:pt idx="5">
                  <c:v>Hamburg_Park</c:v>
                </c:pt>
                <c:pt idx="6">
                  <c:v>Leipzig_Park</c:v>
                </c:pt>
                <c:pt idx="7">
                  <c:v>Munich_Park</c:v>
                </c:pt>
              </c:strCache>
            </c:strRef>
          </c:cat>
          <c:val>
            <c:numRef>
              <c:f>'3_Occupancy by Property'!$B$4:$B$12</c:f>
              <c:numCache>
                <c:formatCode>General</c:formatCode>
                <c:ptCount val="8"/>
                <c:pt idx="0">
                  <c:v>41682</c:v>
                </c:pt>
                <c:pt idx="1">
                  <c:v>45225</c:v>
                </c:pt>
                <c:pt idx="2">
                  <c:v>46077</c:v>
                </c:pt>
                <c:pt idx="3">
                  <c:v>39171</c:v>
                </c:pt>
                <c:pt idx="4">
                  <c:v>53199</c:v>
                </c:pt>
                <c:pt idx="5">
                  <c:v>42480</c:v>
                </c:pt>
                <c:pt idx="6">
                  <c:v>37393</c:v>
                </c:pt>
                <c:pt idx="7">
                  <c:v>46488</c:v>
                </c:pt>
              </c:numCache>
            </c:numRef>
          </c:val>
          <c:extLst>
            <c:ext xmlns:c16="http://schemas.microsoft.com/office/drawing/2014/chart" uri="{C3380CC4-5D6E-409C-BE32-E72D297353CC}">
              <c16:uniqueId val="{00000000-F02F-456F-84C7-EAF05ABBB8E4}"/>
            </c:ext>
          </c:extLst>
        </c:ser>
        <c:ser>
          <c:idx val="1"/>
          <c:order val="1"/>
          <c:tx>
            <c:strRef>
              <c:f>'3_Occupancy by Property'!$C$3</c:f>
              <c:strCache>
                <c:ptCount val="1"/>
                <c:pt idx="0">
                  <c:v>Summe von Vacant_Area</c:v>
                </c:pt>
              </c:strCache>
            </c:strRef>
          </c:tx>
          <c:spPr>
            <a:solidFill>
              <a:schemeClr val="accent2"/>
            </a:solidFill>
            <a:ln>
              <a:noFill/>
            </a:ln>
            <a:effectLst/>
          </c:spPr>
          <c:invertIfNegative val="0"/>
          <c:cat>
            <c:strRef>
              <c:f>'3_Occupancy by Property'!$A$4:$A$12</c:f>
              <c:strCache>
                <c:ptCount val="8"/>
                <c:pt idx="0">
                  <c:v>Berlin_Borsigwerke</c:v>
                </c:pt>
                <c:pt idx="1">
                  <c:v>Berlin_Gartenfeld</c:v>
                </c:pt>
                <c:pt idx="2">
                  <c:v>Berlin_Mahlsdorf</c:v>
                </c:pt>
                <c:pt idx="3">
                  <c:v>Berlin_Tempelhof</c:v>
                </c:pt>
                <c:pt idx="4">
                  <c:v>Dresden_Park</c:v>
                </c:pt>
                <c:pt idx="5">
                  <c:v>Hamburg_Park</c:v>
                </c:pt>
                <c:pt idx="6">
                  <c:v>Leipzig_Park</c:v>
                </c:pt>
                <c:pt idx="7">
                  <c:v>Munich_Park</c:v>
                </c:pt>
              </c:strCache>
            </c:strRef>
          </c:cat>
          <c:val>
            <c:numRef>
              <c:f>'3_Occupancy by Property'!$C$4:$C$12</c:f>
              <c:numCache>
                <c:formatCode>General</c:formatCode>
                <c:ptCount val="8"/>
                <c:pt idx="0">
                  <c:v>7042</c:v>
                </c:pt>
                <c:pt idx="1">
                  <c:v>7951</c:v>
                </c:pt>
                <c:pt idx="2">
                  <c:v>3351</c:v>
                </c:pt>
                <c:pt idx="3">
                  <c:v>3218</c:v>
                </c:pt>
                <c:pt idx="4">
                  <c:v>5780</c:v>
                </c:pt>
                <c:pt idx="5">
                  <c:v>6875</c:v>
                </c:pt>
                <c:pt idx="6">
                  <c:v>9903</c:v>
                </c:pt>
                <c:pt idx="7">
                  <c:v>10040</c:v>
                </c:pt>
              </c:numCache>
            </c:numRef>
          </c:val>
          <c:extLst>
            <c:ext xmlns:c16="http://schemas.microsoft.com/office/drawing/2014/chart" uri="{C3380CC4-5D6E-409C-BE32-E72D297353CC}">
              <c16:uniqueId val="{00000001-F02F-456F-84C7-EAF05ABBB8E4}"/>
            </c:ext>
          </c:extLst>
        </c:ser>
        <c:dLbls>
          <c:showLegendKey val="0"/>
          <c:showVal val="0"/>
          <c:showCatName val="0"/>
          <c:showSerName val="0"/>
          <c:showPercent val="0"/>
          <c:showBubbleSize val="0"/>
        </c:dLbls>
        <c:gapWidth val="219"/>
        <c:overlap val="-27"/>
        <c:axId val="1965458239"/>
        <c:axId val="1837105951"/>
      </c:barChart>
      <c:catAx>
        <c:axId val="196545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37105951"/>
        <c:crosses val="autoZero"/>
        <c:auto val="1"/>
        <c:lblAlgn val="ctr"/>
        <c:lblOffset val="100"/>
        <c:noMultiLvlLbl val="0"/>
      </c:catAx>
      <c:valAx>
        <c:axId val="183710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6545823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[Rent_Roll_Training_500_Rows.xlsb.xlsx]4_Lease_Expiry_Schedule!PivotTable2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Lease Expiry 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'4_Lease_Expiry_Schedule'!$B$3</c:f>
              <c:strCache>
                <c:ptCount val="1"/>
                <c:pt idx="0">
                  <c:v>Ergebnis</c:v>
                </c:pt>
              </c:strCache>
            </c:strRef>
          </c:tx>
          <c:spPr>
            <a:solidFill>
              <a:schemeClr val="accent1"/>
            </a:solidFill>
            <a:ln>
              <a:noFill/>
            </a:ln>
            <a:effectLst/>
          </c:spPr>
          <c:invertIfNegative val="0"/>
          <c:cat>
            <c:strRef>
              <c:f>'4_Lease_Expiry_Schedule'!$A$4:$A$8</c:f>
              <c:strCache>
                <c:ptCount val="4"/>
                <c:pt idx="0">
                  <c:v>0-3 Monaten</c:v>
                </c:pt>
                <c:pt idx="1">
                  <c:v>12 M+</c:v>
                </c:pt>
                <c:pt idx="2">
                  <c:v>3-6 Monaten</c:v>
                </c:pt>
                <c:pt idx="3">
                  <c:v>6-12 Monaten</c:v>
                </c:pt>
              </c:strCache>
            </c:strRef>
          </c:cat>
          <c:val>
            <c:numRef>
              <c:f>'4_Lease_Expiry_Schedule'!$B$4:$B$8</c:f>
              <c:numCache>
                <c:formatCode>General</c:formatCode>
                <c:ptCount val="4"/>
                <c:pt idx="0">
                  <c:v>35424316.559999987</c:v>
                </c:pt>
                <c:pt idx="1">
                  <c:v>7918529.5200000005</c:v>
                </c:pt>
                <c:pt idx="2">
                  <c:v>2651933.4000000004</c:v>
                </c:pt>
                <c:pt idx="3">
                  <c:v>3867310.44</c:v>
                </c:pt>
              </c:numCache>
            </c:numRef>
          </c:val>
          <c:extLst>
            <c:ext xmlns:c16="http://schemas.microsoft.com/office/drawing/2014/chart" uri="{C3380CC4-5D6E-409C-BE32-E72D297353CC}">
              <c16:uniqueId val="{00000000-B99E-47B3-9B70-E4A07B153E45}"/>
            </c:ext>
          </c:extLst>
        </c:ser>
        <c:dLbls>
          <c:showLegendKey val="0"/>
          <c:showVal val="0"/>
          <c:showCatName val="0"/>
          <c:showSerName val="0"/>
          <c:showPercent val="0"/>
          <c:showBubbleSize val="0"/>
        </c:dLbls>
        <c:gapWidth val="219"/>
        <c:overlap val="-27"/>
        <c:axId val="1972060799"/>
        <c:axId val="1972062239"/>
      </c:barChart>
      <c:catAx>
        <c:axId val="19720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72062239"/>
        <c:crosses val="autoZero"/>
        <c:auto val="1"/>
        <c:lblAlgn val="ctr"/>
        <c:lblOffset val="100"/>
        <c:noMultiLvlLbl val="0"/>
      </c:catAx>
      <c:valAx>
        <c:axId val="19720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7206079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[Rent_Roll_Training_500_Rows.xlsb.xlsx]An_RENT_pivot!PivotTable8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Rent per sqm by Unit Type (Euro)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An_RENT_pivot!$B$3</c:f>
              <c:strCache>
                <c:ptCount val="1"/>
                <c:pt idx="0">
                  <c:v>Ergebnis</c:v>
                </c:pt>
              </c:strCache>
            </c:strRef>
          </c:tx>
          <c:spPr>
            <a:solidFill>
              <a:schemeClr val="accent1"/>
            </a:solidFill>
            <a:ln>
              <a:noFill/>
            </a:ln>
            <a:effectLst/>
          </c:spPr>
          <c:invertIfNegative val="0"/>
          <c:cat>
            <c:strRef>
              <c:f>An_RENT_pivot!$A$4:$A$8</c:f>
              <c:strCache>
                <c:ptCount val="4"/>
                <c:pt idx="0">
                  <c:v>Office</c:v>
                </c:pt>
                <c:pt idx="1">
                  <c:v>Production</c:v>
                </c:pt>
                <c:pt idx="2">
                  <c:v>Storage</c:v>
                </c:pt>
                <c:pt idx="3">
                  <c:v>Warehouse</c:v>
                </c:pt>
              </c:strCache>
            </c:strRef>
          </c:cat>
          <c:val>
            <c:numRef>
              <c:f>An_RENT_pivot!$B$4:$B$8</c:f>
              <c:numCache>
                <c:formatCode>General</c:formatCode>
                <c:ptCount val="4"/>
                <c:pt idx="0">
                  <c:v>12078892.919999992</c:v>
                </c:pt>
                <c:pt idx="1">
                  <c:v>11796009.959999999</c:v>
                </c:pt>
                <c:pt idx="2">
                  <c:v>13582922.280000001</c:v>
                </c:pt>
                <c:pt idx="3">
                  <c:v>12404264.760000002</c:v>
                </c:pt>
              </c:numCache>
            </c:numRef>
          </c:val>
          <c:extLst>
            <c:ext xmlns:c16="http://schemas.microsoft.com/office/drawing/2014/chart" uri="{C3380CC4-5D6E-409C-BE32-E72D297353CC}">
              <c16:uniqueId val="{00000000-E629-42ED-B78D-839999704A98}"/>
            </c:ext>
          </c:extLst>
        </c:ser>
        <c:dLbls>
          <c:showLegendKey val="0"/>
          <c:showVal val="0"/>
          <c:showCatName val="0"/>
          <c:showSerName val="0"/>
          <c:showPercent val="0"/>
          <c:showBubbleSize val="0"/>
        </c:dLbls>
        <c:gapWidth val="219"/>
        <c:overlap val="-27"/>
        <c:axId val="1104940815"/>
        <c:axId val="1104941295"/>
      </c:barChart>
      <c:catAx>
        <c:axId val="11049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4941295"/>
        <c:crosses val="autoZero"/>
        <c:auto val="1"/>
        <c:lblAlgn val="ctr"/>
        <c:lblOffset val="100"/>
        <c:noMultiLvlLbl val="0"/>
      </c:catAx>
      <c:valAx>
        <c:axId val="110494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494081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[Rent_Roll_Training_500_Rows.xlsb.xlsx]2_Portfolio_An_Rent!PivotTable14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Portfolio Annual Rent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tx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'2_Portfolio_An_Rent'!$B$3</c:f>
              <c:strCache>
                <c:ptCount val="1"/>
                <c:pt idx="0">
                  <c:v>Ergebnis</c:v>
                </c:pt>
              </c:strCache>
            </c:strRef>
          </c:tx>
          <c:spPr>
            <a:solidFill>
              <a:schemeClr val="tx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'2_Portfolio_An_Rent'!$A$4:$A$12</c:f>
              <c:strCache>
                <c:ptCount val="8"/>
                <c:pt idx="0">
                  <c:v>Berlin_Tempelhof</c:v>
                </c:pt>
                <c:pt idx="1">
                  <c:v>Leipzig_Park</c:v>
                </c:pt>
                <c:pt idx="2">
                  <c:v>Berlin_Borsigwerke</c:v>
                </c:pt>
                <c:pt idx="3">
                  <c:v>Hamburg_Park</c:v>
                </c:pt>
                <c:pt idx="4">
                  <c:v>Berlin_Gartenfeld</c:v>
                </c:pt>
                <c:pt idx="5">
                  <c:v>Berlin_Mahlsdorf</c:v>
                </c:pt>
                <c:pt idx="6">
                  <c:v>Munich_Park</c:v>
                </c:pt>
                <c:pt idx="7">
                  <c:v>Dresden_Park</c:v>
                </c:pt>
              </c:strCache>
            </c:strRef>
          </c:cat>
          <c:val>
            <c:numRef>
              <c:f>'2_Portfolio_An_Rent'!$B$4:$B$12</c:f>
              <c:numCache>
                <c:formatCode>General</c:formatCode>
                <c:ptCount val="8"/>
                <c:pt idx="0">
                  <c:v>5166499.08</c:v>
                </c:pt>
                <c:pt idx="1">
                  <c:v>5288700.4800000004</c:v>
                </c:pt>
                <c:pt idx="2">
                  <c:v>5642157.8399999999</c:v>
                </c:pt>
                <c:pt idx="3">
                  <c:v>6188352.5999999996</c:v>
                </c:pt>
                <c:pt idx="4">
                  <c:v>6450223.8000000007</c:v>
                </c:pt>
                <c:pt idx="5">
                  <c:v>6673342.6800000006</c:v>
                </c:pt>
                <c:pt idx="6">
                  <c:v>6813046.080000001</c:v>
                </c:pt>
                <c:pt idx="7">
                  <c:v>7639767.3600000003</c:v>
                </c:pt>
              </c:numCache>
            </c:numRef>
          </c:val>
          <c:extLst>
            <c:ext xmlns:c16="http://schemas.microsoft.com/office/drawing/2014/chart" uri="{C3380CC4-5D6E-409C-BE32-E72D297353CC}">
              <c16:uniqueId val="{00000000-0D39-4415-B5CC-CBA90F2928CF}"/>
            </c:ext>
          </c:extLst>
        </c:ser>
        <c:dLbls>
          <c:showLegendKey val="0"/>
          <c:showVal val="0"/>
          <c:showCatName val="0"/>
          <c:showSerName val="0"/>
          <c:showPercent val="0"/>
          <c:showBubbleSize val="0"/>
        </c:dLbls>
        <c:gapWidth val="115"/>
        <c:overlap val="-20"/>
        <c:axId val="2052529679"/>
        <c:axId val="3658511"/>
      </c:barChart>
      <c:catAx>
        <c:axId val="205252967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de-DE"/>
                  <a:t>Ort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658511"/>
        <c:crossesAt val="0"/>
        <c:auto val="1"/>
        <c:lblAlgn val="ctr"/>
        <c:lblOffset val="100"/>
        <c:noMultiLvlLbl val="0"/>
      </c:catAx>
      <c:valAx>
        <c:axId val="3658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de-DE"/>
                  <a:t>Annual_Rent, Euro</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52529679"/>
        <c:crosses val="autoZero"/>
        <c:crossBetween val="between"/>
        <c:dispUnits>
          <c:builtInUnit val="millions"/>
          <c:dispUnitsLbl>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[Rent_Roll_Training_500_Rows.xlsb.xlsx]2_Portfolio_An_Rent!PivotTable14</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Annual Rent by Property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de-DE"/>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'2_Portfolio_An_Rent'!$B$3</c:f>
              <c:strCache>
                <c:ptCount val="1"/>
                <c:pt idx="0">
                  <c:v>Ergebnis</c:v>
                </c:pt>
              </c:strCache>
            </c:strRef>
          </c:tx>
          <c:spPr>
            <a:solidFill>
              <a:schemeClr val="accent1">
                <a:alpha val="70000"/>
              </a:schemeClr>
            </a:solidFill>
            <a:ln>
              <a:noFill/>
            </a:ln>
            <a:effectLst/>
          </c:spPr>
          <c:invertIfNegative val="0"/>
          <c:cat>
            <c:strRef>
              <c:f>'2_Portfolio_An_Rent'!$A$4:$A$12</c:f>
              <c:strCache>
                <c:ptCount val="8"/>
                <c:pt idx="0">
                  <c:v>Berlin_Tempelhof</c:v>
                </c:pt>
                <c:pt idx="1">
                  <c:v>Leipzig_Park</c:v>
                </c:pt>
                <c:pt idx="2">
                  <c:v>Berlin_Borsigwerke</c:v>
                </c:pt>
                <c:pt idx="3">
                  <c:v>Hamburg_Park</c:v>
                </c:pt>
                <c:pt idx="4">
                  <c:v>Berlin_Gartenfeld</c:v>
                </c:pt>
                <c:pt idx="5">
                  <c:v>Berlin_Mahlsdorf</c:v>
                </c:pt>
                <c:pt idx="6">
                  <c:v>Munich_Park</c:v>
                </c:pt>
                <c:pt idx="7">
                  <c:v>Dresden_Park</c:v>
                </c:pt>
              </c:strCache>
            </c:strRef>
          </c:cat>
          <c:val>
            <c:numRef>
              <c:f>'2_Portfolio_An_Rent'!$B$4:$B$12</c:f>
              <c:numCache>
                <c:formatCode>General</c:formatCode>
                <c:ptCount val="8"/>
                <c:pt idx="0">
                  <c:v>5166499.08</c:v>
                </c:pt>
                <c:pt idx="1">
                  <c:v>5288700.4800000004</c:v>
                </c:pt>
                <c:pt idx="2">
                  <c:v>5642157.8399999999</c:v>
                </c:pt>
                <c:pt idx="3">
                  <c:v>6188352.5999999996</c:v>
                </c:pt>
                <c:pt idx="4">
                  <c:v>6450223.8000000007</c:v>
                </c:pt>
                <c:pt idx="5">
                  <c:v>6673342.6800000006</c:v>
                </c:pt>
                <c:pt idx="6">
                  <c:v>6813046.080000001</c:v>
                </c:pt>
                <c:pt idx="7">
                  <c:v>7639767.3600000003</c:v>
                </c:pt>
              </c:numCache>
            </c:numRef>
          </c:val>
          <c:extLst>
            <c:ext xmlns:c16="http://schemas.microsoft.com/office/drawing/2014/chart" uri="{C3380CC4-5D6E-409C-BE32-E72D297353CC}">
              <c16:uniqueId val="{00000000-3EBA-40DC-B4F0-F26F16CAB1FC}"/>
            </c:ext>
          </c:extLst>
        </c:ser>
        <c:dLbls>
          <c:showLegendKey val="0"/>
          <c:showVal val="0"/>
          <c:showCatName val="0"/>
          <c:showSerName val="0"/>
          <c:showPercent val="0"/>
          <c:showBubbleSize val="0"/>
        </c:dLbls>
        <c:gapWidth val="80"/>
        <c:overlap val="25"/>
        <c:axId val="2063146447"/>
        <c:axId val="2063143567"/>
      </c:barChart>
      <c:catAx>
        <c:axId val="20631464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de-DE"/>
          </a:p>
        </c:txPr>
        <c:crossAx val="2063143567"/>
        <c:crosses val="autoZero"/>
        <c:auto val="1"/>
        <c:lblAlgn val="ctr"/>
        <c:lblOffset val="100"/>
        <c:noMultiLvlLbl val="0"/>
      </c:catAx>
      <c:valAx>
        <c:axId val="20631435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de-DE"/>
          </a:p>
        </c:txPr>
        <c:crossAx val="2063146447"/>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[Rent_Roll_Training_500_Rows.xlsb.xlsx]3_Occupancy by Property!PivotTable1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'3_Occupancy by Property'!$B$3</c:f>
              <c:strCache>
                <c:ptCount val="1"/>
                <c:pt idx="0">
                  <c:v>Summe von Oc_Area</c:v>
                </c:pt>
              </c:strCache>
            </c:strRef>
          </c:tx>
          <c:spPr>
            <a:solidFill>
              <a:schemeClr val="accent1"/>
            </a:solidFill>
            <a:ln>
              <a:noFill/>
            </a:ln>
            <a:effectLst/>
          </c:spPr>
          <c:invertIfNegative val="0"/>
          <c:cat>
            <c:strRef>
              <c:f>'3_Occupancy by Property'!$A$4:$A$12</c:f>
              <c:strCache>
                <c:ptCount val="8"/>
                <c:pt idx="0">
                  <c:v>Berlin_Borsigwerke</c:v>
                </c:pt>
                <c:pt idx="1">
                  <c:v>Berlin_Gartenfeld</c:v>
                </c:pt>
                <c:pt idx="2">
                  <c:v>Berlin_Mahlsdorf</c:v>
                </c:pt>
                <c:pt idx="3">
                  <c:v>Berlin_Tempelhof</c:v>
                </c:pt>
                <c:pt idx="4">
                  <c:v>Dresden_Park</c:v>
                </c:pt>
                <c:pt idx="5">
                  <c:v>Hamburg_Park</c:v>
                </c:pt>
                <c:pt idx="6">
                  <c:v>Leipzig_Park</c:v>
                </c:pt>
                <c:pt idx="7">
                  <c:v>Munich_Park</c:v>
                </c:pt>
              </c:strCache>
            </c:strRef>
          </c:cat>
          <c:val>
            <c:numRef>
              <c:f>'3_Occupancy by Property'!$B$4:$B$12</c:f>
              <c:numCache>
                <c:formatCode>General</c:formatCode>
                <c:ptCount val="8"/>
                <c:pt idx="0">
                  <c:v>41682</c:v>
                </c:pt>
                <c:pt idx="1">
                  <c:v>45225</c:v>
                </c:pt>
                <c:pt idx="2">
                  <c:v>46077</c:v>
                </c:pt>
                <c:pt idx="3">
                  <c:v>39171</c:v>
                </c:pt>
                <c:pt idx="4">
                  <c:v>53199</c:v>
                </c:pt>
                <c:pt idx="5">
                  <c:v>42480</c:v>
                </c:pt>
                <c:pt idx="6">
                  <c:v>37393</c:v>
                </c:pt>
                <c:pt idx="7">
                  <c:v>46488</c:v>
                </c:pt>
              </c:numCache>
            </c:numRef>
          </c:val>
          <c:extLst>
            <c:ext xmlns:c16="http://schemas.microsoft.com/office/drawing/2014/chart" uri="{C3380CC4-5D6E-409C-BE32-E72D297353CC}">
              <c16:uniqueId val="{00000000-6B10-4623-8B5A-44143B83CFA4}"/>
            </c:ext>
          </c:extLst>
        </c:ser>
        <c:ser>
          <c:idx val="1"/>
          <c:order val="1"/>
          <c:tx>
            <c:strRef>
              <c:f>'3_Occupancy by Property'!$C$3</c:f>
              <c:strCache>
                <c:ptCount val="1"/>
                <c:pt idx="0">
                  <c:v>Summe von Vacant_Area</c:v>
                </c:pt>
              </c:strCache>
            </c:strRef>
          </c:tx>
          <c:spPr>
            <a:solidFill>
              <a:schemeClr val="accent2"/>
            </a:solidFill>
            <a:ln>
              <a:noFill/>
            </a:ln>
            <a:effectLst/>
          </c:spPr>
          <c:invertIfNegative val="0"/>
          <c:cat>
            <c:strRef>
              <c:f>'3_Occupancy by Property'!$A$4:$A$12</c:f>
              <c:strCache>
                <c:ptCount val="8"/>
                <c:pt idx="0">
                  <c:v>Berlin_Borsigwerke</c:v>
                </c:pt>
                <c:pt idx="1">
                  <c:v>Berlin_Gartenfeld</c:v>
                </c:pt>
                <c:pt idx="2">
                  <c:v>Berlin_Mahlsdorf</c:v>
                </c:pt>
                <c:pt idx="3">
                  <c:v>Berlin_Tempelhof</c:v>
                </c:pt>
                <c:pt idx="4">
                  <c:v>Dresden_Park</c:v>
                </c:pt>
                <c:pt idx="5">
                  <c:v>Hamburg_Park</c:v>
                </c:pt>
                <c:pt idx="6">
                  <c:v>Leipzig_Park</c:v>
                </c:pt>
                <c:pt idx="7">
                  <c:v>Munich_Park</c:v>
                </c:pt>
              </c:strCache>
            </c:strRef>
          </c:cat>
          <c:val>
            <c:numRef>
              <c:f>'3_Occupancy by Property'!$C$4:$C$12</c:f>
              <c:numCache>
                <c:formatCode>General</c:formatCode>
                <c:ptCount val="8"/>
                <c:pt idx="0">
                  <c:v>7042</c:v>
                </c:pt>
                <c:pt idx="1">
                  <c:v>7951</c:v>
                </c:pt>
                <c:pt idx="2">
                  <c:v>3351</c:v>
                </c:pt>
                <c:pt idx="3">
                  <c:v>3218</c:v>
                </c:pt>
                <c:pt idx="4">
                  <c:v>5780</c:v>
                </c:pt>
                <c:pt idx="5">
                  <c:v>6875</c:v>
                </c:pt>
                <c:pt idx="6">
                  <c:v>9903</c:v>
                </c:pt>
                <c:pt idx="7">
                  <c:v>10040</c:v>
                </c:pt>
              </c:numCache>
            </c:numRef>
          </c:val>
          <c:extLst>
            <c:ext xmlns:c16="http://schemas.microsoft.com/office/drawing/2014/chart" uri="{C3380CC4-5D6E-409C-BE32-E72D297353CC}">
              <c16:uniqueId val="{00000001-6B10-4623-8B5A-44143B83CFA4}"/>
            </c:ext>
          </c:extLst>
        </c:ser>
        <c:dLbls>
          <c:showLegendKey val="0"/>
          <c:showVal val="0"/>
          <c:showCatName val="0"/>
          <c:showSerName val="0"/>
          <c:showPercent val="0"/>
          <c:showBubbleSize val="0"/>
        </c:dLbls>
        <c:gapWidth val="219"/>
        <c:overlap val="-27"/>
        <c:axId val="1965458239"/>
        <c:axId val="1837105951"/>
      </c:barChart>
      <c:catAx>
        <c:axId val="196545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37105951"/>
        <c:crosses val="autoZero"/>
        <c:auto val="1"/>
        <c:lblAlgn val="ctr"/>
        <c:lblOffset val="100"/>
        <c:noMultiLvlLbl val="0"/>
      </c:catAx>
      <c:valAx>
        <c:axId val="183710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6545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[Rent_Roll_Training_500_Rows.xlsb.xlsx]4_Lease_Expiry_Schedule!PivotTable2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Lease Expiry 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'4_Lease_Expiry_Schedule'!$B$3</c:f>
              <c:strCache>
                <c:ptCount val="1"/>
                <c:pt idx="0">
                  <c:v>Ergebnis</c:v>
                </c:pt>
              </c:strCache>
            </c:strRef>
          </c:tx>
          <c:spPr>
            <a:solidFill>
              <a:schemeClr val="accent1"/>
            </a:solidFill>
            <a:ln>
              <a:noFill/>
            </a:ln>
            <a:effectLst/>
          </c:spPr>
          <c:invertIfNegative val="0"/>
          <c:cat>
            <c:strRef>
              <c:f>'4_Lease_Expiry_Schedule'!$A$4:$A$8</c:f>
              <c:strCache>
                <c:ptCount val="4"/>
                <c:pt idx="0">
                  <c:v>0-3 Monaten</c:v>
                </c:pt>
                <c:pt idx="1">
                  <c:v>12 M+</c:v>
                </c:pt>
                <c:pt idx="2">
                  <c:v>3-6 Monaten</c:v>
                </c:pt>
                <c:pt idx="3">
                  <c:v>6-12 Monaten</c:v>
                </c:pt>
              </c:strCache>
            </c:strRef>
          </c:cat>
          <c:val>
            <c:numRef>
              <c:f>'4_Lease_Expiry_Schedule'!$B$4:$B$8</c:f>
              <c:numCache>
                <c:formatCode>General</c:formatCode>
                <c:ptCount val="4"/>
                <c:pt idx="0">
                  <c:v>35424316.559999987</c:v>
                </c:pt>
                <c:pt idx="1">
                  <c:v>7918529.5200000005</c:v>
                </c:pt>
                <c:pt idx="2">
                  <c:v>2651933.4000000004</c:v>
                </c:pt>
                <c:pt idx="3">
                  <c:v>3867310.44</c:v>
                </c:pt>
              </c:numCache>
            </c:numRef>
          </c:val>
          <c:extLst>
            <c:ext xmlns:c16="http://schemas.microsoft.com/office/drawing/2014/chart" uri="{C3380CC4-5D6E-409C-BE32-E72D297353CC}">
              <c16:uniqueId val="{00000000-AE1C-403B-B571-C34FD12ECBF2}"/>
            </c:ext>
          </c:extLst>
        </c:ser>
        <c:dLbls>
          <c:showLegendKey val="0"/>
          <c:showVal val="0"/>
          <c:showCatName val="0"/>
          <c:showSerName val="0"/>
          <c:showPercent val="0"/>
          <c:showBubbleSize val="0"/>
        </c:dLbls>
        <c:gapWidth val="219"/>
        <c:overlap val="-27"/>
        <c:axId val="1972060799"/>
        <c:axId val="1972062239"/>
      </c:barChart>
      <c:catAx>
        <c:axId val="19720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72062239"/>
        <c:crosses val="autoZero"/>
        <c:auto val="1"/>
        <c:lblAlgn val="ctr"/>
        <c:lblOffset val="100"/>
        <c:noMultiLvlLbl val="0"/>
      </c:catAx>
      <c:valAx>
        <c:axId val="19720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7206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[Rent_Roll_Training_500_Rows.xlsb.xlsx]Top_Tenants!PivotTable3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Top_Tenants!$B$3</c:f>
              <c:strCache>
                <c:ptCount val="1"/>
                <c:pt idx="0">
                  <c:v>Ergebnis</c:v>
                </c:pt>
              </c:strCache>
            </c:strRef>
          </c:tx>
          <c:spPr>
            <a:solidFill>
              <a:schemeClr val="accent1"/>
            </a:solidFill>
            <a:ln>
              <a:noFill/>
            </a:ln>
            <a:effectLst/>
          </c:spPr>
          <c:invertIfNegative val="0"/>
          <c:cat>
            <c:strRef>
              <c:f>Top_Tenants!$A$4:$A$177</c:f>
              <c:strCache>
                <c:ptCount val="173"/>
                <c:pt idx="0">
                  <c:v>Tenant_1</c:v>
                </c:pt>
                <c:pt idx="1">
                  <c:v>Tenant_10</c:v>
                </c:pt>
                <c:pt idx="2">
                  <c:v>Tenant_100</c:v>
                </c:pt>
                <c:pt idx="3">
                  <c:v>Tenant_101</c:v>
                </c:pt>
                <c:pt idx="4">
                  <c:v>Tenant_102</c:v>
                </c:pt>
                <c:pt idx="5">
                  <c:v>Tenant_103</c:v>
                </c:pt>
                <c:pt idx="6">
                  <c:v>Tenant_104</c:v>
                </c:pt>
                <c:pt idx="7">
                  <c:v>Tenant_105</c:v>
                </c:pt>
                <c:pt idx="8">
                  <c:v>Tenant_106</c:v>
                </c:pt>
                <c:pt idx="9">
                  <c:v>Tenant_108</c:v>
                </c:pt>
                <c:pt idx="10">
                  <c:v>Tenant_11</c:v>
                </c:pt>
                <c:pt idx="11">
                  <c:v>Tenant_110</c:v>
                </c:pt>
                <c:pt idx="12">
                  <c:v>Tenant_111</c:v>
                </c:pt>
                <c:pt idx="13">
                  <c:v>Tenant_112</c:v>
                </c:pt>
                <c:pt idx="14">
                  <c:v>Tenant_114</c:v>
                </c:pt>
                <c:pt idx="15">
                  <c:v>Tenant_115</c:v>
                </c:pt>
                <c:pt idx="16">
                  <c:v>Tenant_117</c:v>
                </c:pt>
                <c:pt idx="17">
                  <c:v>Tenant_118</c:v>
                </c:pt>
                <c:pt idx="18">
                  <c:v>Tenant_119</c:v>
                </c:pt>
                <c:pt idx="19">
                  <c:v>Tenant_12</c:v>
                </c:pt>
                <c:pt idx="20">
                  <c:v>Tenant_120</c:v>
                </c:pt>
                <c:pt idx="21">
                  <c:v>Tenant_121</c:v>
                </c:pt>
                <c:pt idx="22">
                  <c:v>Tenant_122</c:v>
                </c:pt>
                <c:pt idx="23">
                  <c:v>Tenant_123</c:v>
                </c:pt>
                <c:pt idx="24">
                  <c:v>Tenant_124</c:v>
                </c:pt>
                <c:pt idx="25">
                  <c:v>Tenant_125</c:v>
                </c:pt>
                <c:pt idx="26">
                  <c:v>Tenant_126</c:v>
                </c:pt>
                <c:pt idx="27">
                  <c:v>Tenant_127</c:v>
                </c:pt>
                <c:pt idx="28">
                  <c:v>Tenant_128</c:v>
                </c:pt>
                <c:pt idx="29">
                  <c:v>Tenant_13</c:v>
                </c:pt>
                <c:pt idx="30">
                  <c:v>Tenant_130</c:v>
                </c:pt>
                <c:pt idx="31">
                  <c:v>Tenant_131</c:v>
                </c:pt>
                <c:pt idx="32">
                  <c:v>Tenant_132</c:v>
                </c:pt>
                <c:pt idx="33">
                  <c:v>Tenant_133</c:v>
                </c:pt>
                <c:pt idx="34">
                  <c:v>Tenant_135</c:v>
                </c:pt>
                <c:pt idx="35">
                  <c:v>Tenant_136</c:v>
                </c:pt>
                <c:pt idx="36">
                  <c:v>Tenant_137</c:v>
                </c:pt>
                <c:pt idx="37">
                  <c:v>Tenant_138</c:v>
                </c:pt>
                <c:pt idx="38">
                  <c:v>Tenant_139</c:v>
                </c:pt>
                <c:pt idx="39">
                  <c:v>Tenant_14</c:v>
                </c:pt>
                <c:pt idx="40">
                  <c:v>Tenant_140</c:v>
                </c:pt>
                <c:pt idx="41">
                  <c:v>Tenant_141</c:v>
                </c:pt>
                <c:pt idx="42">
                  <c:v>Tenant_142</c:v>
                </c:pt>
                <c:pt idx="43">
                  <c:v>Tenant_143</c:v>
                </c:pt>
                <c:pt idx="44">
                  <c:v>Tenant_144</c:v>
                </c:pt>
                <c:pt idx="45">
                  <c:v>Tenant_145</c:v>
                </c:pt>
                <c:pt idx="46">
                  <c:v>Tenant_146</c:v>
                </c:pt>
                <c:pt idx="47">
                  <c:v>Tenant_147</c:v>
                </c:pt>
                <c:pt idx="48">
                  <c:v>Tenant_148</c:v>
                </c:pt>
                <c:pt idx="49">
                  <c:v>Tenant_15</c:v>
                </c:pt>
                <c:pt idx="50">
                  <c:v>Tenant_150</c:v>
                </c:pt>
                <c:pt idx="51">
                  <c:v>Tenant_152</c:v>
                </c:pt>
                <c:pt idx="52">
                  <c:v>Tenant_153</c:v>
                </c:pt>
                <c:pt idx="53">
                  <c:v>Tenant_154</c:v>
                </c:pt>
                <c:pt idx="54">
                  <c:v>Tenant_156</c:v>
                </c:pt>
                <c:pt idx="55">
                  <c:v>Tenant_157</c:v>
                </c:pt>
                <c:pt idx="56">
                  <c:v>Tenant_158</c:v>
                </c:pt>
                <c:pt idx="57">
                  <c:v>Tenant_159</c:v>
                </c:pt>
                <c:pt idx="58">
                  <c:v>Tenant_161</c:v>
                </c:pt>
                <c:pt idx="59">
                  <c:v>Tenant_162</c:v>
                </c:pt>
                <c:pt idx="60">
                  <c:v>Tenant_164</c:v>
                </c:pt>
                <c:pt idx="61">
                  <c:v>Tenant_165</c:v>
                </c:pt>
                <c:pt idx="62">
                  <c:v>Tenant_166</c:v>
                </c:pt>
                <c:pt idx="63">
                  <c:v>Tenant_167</c:v>
                </c:pt>
                <c:pt idx="64">
                  <c:v>Tenant_168</c:v>
                </c:pt>
                <c:pt idx="65">
                  <c:v>Tenant_169</c:v>
                </c:pt>
                <c:pt idx="66">
                  <c:v>Tenant_17</c:v>
                </c:pt>
                <c:pt idx="67">
                  <c:v>Tenant_170</c:v>
                </c:pt>
                <c:pt idx="68">
                  <c:v>Tenant_171</c:v>
                </c:pt>
                <c:pt idx="69">
                  <c:v>Tenant_172</c:v>
                </c:pt>
                <c:pt idx="70">
                  <c:v>Tenant_173</c:v>
                </c:pt>
                <c:pt idx="71">
                  <c:v>Tenant_174</c:v>
                </c:pt>
                <c:pt idx="72">
                  <c:v>Tenant_175</c:v>
                </c:pt>
                <c:pt idx="73">
                  <c:v>Tenant_176</c:v>
                </c:pt>
                <c:pt idx="74">
                  <c:v>Tenant_177</c:v>
                </c:pt>
                <c:pt idx="75">
                  <c:v>Tenant_179</c:v>
                </c:pt>
                <c:pt idx="76">
                  <c:v>Tenant_18</c:v>
                </c:pt>
                <c:pt idx="77">
                  <c:v>Tenant_180</c:v>
                </c:pt>
                <c:pt idx="78">
                  <c:v>Tenant_181</c:v>
                </c:pt>
                <c:pt idx="79">
                  <c:v>Tenant_182</c:v>
                </c:pt>
                <c:pt idx="80">
                  <c:v>Tenant_183</c:v>
                </c:pt>
                <c:pt idx="81">
                  <c:v>Tenant_184</c:v>
                </c:pt>
                <c:pt idx="82">
                  <c:v>Tenant_185</c:v>
                </c:pt>
                <c:pt idx="83">
                  <c:v>Tenant_186</c:v>
                </c:pt>
                <c:pt idx="84">
                  <c:v>Tenant_187</c:v>
                </c:pt>
                <c:pt idx="85">
                  <c:v>Tenant_188</c:v>
                </c:pt>
                <c:pt idx="86">
                  <c:v>Tenant_189</c:v>
                </c:pt>
                <c:pt idx="87">
                  <c:v>Tenant_19</c:v>
                </c:pt>
                <c:pt idx="88">
                  <c:v>Tenant_190</c:v>
                </c:pt>
                <c:pt idx="89">
                  <c:v>Tenant_192</c:v>
                </c:pt>
                <c:pt idx="90">
                  <c:v>Tenant_193</c:v>
                </c:pt>
                <c:pt idx="91">
                  <c:v>Tenant_194</c:v>
                </c:pt>
                <c:pt idx="92">
                  <c:v>Tenant_197</c:v>
                </c:pt>
                <c:pt idx="93">
                  <c:v>Tenant_198</c:v>
                </c:pt>
                <c:pt idx="94">
                  <c:v>Tenant_199</c:v>
                </c:pt>
                <c:pt idx="95">
                  <c:v>Tenant_2</c:v>
                </c:pt>
                <c:pt idx="96">
                  <c:v>Tenant_20</c:v>
                </c:pt>
                <c:pt idx="97">
                  <c:v>Tenant_200</c:v>
                </c:pt>
                <c:pt idx="98">
                  <c:v>Tenant_21</c:v>
                </c:pt>
                <c:pt idx="99">
                  <c:v>Tenant_22</c:v>
                </c:pt>
                <c:pt idx="100">
                  <c:v>Tenant_23</c:v>
                </c:pt>
                <c:pt idx="101">
                  <c:v>Tenant_24</c:v>
                </c:pt>
                <c:pt idx="102">
                  <c:v>Tenant_25</c:v>
                </c:pt>
                <c:pt idx="103">
                  <c:v>Tenant_26</c:v>
                </c:pt>
                <c:pt idx="104">
                  <c:v>Tenant_27</c:v>
                </c:pt>
                <c:pt idx="105">
                  <c:v>Tenant_28</c:v>
                </c:pt>
                <c:pt idx="106">
                  <c:v>Tenant_29</c:v>
                </c:pt>
                <c:pt idx="107">
                  <c:v>Tenant_30</c:v>
                </c:pt>
                <c:pt idx="108">
                  <c:v>Tenant_31</c:v>
                </c:pt>
                <c:pt idx="109">
                  <c:v>Tenant_32</c:v>
                </c:pt>
                <c:pt idx="110">
                  <c:v>Tenant_33</c:v>
                </c:pt>
                <c:pt idx="111">
                  <c:v>Tenant_34</c:v>
                </c:pt>
                <c:pt idx="112">
                  <c:v>Tenant_35</c:v>
                </c:pt>
                <c:pt idx="113">
                  <c:v>Tenant_36</c:v>
                </c:pt>
                <c:pt idx="114">
                  <c:v>Tenant_37</c:v>
                </c:pt>
                <c:pt idx="115">
                  <c:v>Tenant_38</c:v>
                </c:pt>
                <c:pt idx="116">
                  <c:v>Tenant_4</c:v>
                </c:pt>
                <c:pt idx="117">
                  <c:v>Tenant_41</c:v>
                </c:pt>
                <c:pt idx="118">
                  <c:v>Tenant_42</c:v>
                </c:pt>
                <c:pt idx="119">
                  <c:v>Tenant_43</c:v>
                </c:pt>
                <c:pt idx="120">
                  <c:v>Tenant_44</c:v>
                </c:pt>
                <c:pt idx="121">
                  <c:v>Tenant_45</c:v>
                </c:pt>
                <c:pt idx="122">
                  <c:v>Tenant_46</c:v>
                </c:pt>
                <c:pt idx="123">
                  <c:v>Tenant_47</c:v>
                </c:pt>
                <c:pt idx="124">
                  <c:v>Tenant_48</c:v>
                </c:pt>
                <c:pt idx="125">
                  <c:v>Tenant_5</c:v>
                </c:pt>
                <c:pt idx="126">
                  <c:v>Tenant_50</c:v>
                </c:pt>
                <c:pt idx="127">
                  <c:v>Tenant_51</c:v>
                </c:pt>
                <c:pt idx="128">
                  <c:v>Tenant_52</c:v>
                </c:pt>
                <c:pt idx="129">
                  <c:v>Tenant_53</c:v>
                </c:pt>
                <c:pt idx="130">
                  <c:v>Tenant_54</c:v>
                </c:pt>
                <c:pt idx="131">
                  <c:v>Tenant_55</c:v>
                </c:pt>
                <c:pt idx="132">
                  <c:v>Tenant_56</c:v>
                </c:pt>
                <c:pt idx="133">
                  <c:v>Tenant_57</c:v>
                </c:pt>
                <c:pt idx="134">
                  <c:v>Tenant_58</c:v>
                </c:pt>
                <c:pt idx="135">
                  <c:v>Tenant_6</c:v>
                </c:pt>
                <c:pt idx="136">
                  <c:v>Tenant_63</c:v>
                </c:pt>
                <c:pt idx="137">
                  <c:v>Tenant_64</c:v>
                </c:pt>
                <c:pt idx="138">
                  <c:v>Tenant_65</c:v>
                </c:pt>
                <c:pt idx="139">
                  <c:v>Tenant_66</c:v>
                </c:pt>
                <c:pt idx="140">
                  <c:v>Tenant_67</c:v>
                </c:pt>
                <c:pt idx="141">
                  <c:v>Tenant_68</c:v>
                </c:pt>
                <c:pt idx="142">
                  <c:v>Tenant_69</c:v>
                </c:pt>
                <c:pt idx="143">
                  <c:v>Tenant_7</c:v>
                </c:pt>
                <c:pt idx="144">
                  <c:v>Tenant_70</c:v>
                </c:pt>
                <c:pt idx="145">
                  <c:v>Tenant_71</c:v>
                </c:pt>
                <c:pt idx="146">
                  <c:v>Tenant_73</c:v>
                </c:pt>
                <c:pt idx="147">
                  <c:v>Tenant_74</c:v>
                </c:pt>
                <c:pt idx="148">
                  <c:v>Tenant_75</c:v>
                </c:pt>
                <c:pt idx="149">
                  <c:v>Tenant_77</c:v>
                </c:pt>
                <c:pt idx="150">
                  <c:v>Tenant_78</c:v>
                </c:pt>
                <c:pt idx="151">
                  <c:v>Tenant_79</c:v>
                </c:pt>
                <c:pt idx="152">
                  <c:v>Tenant_8</c:v>
                </c:pt>
                <c:pt idx="153">
                  <c:v>Tenant_80</c:v>
                </c:pt>
                <c:pt idx="154">
                  <c:v>Tenant_82</c:v>
                </c:pt>
                <c:pt idx="155">
                  <c:v>Tenant_83</c:v>
                </c:pt>
                <c:pt idx="156">
                  <c:v>Tenant_84</c:v>
                </c:pt>
                <c:pt idx="157">
                  <c:v>Tenant_85</c:v>
                </c:pt>
                <c:pt idx="158">
                  <c:v>Tenant_86</c:v>
                </c:pt>
                <c:pt idx="159">
                  <c:v>Tenant_87</c:v>
                </c:pt>
                <c:pt idx="160">
                  <c:v>Tenant_88</c:v>
                </c:pt>
                <c:pt idx="161">
                  <c:v>Tenant_89</c:v>
                </c:pt>
                <c:pt idx="162">
                  <c:v>Tenant_9</c:v>
                </c:pt>
                <c:pt idx="163">
                  <c:v>Tenant_90</c:v>
                </c:pt>
                <c:pt idx="164">
                  <c:v>Tenant_91</c:v>
                </c:pt>
                <c:pt idx="165">
                  <c:v>Tenant_92</c:v>
                </c:pt>
                <c:pt idx="166">
                  <c:v>Tenant_93</c:v>
                </c:pt>
                <c:pt idx="167">
                  <c:v>Tenant_94</c:v>
                </c:pt>
                <c:pt idx="168">
                  <c:v>Tenant_95</c:v>
                </c:pt>
                <c:pt idx="169">
                  <c:v>Tenant_96</c:v>
                </c:pt>
                <c:pt idx="170">
                  <c:v>Tenant_97</c:v>
                </c:pt>
                <c:pt idx="171">
                  <c:v>Tenant_98</c:v>
                </c:pt>
                <c:pt idx="172">
                  <c:v>Tenant_99</c:v>
                </c:pt>
              </c:strCache>
            </c:strRef>
          </c:cat>
          <c:val>
            <c:numRef>
              <c:f>Top_Tenants!$B$4:$B$177</c:f>
              <c:numCache>
                <c:formatCode>General</c:formatCode>
                <c:ptCount val="173"/>
                <c:pt idx="0">
                  <c:v>276937.68000000005</c:v>
                </c:pt>
                <c:pt idx="1">
                  <c:v>63946.2</c:v>
                </c:pt>
                <c:pt idx="2">
                  <c:v>375045.48000000004</c:v>
                </c:pt>
                <c:pt idx="3">
                  <c:v>114977.76</c:v>
                </c:pt>
                <c:pt idx="4">
                  <c:v>799816.44</c:v>
                </c:pt>
                <c:pt idx="5">
                  <c:v>503774.16000000003</c:v>
                </c:pt>
                <c:pt idx="6">
                  <c:v>298790.39999999997</c:v>
                </c:pt>
                <c:pt idx="7">
                  <c:v>102273.36</c:v>
                </c:pt>
                <c:pt idx="8">
                  <c:v>56184.72</c:v>
                </c:pt>
                <c:pt idx="9">
                  <c:v>284151</c:v>
                </c:pt>
                <c:pt idx="10">
                  <c:v>101735.03999999999</c:v>
                </c:pt>
                <c:pt idx="11">
                  <c:v>229121.28</c:v>
                </c:pt>
                <c:pt idx="12">
                  <c:v>333142.19999999995</c:v>
                </c:pt>
                <c:pt idx="13">
                  <c:v>575257.67999999993</c:v>
                </c:pt>
                <c:pt idx="14">
                  <c:v>653600.52</c:v>
                </c:pt>
                <c:pt idx="15">
                  <c:v>234191.52000000002</c:v>
                </c:pt>
                <c:pt idx="16">
                  <c:v>440510.64</c:v>
                </c:pt>
                <c:pt idx="17">
                  <c:v>383551.8</c:v>
                </c:pt>
                <c:pt idx="18">
                  <c:v>35740.080000000002</c:v>
                </c:pt>
                <c:pt idx="19">
                  <c:v>474946.44000000006</c:v>
                </c:pt>
                <c:pt idx="20">
                  <c:v>148946.64000000001</c:v>
                </c:pt>
                <c:pt idx="21">
                  <c:v>656372.28</c:v>
                </c:pt>
                <c:pt idx="22">
                  <c:v>283488.24</c:v>
                </c:pt>
                <c:pt idx="23">
                  <c:v>271760.16000000003</c:v>
                </c:pt>
                <c:pt idx="24">
                  <c:v>30111.84</c:v>
                </c:pt>
                <c:pt idx="25">
                  <c:v>300984.24</c:v>
                </c:pt>
                <c:pt idx="26">
                  <c:v>181107</c:v>
                </c:pt>
                <c:pt idx="27">
                  <c:v>297875.03999999998</c:v>
                </c:pt>
                <c:pt idx="28">
                  <c:v>360428.64</c:v>
                </c:pt>
                <c:pt idx="29">
                  <c:v>66594.959999999992</c:v>
                </c:pt>
                <c:pt idx="30">
                  <c:v>402748.43999999994</c:v>
                </c:pt>
                <c:pt idx="31">
                  <c:v>241932.12</c:v>
                </c:pt>
                <c:pt idx="32">
                  <c:v>136866.23999999999</c:v>
                </c:pt>
                <c:pt idx="33">
                  <c:v>490984.44000000006</c:v>
                </c:pt>
                <c:pt idx="34">
                  <c:v>560127</c:v>
                </c:pt>
                <c:pt idx="35">
                  <c:v>255130.68</c:v>
                </c:pt>
                <c:pt idx="36">
                  <c:v>273571.92000000004</c:v>
                </c:pt>
                <c:pt idx="37">
                  <c:v>200945.28</c:v>
                </c:pt>
                <c:pt idx="38">
                  <c:v>178269.6</c:v>
                </c:pt>
                <c:pt idx="39">
                  <c:v>452571.72</c:v>
                </c:pt>
                <c:pt idx="40">
                  <c:v>284031.35999999999</c:v>
                </c:pt>
                <c:pt idx="41">
                  <c:v>29304</c:v>
                </c:pt>
                <c:pt idx="42">
                  <c:v>350429.04000000004</c:v>
                </c:pt>
                <c:pt idx="43">
                  <c:v>348510.12</c:v>
                </c:pt>
                <c:pt idx="44">
                  <c:v>730057.44000000006</c:v>
                </c:pt>
                <c:pt idx="45">
                  <c:v>356401.07999999996</c:v>
                </c:pt>
                <c:pt idx="46">
                  <c:v>317994.96000000002</c:v>
                </c:pt>
                <c:pt idx="47">
                  <c:v>419309.16000000003</c:v>
                </c:pt>
                <c:pt idx="48">
                  <c:v>478562.04000000004</c:v>
                </c:pt>
                <c:pt idx="49">
                  <c:v>247956.84</c:v>
                </c:pt>
                <c:pt idx="50">
                  <c:v>205471.8</c:v>
                </c:pt>
                <c:pt idx="51">
                  <c:v>301511.40000000002</c:v>
                </c:pt>
                <c:pt idx="52">
                  <c:v>215812.68</c:v>
                </c:pt>
                <c:pt idx="53">
                  <c:v>769584.4800000001</c:v>
                </c:pt>
                <c:pt idx="54">
                  <c:v>62321.760000000002</c:v>
                </c:pt>
                <c:pt idx="55">
                  <c:v>142409.76</c:v>
                </c:pt>
                <c:pt idx="56">
                  <c:v>49135.8</c:v>
                </c:pt>
                <c:pt idx="57">
                  <c:v>171088.2</c:v>
                </c:pt>
                <c:pt idx="58">
                  <c:v>300178.8</c:v>
                </c:pt>
                <c:pt idx="59">
                  <c:v>278211.95999999996</c:v>
                </c:pt>
                <c:pt idx="60">
                  <c:v>91071.24</c:v>
                </c:pt>
                <c:pt idx="61">
                  <c:v>230718.36</c:v>
                </c:pt>
                <c:pt idx="62">
                  <c:v>248250.12</c:v>
                </c:pt>
                <c:pt idx="63">
                  <c:v>229790.88</c:v>
                </c:pt>
                <c:pt idx="64">
                  <c:v>463443.24</c:v>
                </c:pt>
                <c:pt idx="65">
                  <c:v>168531.48</c:v>
                </c:pt>
                <c:pt idx="66">
                  <c:v>126054.24</c:v>
                </c:pt>
                <c:pt idx="67">
                  <c:v>144044.52000000002</c:v>
                </c:pt>
                <c:pt idx="68">
                  <c:v>83071.679999999993</c:v>
                </c:pt>
                <c:pt idx="69">
                  <c:v>17483.28</c:v>
                </c:pt>
                <c:pt idx="70">
                  <c:v>313644.12</c:v>
                </c:pt>
                <c:pt idx="71">
                  <c:v>576256.31999999995</c:v>
                </c:pt>
                <c:pt idx="72">
                  <c:v>327855</c:v>
                </c:pt>
                <c:pt idx="73">
                  <c:v>361607.64</c:v>
                </c:pt>
                <c:pt idx="74">
                  <c:v>579444.12</c:v>
                </c:pt>
                <c:pt idx="75">
                  <c:v>42316.44</c:v>
                </c:pt>
                <c:pt idx="76">
                  <c:v>246322.2</c:v>
                </c:pt>
                <c:pt idx="77">
                  <c:v>92340.84</c:v>
                </c:pt>
                <c:pt idx="78">
                  <c:v>321956.52</c:v>
                </c:pt>
                <c:pt idx="79">
                  <c:v>205278</c:v>
                </c:pt>
                <c:pt idx="80">
                  <c:v>83599.679999999993</c:v>
                </c:pt>
                <c:pt idx="81">
                  <c:v>94221.84</c:v>
                </c:pt>
                <c:pt idx="82">
                  <c:v>11000.52</c:v>
                </c:pt>
                <c:pt idx="83">
                  <c:v>397016.04000000004</c:v>
                </c:pt>
                <c:pt idx="84">
                  <c:v>44737.440000000002</c:v>
                </c:pt>
                <c:pt idx="85">
                  <c:v>211722.96000000002</c:v>
                </c:pt>
                <c:pt idx="86">
                  <c:v>887019.4800000001</c:v>
                </c:pt>
                <c:pt idx="87">
                  <c:v>314082</c:v>
                </c:pt>
                <c:pt idx="88">
                  <c:v>132399.47999999998</c:v>
                </c:pt>
                <c:pt idx="89">
                  <c:v>246380.04</c:v>
                </c:pt>
                <c:pt idx="90">
                  <c:v>733311.72</c:v>
                </c:pt>
                <c:pt idx="91">
                  <c:v>190890.96</c:v>
                </c:pt>
                <c:pt idx="92">
                  <c:v>408022.2</c:v>
                </c:pt>
                <c:pt idx="93">
                  <c:v>214645.44</c:v>
                </c:pt>
                <c:pt idx="94">
                  <c:v>476098.56000000006</c:v>
                </c:pt>
                <c:pt idx="95">
                  <c:v>301850.64</c:v>
                </c:pt>
                <c:pt idx="96">
                  <c:v>572378.76</c:v>
                </c:pt>
                <c:pt idx="97">
                  <c:v>650827.07999999996</c:v>
                </c:pt>
                <c:pt idx="98">
                  <c:v>168730.91999999998</c:v>
                </c:pt>
                <c:pt idx="99">
                  <c:v>274767.12</c:v>
                </c:pt>
                <c:pt idx="100">
                  <c:v>145128.95999999999</c:v>
                </c:pt>
                <c:pt idx="101">
                  <c:v>239202.6</c:v>
                </c:pt>
                <c:pt idx="102">
                  <c:v>373539.12</c:v>
                </c:pt>
                <c:pt idx="103">
                  <c:v>459628.79999999999</c:v>
                </c:pt>
                <c:pt idx="104">
                  <c:v>259522.44000000003</c:v>
                </c:pt>
                <c:pt idx="105">
                  <c:v>807889.91999999993</c:v>
                </c:pt>
                <c:pt idx="106">
                  <c:v>408705</c:v>
                </c:pt>
                <c:pt idx="107">
                  <c:v>11730.12</c:v>
                </c:pt>
                <c:pt idx="108">
                  <c:v>71526.239999999991</c:v>
                </c:pt>
                <c:pt idx="109">
                  <c:v>297327.12</c:v>
                </c:pt>
                <c:pt idx="110">
                  <c:v>464642.28</c:v>
                </c:pt>
                <c:pt idx="111">
                  <c:v>124317</c:v>
                </c:pt>
                <c:pt idx="112">
                  <c:v>57991.08</c:v>
                </c:pt>
                <c:pt idx="113">
                  <c:v>308560.08</c:v>
                </c:pt>
                <c:pt idx="114">
                  <c:v>722270.4</c:v>
                </c:pt>
                <c:pt idx="115">
                  <c:v>19471.439999999999</c:v>
                </c:pt>
                <c:pt idx="116">
                  <c:v>187063.8</c:v>
                </c:pt>
                <c:pt idx="117">
                  <c:v>168570.12</c:v>
                </c:pt>
                <c:pt idx="118">
                  <c:v>148143.72</c:v>
                </c:pt>
                <c:pt idx="119">
                  <c:v>342504.6</c:v>
                </c:pt>
                <c:pt idx="120">
                  <c:v>100992.72</c:v>
                </c:pt>
                <c:pt idx="121">
                  <c:v>501099.72</c:v>
                </c:pt>
                <c:pt idx="122">
                  <c:v>39152.28</c:v>
                </c:pt>
                <c:pt idx="123">
                  <c:v>488247.72000000003</c:v>
                </c:pt>
                <c:pt idx="124">
                  <c:v>369326.04000000004</c:v>
                </c:pt>
                <c:pt idx="125">
                  <c:v>561130.56000000006</c:v>
                </c:pt>
                <c:pt idx="126">
                  <c:v>730728.95999999996</c:v>
                </c:pt>
                <c:pt idx="127">
                  <c:v>373908.72</c:v>
                </c:pt>
                <c:pt idx="128">
                  <c:v>38890.92</c:v>
                </c:pt>
                <c:pt idx="129">
                  <c:v>240040.68</c:v>
                </c:pt>
                <c:pt idx="130">
                  <c:v>61764.36</c:v>
                </c:pt>
                <c:pt idx="131">
                  <c:v>423310.68</c:v>
                </c:pt>
                <c:pt idx="132">
                  <c:v>95230.92</c:v>
                </c:pt>
                <c:pt idx="133">
                  <c:v>317911.67999999999</c:v>
                </c:pt>
                <c:pt idx="134">
                  <c:v>50711.4</c:v>
                </c:pt>
                <c:pt idx="135">
                  <c:v>25690.560000000001</c:v>
                </c:pt>
                <c:pt idx="136">
                  <c:v>281621.28000000003</c:v>
                </c:pt>
                <c:pt idx="137">
                  <c:v>36838.080000000002</c:v>
                </c:pt>
                <c:pt idx="138">
                  <c:v>94051.08</c:v>
                </c:pt>
                <c:pt idx="139">
                  <c:v>259974.83999999997</c:v>
                </c:pt>
                <c:pt idx="140">
                  <c:v>279632.76</c:v>
                </c:pt>
                <c:pt idx="141">
                  <c:v>13649.28</c:v>
                </c:pt>
                <c:pt idx="142">
                  <c:v>353510.16</c:v>
                </c:pt>
                <c:pt idx="143">
                  <c:v>258354.36</c:v>
                </c:pt>
                <c:pt idx="144">
                  <c:v>91955.16</c:v>
                </c:pt>
                <c:pt idx="145">
                  <c:v>553932</c:v>
                </c:pt>
                <c:pt idx="146">
                  <c:v>449997.11999999994</c:v>
                </c:pt>
                <c:pt idx="147">
                  <c:v>265534.44</c:v>
                </c:pt>
                <c:pt idx="148">
                  <c:v>519635.52</c:v>
                </c:pt>
                <c:pt idx="149">
                  <c:v>202709.04</c:v>
                </c:pt>
                <c:pt idx="150">
                  <c:v>432823.8</c:v>
                </c:pt>
                <c:pt idx="151">
                  <c:v>231524.28</c:v>
                </c:pt>
                <c:pt idx="152">
                  <c:v>100180.56</c:v>
                </c:pt>
                <c:pt idx="153">
                  <c:v>321546.83999999997</c:v>
                </c:pt>
                <c:pt idx="154">
                  <c:v>167546.28</c:v>
                </c:pt>
                <c:pt idx="155">
                  <c:v>108151.79999999999</c:v>
                </c:pt>
                <c:pt idx="156">
                  <c:v>141729.96</c:v>
                </c:pt>
                <c:pt idx="157">
                  <c:v>315784.44</c:v>
                </c:pt>
                <c:pt idx="158">
                  <c:v>456723.48</c:v>
                </c:pt>
                <c:pt idx="159">
                  <c:v>323750.40000000002</c:v>
                </c:pt>
                <c:pt idx="160">
                  <c:v>140831.63999999998</c:v>
                </c:pt>
                <c:pt idx="161">
                  <c:v>819089.39999999991</c:v>
                </c:pt>
                <c:pt idx="162">
                  <c:v>191935.08</c:v>
                </c:pt>
                <c:pt idx="163">
                  <c:v>237943.2</c:v>
                </c:pt>
                <c:pt idx="164">
                  <c:v>348457.31999999995</c:v>
                </c:pt>
                <c:pt idx="165">
                  <c:v>204864.84000000003</c:v>
                </c:pt>
                <c:pt idx="166">
                  <c:v>295958.28000000003</c:v>
                </c:pt>
                <c:pt idx="167">
                  <c:v>218909.04</c:v>
                </c:pt>
                <c:pt idx="168">
                  <c:v>439263</c:v>
                </c:pt>
                <c:pt idx="169">
                  <c:v>81028.799999999988</c:v>
                </c:pt>
                <c:pt idx="170">
                  <c:v>421241.16000000003</c:v>
                </c:pt>
                <c:pt idx="171">
                  <c:v>453408.36</c:v>
                </c:pt>
                <c:pt idx="172">
                  <c:v>242153.39999999997</c:v>
                </c:pt>
              </c:numCache>
            </c:numRef>
          </c:val>
          <c:extLst>
            <c:ext xmlns:c16="http://schemas.microsoft.com/office/drawing/2014/chart" uri="{C3380CC4-5D6E-409C-BE32-E72D297353CC}">
              <c16:uniqueId val="{00000000-5E53-418D-B6AD-6D53BAAEECDB}"/>
            </c:ext>
          </c:extLst>
        </c:ser>
        <c:dLbls>
          <c:showLegendKey val="0"/>
          <c:showVal val="0"/>
          <c:showCatName val="0"/>
          <c:showSerName val="0"/>
          <c:showPercent val="0"/>
          <c:showBubbleSize val="0"/>
        </c:dLbls>
        <c:gapWidth val="219"/>
        <c:overlap val="-27"/>
        <c:axId val="1915837519"/>
        <c:axId val="1915833679"/>
      </c:barChart>
      <c:catAx>
        <c:axId val="191583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15833679"/>
        <c:crosses val="autoZero"/>
        <c:auto val="1"/>
        <c:lblAlgn val="ctr"/>
        <c:lblOffset val="100"/>
        <c:noMultiLvlLbl val="0"/>
      </c:catAx>
      <c:valAx>
        <c:axId val="191583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158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[Rent_Roll_Training_500_Rows.xlsb.xlsx]An_RENT_pivot!PivotTable8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Rent per sqm by Unit Type (Euro)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An_RENT_pivot!$B$3</c:f>
              <c:strCache>
                <c:ptCount val="1"/>
                <c:pt idx="0">
                  <c:v>Ergebnis</c:v>
                </c:pt>
              </c:strCache>
            </c:strRef>
          </c:tx>
          <c:spPr>
            <a:solidFill>
              <a:schemeClr val="accent1"/>
            </a:solidFill>
            <a:ln>
              <a:noFill/>
            </a:ln>
            <a:effectLst/>
          </c:spPr>
          <c:invertIfNegative val="0"/>
          <c:cat>
            <c:strRef>
              <c:f>An_RENT_pivot!$A$4:$A$8</c:f>
              <c:strCache>
                <c:ptCount val="4"/>
                <c:pt idx="0">
                  <c:v>Office</c:v>
                </c:pt>
                <c:pt idx="1">
                  <c:v>Production</c:v>
                </c:pt>
                <c:pt idx="2">
                  <c:v>Storage</c:v>
                </c:pt>
                <c:pt idx="3">
                  <c:v>Warehouse</c:v>
                </c:pt>
              </c:strCache>
            </c:strRef>
          </c:cat>
          <c:val>
            <c:numRef>
              <c:f>An_RENT_pivot!$B$4:$B$8</c:f>
              <c:numCache>
                <c:formatCode>General</c:formatCode>
                <c:ptCount val="4"/>
                <c:pt idx="0">
                  <c:v>12078892.919999992</c:v>
                </c:pt>
                <c:pt idx="1">
                  <c:v>11796009.959999999</c:v>
                </c:pt>
                <c:pt idx="2">
                  <c:v>13582922.280000001</c:v>
                </c:pt>
                <c:pt idx="3">
                  <c:v>12404264.760000002</c:v>
                </c:pt>
              </c:numCache>
            </c:numRef>
          </c:val>
          <c:extLst>
            <c:ext xmlns:c16="http://schemas.microsoft.com/office/drawing/2014/chart" uri="{C3380CC4-5D6E-409C-BE32-E72D297353CC}">
              <c16:uniqueId val="{00000000-810B-47E6-BEBA-DA0D4EA1CF11}"/>
            </c:ext>
          </c:extLst>
        </c:ser>
        <c:dLbls>
          <c:showLegendKey val="0"/>
          <c:showVal val="0"/>
          <c:showCatName val="0"/>
          <c:showSerName val="0"/>
          <c:showPercent val="0"/>
          <c:showBubbleSize val="0"/>
        </c:dLbls>
        <c:gapWidth val="219"/>
        <c:overlap val="-27"/>
        <c:axId val="1104940815"/>
        <c:axId val="1104941295"/>
      </c:barChart>
      <c:catAx>
        <c:axId val="11049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4941295"/>
        <c:crosses val="autoZero"/>
        <c:auto val="1"/>
        <c:lblAlgn val="ctr"/>
        <c:lblOffset val="100"/>
        <c:noMultiLvlLbl val="0"/>
      </c:catAx>
      <c:valAx>
        <c:axId val="110494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49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730250</xdr:colOff>
      <xdr:row>5</xdr:row>
      <xdr:rowOff>20637</xdr:rowOff>
    </xdr:from>
    <xdr:to>
      <xdr:col>6</xdr:col>
      <xdr:colOff>25400</xdr:colOff>
      <xdr:row>20</xdr:row>
      <xdr:rowOff>55562</xdr:rowOff>
    </xdr:to>
    <xdr:graphicFrame macro="">
      <xdr:nvGraphicFramePr>
        <xdr:cNvPr id="2" name="Diagramm 1">
          <a:extLst>
            <a:ext uri="{FF2B5EF4-FFF2-40B4-BE49-F238E27FC236}">
              <a16:creationId xmlns:a16="http://schemas.microsoft.com/office/drawing/2014/main" id="{E87959C3-717D-0CF3-0F4A-1AED55211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762000</xdr:colOff>
      <xdr:row>21</xdr:row>
      <xdr:rowOff>28575</xdr:rowOff>
    </xdr:from>
    <xdr:to>
      <xdr:col>6</xdr:col>
      <xdr:colOff>57150</xdr:colOff>
      <xdr:row>36</xdr:row>
      <xdr:rowOff>63500</xdr:rowOff>
    </xdr:to>
    <xdr:graphicFrame macro="">
      <xdr:nvGraphicFramePr>
        <xdr:cNvPr id="3" name="Diagramm 2">
          <a:extLst>
            <a:ext uri="{FF2B5EF4-FFF2-40B4-BE49-F238E27FC236}">
              <a16:creationId xmlns:a16="http://schemas.microsoft.com/office/drawing/2014/main" id="{A89767F8-5BD5-4B0F-8F5F-CE11E96BF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38100</xdr:colOff>
      <xdr:row>3</xdr:row>
      <xdr:rowOff>120650</xdr:rowOff>
    </xdr:from>
    <xdr:to>
      <xdr:col>10</xdr:col>
      <xdr:colOff>342900</xdr:colOff>
      <xdr:row>17</xdr:row>
      <xdr:rowOff>114300</xdr:rowOff>
    </xdr:to>
    <mc:AlternateContent xmlns:mc="http://schemas.openxmlformats.org/markup-compatibility/2006" xmlns:a14="http://schemas.microsoft.com/office/drawing/2010/main">
      <mc:Choice Requires="a14">
        <xdr:graphicFrame macro="">
          <xdr:nvGraphicFramePr>
            <xdr:cNvPr id="4" name="Property 1">
              <a:extLst>
                <a:ext uri="{FF2B5EF4-FFF2-40B4-BE49-F238E27FC236}">
                  <a16:creationId xmlns:a16="http://schemas.microsoft.com/office/drawing/2014/main" id="{FBB548CC-962C-1A8A-8818-8E787E3ECE69}"/>
                </a:ext>
              </a:extLst>
            </xdr:cNvPr>
            <xdr:cNvGraphicFramePr/>
          </xdr:nvGraphicFramePr>
          <xdr:xfrm>
            <a:off x="0" y="0"/>
            <a:ext cx="0" cy="0"/>
          </xdr:xfrm>
          <a:graphic>
            <a:graphicData uri="http://schemas.microsoft.com/office/drawing/2010/slicer">
              <sle:slicer xmlns:sle="http://schemas.microsoft.com/office/drawing/2010/slicer" name="Property 1"/>
            </a:graphicData>
          </a:graphic>
        </xdr:graphicFrame>
      </mc:Choice>
      <mc:Fallback xmlns="">
        <xdr:sp macro="" textlink="">
          <xdr:nvSpPr>
            <xdr:cNvPr id="0" name=""/>
            <xdr:cNvSpPr>
              <a:spLocks noTextEdit="1"/>
            </xdr:cNvSpPr>
          </xdr:nvSpPr>
          <xdr:spPr>
            <a:xfrm>
              <a:off x="9525000" y="66675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10</xdr:col>
      <xdr:colOff>571500</xdr:colOff>
      <xdr:row>3</xdr:row>
      <xdr:rowOff>76200</xdr:rowOff>
    </xdr:from>
    <xdr:to>
      <xdr:col>13</xdr:col>
      <xdr:colOff>114300</xdr:colOff>
      <xdr:row>17</xdr:row>
      <xdr:rowOff>63500</xdr:rowOff>
    </xdr:to>
    <mc:AlternateContent xmlns:mc="http://schemas.openxmlformats.org/markup-compatibility/2006" xmlns:a14="http://schemas.microsoft.com/office/drawing/2010/main">
      <mc:Choice Requires="a14">
        <xdr:graphicFrame macro="">
          <xdr:nvGraphicFramePr>
            <xdr:cNvPr id="5" name="Status 1">
              <a:extLst>
                <a:ext uri="{FF2B5EF4-FFF2-40B4-BE49-F238E27FC236}">
                  <a16:creationId xmlns:a16="http://schemas.microsoft.com/office/drawing/2014/main" id="{95A8408C-429F-AA1A-71EE-5A5FD51F552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1582400" y="619125"/>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6350</xdr:rowOff>
    </xdr:from>
    <xdr:to>
      <xdr:col>3</xdr:col>
      <xdr:colOff>466725</xdr:colOff>
      <xdr:row>29</xdr:row>
      <xdr:rowOff>19050</xdr:rowOff>
    </xdr:to>
    <xdr:graphicFrame macro="">
      <xdr:nvGraphicFramePr>
        <xdr:cNvPr id="3" name="Diagramm 2">
          <a:extLst>
            <a:ext uri="{FF2B5EF4-FFF2-40B4-BE49-F238E27FC236}">
              <a16:creationId xmlns:a16="http://schemas.microsoft.com/office/drawing/2014/main" id="{40CF5DD3-F84D-411F-941B-718475A95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717549</xdr:colOff>
      <xdr:row>12</xdr:row>
      <xdr:rowOff>6350</xdr:rowOff>
    </xdr:from>
    <xdr:to>
      <xdr:col>10</xdr:col>
      <xdr:colOff>133350</xdr:colOff>
      <xdr:row>29</xdr:row>
      <xdr:rowOff>0</xdr:rowOff>
    </xdr:to>
    <xdr:graphicFrame macro="">
      <xdr:nvGraphicFramePr>
        <xdr:cNvPr id="7" name="Diagramm 6">
          <a:extLst>
            <a:ext uri="{FF2B5EF4-FFF2-40B4-BE49-F238E27FC236}">
              <a16:creationId xmlns:a16="http://schemas.microsoft.com/office/drawing/2014/main" id="{6C3F2834-8835-40FC-9122-F6CCC7E51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19050</xdr:rowOff>
    </xdr:from>
    <xdr:to>
      <xdr:col>3</xdr:col>
      <xdr:colOff>466724</xdr:colOff>
      <xdr:row>45</xdr:row>
      <xdr:rowOff>44450</xdr:rowOff>
    </xdr:to>
    <xdr:graphicFrame macro="">
      <xdr:nvGraphicFramePr>
        <xdr:cNvPr id="8" name="Diagramm 7">
          <a:extLst>
            <a:ext uri="{FF2B5EF4-FFF2-40B4-BE49-F238E27FC236}">
              <a16:creationId xmlns:a16="http://schemas.microsoft.com/office/drawing/2014/main" id="{3C13C1E3-8476-48E6-A64A-89236B2F3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733425</xdr:colOff>
      <xdr:row>30</xdr:row>
      <xdr:rowOff>19050</xdr:rowOff>
    </xdr:from>
    <xdr:to>
      <xdr:col>10</xdr:col>
      <xdr:colOff>133351</xdr:colOff>
      <xdr:row>45</xdr:row>
      <xdr:rowOff>57150</xdr:rowOff>
    </xdr:to>
    <xdr:graphicFrame macro="">
      <xdr:nvGraphicFramePr>
        <xdr:cNvPr id="10" name="Diagramm 9">
          <a:extLst>
            <a:ext uri="{FF2B5EF4-FFF2-40B4-BE49-F238E27FC236}">
              <a16:creationId xmlns:a16="http://schemas.microsoft.com/office/drawing/2014/main" id="{C66082B3-86E2-4335-B3ED-C02AFA0AB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38100</xdr:colOff>
      <xdr:row>12</xdr:row>
      <xdr:rowOff>28575</xdr:rowOff>
    </xdr:from>
    <xdr:to>
      <xdr:col>13</xdr:col>
      <xdr:colOff>339725</xdr:colOff>
      <xdr:row>26</xdr:row>
      <xdr:rowOff>15875</xdr:rowOff>
    </xdr:to>
    <mc:AlternateContent xmlns:mc="http://schemas.openxmlformats.org/markup-compatibility/2006" xmlns:a14="http://schemas.microsoft.com/office/drawing/2010/main">
      <mc:Choice Requires="a14">
        <xdr:graphicFrame macro="">
          <xdr:nvGraphicFramePr>
            <xdr:cNvPr id="11" name="Property">
              <a:extLst>
                <a:ext uri="{FF2B5EF4-FFF2-40B4-BE49-F238E27FC236}">
                  <a16:creationId xmlns:a16="http://schemas.microsoft.com/office/drawing/2014/main" id="{B856E492-F3E9-4390-985E-3F15F1FFCFC9}"/>
                </a:ext>
              </a:extLst>
            </xdr:cNvPr>
            <xdr:cNvGraphicFramePr/>
          </xdr:nvGraphicFramePr>
          <xdr:xfrm>
            <a:off x="0" y="0"/>
            <a:ext cx="0" cy="0"/>
          </xdr:xfrm>
          <a:graphic>
            <a:graphicData uri="http://schemas.microsoft.com/office/drawing/2010/slicer">
              <sle:slicer xmlns:sle="http://schemas.microsoft.com/office/drawing/2010/slicer" name="Property"/>
            </a:graphicData>
          </a:graphic>
        </xdr:graphicFrame>
      </mc:Choice>
      <mc:Fallback xmlns="">
        <xdr:sp macro="" textlink="">
          <xdr:nvSpPr>
            <xdr:cNvPr id="0" name=""/>
            <xdr:cNvSpPr>
              <a:spLocks noTextEdit="1"/>
            </xdr:cNvSpPr>
          </xdr:nvSpPr>
          <xdr:spPr>
            <a:xfrm>
              <a:off x="10363200" y="2635250"/>
              <a:ext cx="1825625"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13</xdr:col>
      <xdr:colOff>454025</xdr:colOff>
      <xdr:row>12</xdr:row>
      <xdr:rowOff>6350</xdr:rowOff>
    </xdr:from>
    <xdr:to>
      <xdr:col>15</xdr:col>
      <xdr:colOff>758825</xdr:colOff>
      <xdr:row>26</xdr:row>
      <xdr:rowOff>9525</xdr:rowOff>
    </xdr:to>
    <mc:AlternateContent xmlns:mc="http://schemas.openxmlformats.org/markup-compatibility/2006" xmlns:a14="http://schemas.microsoft.com/office/drawing/2010/main">
      <mc:Choice Requires="a14">
        <xdr:graphicFrame macro="">
          <xdr:nvGraphicFramePr>
            <xdr:cNvPr id="12" name="Unit_Type">
              <a:extLst>
                <a:ext uri="{FF2B5EF4-FFF2-40B4-BE49-F238E27FC236}">
                  <a16:creationId xmlns:a16="http://schemas.microsoft.com/office/drawing/2014/main" id="{8EA35DDB-4B6C-4FC4-B007-B6A3E154EA60}"/>
                </a:ext>
              </a:extLst>
            </xdr:cNvPr>
            <xdr:cNvGraphicFramePr/>
          </xdr:nvGraphicFramePr>
          <xdr:xfrm>
            <a:off x="0" y="0"/>
            <a:ext cx="0" cy="0"/>
          </xdr:xfrm>
          <a:graphic>
            <a:graphicData uri="http://schemas.microsoft.com/office/drawing/2010/slicer">
              <sle:slicer xmlns:sle="http://schemas.microsoft.com/office/drawing/2010/slicer" name="Unit_Type"/>
            </a:graphicData>
          </a:graphic>
        </xdr:graphicFrame>
      </mc:Choice>
      <mc:Fallback xmlns="">
        <xdr:sp macro="" textlink="">
          <xdr:nvSpPr>
            <xdr:cNvPr id="0" name=""/>
            <xdr:cNvSpPr>
              <a:spLocks noTextEdit="1"/>
            </xdr:cNvSpPr>
          </xdr:nvSpPr>
          <xdr:spPr>
            <a:xfrm>
              <a:off x="12303125" y="2619375"/>
              <a:ext cx="1828800" cy="253365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16</xdr:col>
      <xdr:colOff>187325</xdr:colOff>
      <xdr:row>12</xdr:row>
      <xdr:rowOff>15875</xdr:rowOff>
    </xdr:from>
    <xdr:to>
      <xdr:col>18</xdr:col>
      <xdr:colOff>495300</xdr:colOff>
      <xdr:row>26</xdr:row>
      <xdr:rowOff>9525</xdr:rowOff>
    </xdr:to>
    <mc:AlternateContent xmlns:mc="http://schemas.openxmlformats.org/markup-compatibility/2006" xmlns:a14="http://schemas.microsoft.com/office/drawing/2010/main">
      <mc:Choice Requires="a14">
        <xdr:graphicFrame macro="">
          <xdr:nvGraphicFramePr>
            <xdr:cNvPr id="13" name="Status">
              <a:extLst>
                <a:ext uri="{FF2B5EF4-FFF2-40B4-BE49-F238E27FC236}">
                  <a16:creationId xmlns:a16="http://schemas.microsoft.com/office/drawing/2014/main" id="{F2343DCA-C930-4D31-87BB-4A3491E6623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322425" y="2625725"/>
              <a:ext cx="1831975" cy="25273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1587</xdr:rowOff>
    </xdr:from>
    <xdr:to>
      <xdr:col>9</xdr:col>
      <xdr:colOff>9525</xdr:colOff>
      <xdr:row>17</xdr:row>
      <xdr:rowOff>39687</xdr:rowOff>
    </xdr:to>
    <xdr:graphicFrame macro="">
      <xdr:nvGraphicFramePr>
        <xdr:cNvPr id="2" name="Diagramm 1">
          <a:extLst>
            <a:ext uri="{FF2B5EF4-FFF2-40B4-BE49-F238E27FC236}">
              <a16:creationId xmlns:a16="http://schemas.microsoft.com/office/drawing/2014/main" id="{324B0B29-A3B4-1650-7B92-DBFC053C8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6350</xdr:rowOff>
    </xdr:from>
    <xdr:to>
      <xdr:col>9</xdr:col>
      <xdr:colOff>28575</xdr:colOff>
      <xdr:row>34</xdr:row>
      <xdr:rowOff>133349</xdr:rowOff>
    </xdr:to>
    <xdr:graphicFrame macro="">
      <xdr:nvGraphicFramePr>
        <xdr:cNvPr id="3" name="Diagramm 2">
          <a:extLst>
            <a:ext uri="{FF2B5EF4-FFF2-40B4-BE49-F238E27FC236}">
              <a16:creationId xmlns:a16="http://schemas.microsoft.com/office/drawing/2014/main" id="{A93D4880-C9BE-4A0C-8041-F04A95A12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141287</xdr:colOff>
      <xdr:row>2</xdr:row>
      <xdr:rowOff>1587</xdr:rowOff>
    </xdr:from>
    <xdr:to>
      <xdr:col>10</xdr:col>
      <xdr:colOff>141287</xdr:colOff>
      <xdr:row>17</xdr:row>
      <xdr:rowOff>36512</xdr:rowOff>
    </xdr:to>
    <xdr:graphicFrame macro="">
      <xdr:nvGraphicFramePr>
        <xdr:cNvPr id="2" name="Diagramm 1">
          <a:extLst>
            <a:ext uri="{FF2B5EF4-FFF2-40B4-BE49-F238E27FC236}">
              <a16:creationId xmlns:a16="http://schemas.microsoft.com/office/drawing/2014/main" id="{B35FAE27-78EC-831A-268A-9C8EDBE38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720725</xdr:colOff>
      <xdr:row>1</xdr:row>
      <xdr:rowOff>173037</xdr:rowOff>
    </xdr:from>
    <xdr:to>
      <xdr:col>8</xdr:col>
      <xdr:colOff>720725</xdr:colOff>
      <xdr:row>17</xdr:row>
      <xdr:rowOff>26987</xdr:rowOff>
    </xdr:to>
    <xdr:graphicFrame macro="">
      <xdr:nvGraphicFramePr>
        <xdr:cNvPr id="3" name="Diagramm 2">
          <a:extLst>
            <a:ext uri="{FF2B5EF4-FFF2-40B4-BE49-F238E27FC236}">
              <a16:creationId xmlns:a16="http://schemas.microsoft.com/office/drawing/2014/main" id="{B3216712-EDD6-8A81-5576-52219BAF7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752475</xdr:colOff>
      <xdr:row>1</xdr:row>
      <xdr:rowOff>171450</xdr:rowOff>
    </xdr:from>
    <xdr:to>
      <xdr:col>12</xdr:col>
      <xdr:colOff>419100</xdr:colOff>
      <xdr:row>24</xdr:row>
      <xdr:rowOff>20637</xdr:rowOff>
    </xdr:to>
    <xdr:graphicFrame macro="">
      <xdr:nvGraphicFramePr>
        <xdr:cNvPr id="2" name="Diagramm 1">
          <a:extLst>
            <a:ext uri="{FF2B5EF4-FFF2-40B4-BE49-F238E27FC236}">
              <a16:creationId xmlns:a16="http://schemas.microsoft.com/office/drawing/2014/main" id="{B415D8A8-920B-E40F-10BF-19839EC6B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446087</xdr:colOff>
      <xdr:row>1</xdr:row>
      <xdr:rowOff>179387</xdr:rowOff>
    </xdr:from>
    <xdr:to>
      <xdr:col>8</xdr:col>
      <xdr:colOff>446087</xdr:colOff>
      <xdr:row>17</xdr:row>
      <xdr:rowOff>39687</xdr:rowOff>
    </xdr:to>
    <xdr:graphicFrame macro="">
      <xdr:nvGraphicFramePr>
        <xdr:cNvPr id="2" name="Diagramm 1">
          <a:extLst>
            <a:ext uri="{FF2B5EF4-FFF2-40B4-BE49-F238E27FC236}">
              <a16:creationId xmlns:a16="http://schemas.microsoft.com/office/drawing/2014/main" id="{DA5DB8BD-5DFF-7528-2892-13D14EDEF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a Archipenko" refreshedDate="46073.839564351852" createdVersion="8" refreshedVersion="8" minRefreshableVersion="3" recordCount="500" xr:uid="{A0F98B09-57DE-41AE-A7CB-8869265E4AFD}">
  <cacheSource type="worksheet">
    <worksheetSource name="tblRentRoll"/>
  </cacheSource>
  <cacheFields count="24">
    <cacheField name="Property" numFmtId="0">
      <sharedItems count="8">
        <s v="Berlin_Mahlsdorf"/>
        <s v="Berlin_Borsigwerke"/>
        <s v="Leipzig_Park"/>
        <s v="Dresden_Park"/>
        <s v="Berlin_Gartenfeld"/>
        <s v="Berlin_Tempelhof"/>
        <s v="Hamburg_Park"/>
        <s v="Munich_Park"/>
      </sharedItems>
    </cacheField>
    <cacheField name="Unit_ID" numFmtId="0">
      <sharedItems count="500">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7"/>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haredItems>
    </cacheField>
    <cacheField name="Unit_Type" numFmtId="0">
      <sharedItems count="4">
        <s v="Production"/>
        <s v="Office"/>
        <s v="Storage"/>
        <s v="Warehouse"/>
      </sharedItems>
    </cacheField>
    <cacheField name="Area_sqm" numFmtId="0">
      <sharedItems containsSemiMixedTypes="0" containsString="0" containsNumber="1" containsInteger="1" minValue="36" maxValue="1498" count="434">
        <n v="1072"/>
        <n v="356"/>
        <n v="920"/>
        <n v="659"/>
        <n v="826"/>
        <n v="482"/>
        <n v="1358"/>
        <n v="319"/>
        <n v="744"/>
        <n v="1453"/>
        <n v="174"/>
        <n v="1202"/>
        <n v="215"/>
        <n v="1379"/>
        <n v="1194"/>
        <n v="1216"/>
        <n v="417"/>
        <n v="549"/>
        <n v="754"/>
        <n v="1180"/>
        <n v="876"/>
        <n v="946"/>
        <n v="1255"/>
        <n v="484"/>
        <n v="911"/>
        <n v="1147"/>
        <n v="361"/>
        <n v="1301"/>
        <n v="1245"/>
        <n v="1272"/>
        <n v="1089"/>
        <n v="899"/>
        <n v="1143"/>
        <n v="524"/>
        <n v="376"/>
        <n v="294"/>
        <n v="1052"/>
        <n v="438"/>
        <n v="1214"/>
        <n v="1021"/>
        <n v="75"/>
        <n v="759"/>
        <n v="1074"/>
        <n v="1198"/>
        <n v="1315"/>
        <n v="1127"/>
        <n v="1449"/>
        <n v="45"/>
        <n v="324"/>
        <n v="1278"/>
        <n v="222"/>
        <n v="919"/>
        <n v="124"/>
        <n v="229"/>
        <n v="536"/>
        <n v="1342"/>
        <n v="182"/>
        <n v="863"/>
        <n v="1307"/>
        <n v="703"/>
        <n v="1184"/>
        <n v="782"/>
        <n v="427"/>
        <n v="505"/>
        <n v="706"/>
        <n v="866"/>
        <n v="1372"/>
        <n v="1200"/>
        <n v="615"/>
        <n v="774"/>
        <n v="459"/>
        <n v="927"/>
        <n v="1369"/>
        <n v="1119"/>
        <n v="993"/>
        <n v="1099"/>
        <n v="943"/>
        <n v="1382"/>
        <n v="1269"/>
        <n v="810"/>
        <n v="264"/>
        <n v="1027"/>
        <n v="532"/>
        <n v="851"/>
        <n v="1251"/>
        <n v="1493"/>
        <n v="261"/>
        <n v="1123"/>
        <n v="1373"/>
        <n v="231"/>
        <n v="1023"/>
        <n v="497"/>
        <n v="622"/>
        <n v="849"/>
        <n v="1344"/>
        <n v="116"/>
        <n v="183"/>
        <n v="1395"/>
        <n v="1065"/>
        <n v="721"/>
        <n v="1463"/>
        <n v="1130"/>
        <n v="801"/>
        <n v="97"/>
        <n v="386"/>
        <n v="345"/>
        <n v="59"/>
        <n v="1465"/>
        <n v="1233"/>
        <n v="465"/>
        <n v="630"/>
        <n v="87"/>
        <n v="1287"/>
        <n v="1093"/>
        <n v="933"/>
        <n v="888"/>
        <n v="169"/>
        <n v="527"/>
        <n v="477"/>
        <n v="1400"/>
        <n v="150"/>
        <n v="1370"/>
        <n v="1413"/>
        <n v="1292"/>
        <n v="1474"/>
        <n v="1225"/>
        <n v="1378"/>
        <n v="621"/>
        <n v="265"/>
        <n v="1329"/>
        <n v="720"/>
        <n v="717"/>
        <n v="794"/>
        <n v="1024"/>
        <n v="999"/>
        <n v="672"/>
        <n v="126"/>
        <n v="404"/>
        <n v="916"/>
        <n v="804"/>
        <n v="1294"/>
        <n v="1058"/>
        <n v="1473"/>
        <n v="1173"/>
        <n v="368"/>
        <n v="1288"/>
        <n v="262"/>
        <n v="1303"/>
        <n v="1479"/>
        <n v="762"/>
        <n v="98"/>
        <n v="161"/>
        <n v="156"/>
        <n v="528"/>
        <n v="632"/>
        <n v="408"/>
        <n v="441"/>
        <n v="390"/>
        <n v="682"/>
        <n v="538"/>
        <n v="1289"/>
        <n v="1406"/>
        <n v="375"/>
        <n v="1371"/>
        <n v="594"/>
        <n v="531"/>
        <n v="1160"/>
        <n v="186"/>
        <n v="287"/>
        <n v="752"/>
        <n v="787"/>
        <n v="1139"/>
        <n v="1220"/>
        <n v="414"/>
        <n v="642"/>
        <n v="915"/>
        <n v="869"/>
        <n v="384"/>
        <n v="856"/>
        <n v="715"/>
        <n v="858"/>
        <n v="1407"/>
        <n v="1120"/>
        <n v="406"/>
        <n v="1259"/>
        <n v="583"/>
        <n v="1232"/>
        <n v="566"/>
        <n v="652"/>
        <n v="250"/>
        <n v="155"/>
        <n v="1417"/>
        <n v="1468"/>
        <n v="1226"/>
        <n v="1466"/>
        <n v="850"/>
        <n v="471"/>
        <n v="143"/>
        <n v="43"/>
        <n v="162"/>
        <n v="377"/>
        <n v="954"/>
        <n v="767"/>
        <n v="860"/>
        <n v="651"/>
        <n v="701"/>
        <n v="1438"/>
        <n v="848"/>
        <n v="485"/>
        <n v="130"/>
        <n v="909"/>
        <n v="1060"/>
        <n v="971"/>
        <n v="692"/>
        <n v="1275"/>
        <n v="1317"/>
        <n v="861"/>
        <n v="870"/>
        <n v="320"/>
        <n v="985"/>
        <n v="667"/>
        <n v="1426"/>
        <n v="1205"/>
        <n v="199"/>
        <n v="578"/>
        <n v="623"/>
        <n v="1421"/>
        <n v="895"/>
        <n v="1448"/>
        <n v="291"/>
        <n v="1284"/>
        <n v="113"/>
        <n v="1319"/>
        <n v="1182"/>
        <n v="663"/>
        <n v="1125"/>
        <n v="868"/>
        <n v="1211"/>
        <n v="1306"/>
        <n v="606"/>
        <n v="737"/>
        <n v="932"/>
        <n v="907"/>
        <n v="1243"/>
        <n v="1219"/>
        <n v="1121"/>
        <n v="816"/>
        <n v="831"/>
        <n v="1481"/>
        <n v="784"/>
        <n v="709"/>
        <n v="288"/>
        <n v="1258"/>
        <n v="1187"/>
        <n v="923"/>
        <n v="1238"/>
        <n v="976"/>
        <n v="106"/>
        <n v="488"/>
        <n v="81"/>
        <n v="980"/>
        <n v="331"/>
        <n v="1460"/>
        <n v="1210"/>
        <n v="571"/>
        <n v="926"/>
        <n v="49"/>
        <n v="1020"/>
        <n v="733"/>
        <n v="72"/>
        <n v="500"/>
        <n v="1067"/>
        <n v="317"/>
        <n v="230"/>
        <n v="610"/>
        <n v="416"/>
        <n v="1390"/>
        <n v="1322"/>
        <n v="957"/>
        <n v="904"/>
        <n v="1055"/>
        <n v="1309"/>
        <n v="144"/>
        <n v="1223"/>
        <n v="906"/>
        <n v="707"/>
        <n v="611"/>
        <n v="845"/>
        <n v="796"/>
        <n v="1498"/>
        <n v="1435"/>
        <n v="1071"/>
        <n v="776"/>
        <n v="315"/>
        <n v="399"/>
        <n v="1039"/>
        <n v="735"/>
        <n v="1150"/>
        <n v="1389"/>
        <n v="509"/>
        <n v="1078"/>
        <n v="1470"/>
        <n v="917"/>
        <n v="221"/>
        <n v="393"/>
        <n v="1297"/>
        <n v="901"/>
        <n v="1471"/>
        <n v="572"/>
        <n v="1388"/>
        <n v="279"/>
        <n v="712"/>
        <n v="137"/>
        <n v="64"/>
        <n v="91"/>
        <n v="185"/>
        <n v="369"/>
        <n v="1085"/>
        <n v="1321"/>
        <n v="941"/>
        <n v="1087"/>
        <n v="545"/>
        <n v="620"/>
        <n v="463"/>
        <n v="152"/>
        <n v="1041"/>
        <n v="978"/>
        <n v="1250"/>
        <n v="1227"/>
        <n v="832"/>
        <n v="461"/>
        <n v="616"/>
        <n v="1261"/>
        <n v="363"/>
        <n v="349"/>
        <n v="1117"/>
        <n v="979"/>
        <n v="275"/>
        <n v="1423"/>
        <n v="648"/>
        <n v="991"/>
        <n v="1036"/>
        <n v="507"/>
        <n v="605"/>
        <n v="1015"/>
        <n v="683"/>
        <n v="727"/>
        <n v="65"/>
        <n v="280"/>
        <n v="1414"/>
        <n v="1304"/>
        <n v="329"/>
        <n v="1348"/>
        <n v="1444"/>
        <n v="743"/>
        <n v="57"/>
        <n v="490"/>
        <n v="1043"/>
        <n v="1118"/>
        <n v="474"/>
        <n v="405"/>
        <n v="694"/>
        <n v="702"/>
        <n v="537"/>
        <n v="786"/>
        <n v="1005"/>
        <n v="1428"/>
        <n v="575"/>
        <n v="761"/>
        <n v="1142"/>
        <n v="499"/>
        <n v="961"/>
        <n v="1206"/>
        <n v="85"/>
        <n v="36"/>
        <n v="780"/>
        <n v="1374"/>
        <n v="725"/>
        <n v="246"/>
        <n v="511"/>
        <n v="655"/>
        <n v="823"/>
        <n v="1137"/>
        <n v="510"/>
        <n v="797"/>
        <n v="960"/>
        <n v="1308"/>
        <n v="1069"/>
        <n v="253"/>
        <n v="1037"/>
        <n v="728"/>
        <n v="309"/>
        <n v="1475"/>
        <n v="355"/>
        <n v="1053"/>
        <n v="601"/>
        <n v="1047"/>
        <n v="245"/>
        <n v="661"/>
        <n v="1324"/>
        <n v="138"/>
        <n v="1488"/>
        <n v="258"/>
        <n v="1416"/>
        <n v="425"/>
        <n v="1347"/>
        <n v="460"/>
        <n v="1179"/>
        <n v="46"/>
        <n v="705"/>
        <n v="1239"/>
        <n v="330"/>
        <n v="931"/>
        <n v="905"/>
        <n v="773"/>
        <n v="949"/>
        <n v="172"/>
        <n v="297"/>
        <n v="165"/>
        <n v="1190"/>
        <n v="1380"/>
        <n v="1456"/>
        <n v="1260"/>
        <n v="740"/>
        <n v="1132"/>
        <n v="984"/>
        <n v="243"/>
        <n v="1367"/>
        <n v="1016"/>
        <n v="95"/>
        <n v="771"/>
        <n v="447"/>
        <n v="699"/>
        <n v="1393"/>
      </sharedItems>
    </cacheField>
    <cacheField name="Status" numFmtId="0">
      <sharedItems count="2">
        <s v="Occupied"/>
        <s v="Vacant"/>
      </sharedItems>
    </cacheField>
    <cacheField name="Tenant_Name" numFmtId="0">
      <sharedItems containsBlank="1"/>
    </cacheField>
    <cacheField name="Monthly_Rent_EUR" numFmtId="0">
      <sharedItems containsSemiMixedTypes="0" containsString="0" containsNumber="1" minValue="0" maxValue="25902.71" count="432">
        <n v="12532.9"/>
        <n v="0"/>
        <n v="11487.23"/>
        <n v="7757.21"/>
        <n v="10359.75"/>
        <n v="23528.639999999999"/>
        <n v="5107.1499999999996"/>
        <n v="7237.57"/>
        <n v="9945.89"/>
        <n v="2991.69"/>
        <n v="7302.78"/>
        <n v="2746.09"/>
        <n v="9289.85"/>
        <n v="21260.89"/>
        <n v="20687.509999999998"/>
        <n v="4264.49"/>
        <n v="8906.5300000000007"/>
        <n v="11003.3"/>
        <n v="12902.94"/>
        <n v="18391.16"/>
        <n v="5675.06"/>
        <n v="13032.41"/>
        <n v="18342.759999999998"/>
        <n v="12000.8"/>
        <n v="14498.27"/>
        <n v="18980.11"/>
        <n v="12542.71"/>
        <n v="14257.35"/>
        <n v="9084.25"/>
        <n v="6140.9"/>
        <n v="2266.0100000000002"/>
        <n v="3589.14"/>
        <n v="16833.259999999998"/>
        <n v="750.15"/>
        <n v="7066.4"/>
        <n v="9469.42"/>
        <n v="15588.65"/>
        <n v="17089.689999999999"/>
        <n v="9292.85"/>
        <n v="21330.01"/>
        <n v="672.55"/>
        <n v="3330.13"/>
        <n v="14012.6"/>
        <n v="10329.219999999999"/>
        <n v="7589.27"/>
        <n v="1156.96"/>
        <n v="7105.28"/>
        <n v="9440.69"/>
        <n v="1195.51"/>
        <n v="14963.99"/>
        <n v="5644.59"/>
        <n v="14898.1"/>
        <n v="13863.33"/>
        <n v="5377.03"/>
        <n v="4749.78"/>
        <n v="8659.67"/>
        <n v="12540.53"/>
        <n v="16144.43"/>
        <n v="14950.96"/>
        <n v="7695.07"/>
        <n v="12430.3"/>
        <n v="6229.63"/>
        <n v="9098.56"/>
        <n v="17011.32"/>
        <n v="11054.6"/>
        <n v="14044.29"/>
        <n v="13899.61"/>
        <n v="14665.12"/>
        <n v="10675.32"/>
        <n v="2000.76"/>
        <n v="17595.91"/>
        <n v="4854.97"/>
        <n v="22328.23"/>
        <n v="21938.37"/>
        <n v="3617.72"/>
        <n v="8230.8700000000008"/>
        <n v="15020.63"/>
        <n v="2751.24"/>
        <n v="6654.49"/>
        <n v="4832.59"/>
        <n v="10360.540000000001"/>
        <n v="17431.07"/>
        <n v="822.62"/>
        <n v="2803.49"/>
        <n v="14858.32"/>
        <n v="6681.26"/>
        <n v="15641.4"/>
        <n v="15994.59"/>
        <n v="11553.99"/>
        <n v="894.59"/>
        <n v="3481.61"/>
        <n v="977.51"/>
        <n v="16343.52"/>
        <n v="9133.7800000000007"/>
        <n v="6922.64"/>
        <n v="6023.15"/>
        <n v="1470.37"/>
        <n v="13446.79"/>
        <n v="9060.3799999999992"/>
        <n v="9759.31"/>
        <n v="11089.95"/>
        <n v="1236.1199999999999"/>
        <n v="8416.06"/>
        <n v="16978.580000000002"/>
        <n v="1137.44"/>
        <n v="10873.29"/>
        <n v="20651.169999999998"/>
        <n v="18273.009999999998"/>
        <n v="12489.04"/>
        <n v="14304.18"/>
        <n v="15987.33"/>
        <n v="4558.95"/>
        <n v="21552"/>
        <n v="8217.56"/>
        <n v="7969.82"/>
        <n v="2978.34"/>
        <n v="8410.08"/>
        <n v="6966.64"/>
        <n v="10504.52"/>
        <n v="1300.0999999999999"/>
        <n v="4066.55"/>
        <n v="14184.95"/>
        <n v="16174.24"/>
        <n v="6148.46"/>
        <n v="12486.12"/>
        <n v="12386.01"/>
        <n v="23958.22"/>
        <n v="15117.86"/>
        <n v="5656"/>
        <n v="19588.91"/>
        <n v="4453.29"/>
        <n v="22356.85"/>
        <n v="20862.66"/>
        <n v="7663.76"/>
        <n v="989.38"/>
        <n v="2087.39"/>
        <n v="3553.11"/>
        <n v="11174.54"/>
        <n v="3123.02"/>
        <n v="7800.1"/>
        <n v="3229.69"/>
        <n v="3262.69"/>
        <n v="8476.51"/>
        <n v="9929.9699999999993"/>
        <n v="6887.09"/>
        <n v="12193.43"/>
        <n v="18128.490000000002"/>
        <n v="20678.509999999998"/>
        <n v="4495.26"/>
        <n v="18735.21"/>
        <n v="9837.81"/>
        <n v="6325.2"/>
        <n v="16845.830000000002"/>
        <n v="1622.62"/>
        <n v="2140.88"/>
        <n v="7469.62"/>
        <n v="11099.89"/>
        <n v="10473.030000000001"/>
        <n v="3503.43"/>
        <n v="4658.8100000000004"/>
        <n v="11681.68"/>
        <n v="13564.92"/>
        <n v="12469.24"/>
        <n v="3987.05"/>
        <n v="15092.25"/>
        <n v="8702.35"/>
        <n v="6738.33"/>
        <n v="5072.72"/>
        <n v="18561.580000000002"/>
        <n v="5356.44"/>
        <n v="15140.03"/>
        <n v="5147.03"/>
        <n v="1610.05"/>
        <n v="1001.74"/>
        <n v="13226.44"/>
        <n v="18039.21"/>
        <n v="13693.68"/>
        <n v="13097.99"/>
        <n v="9114.67"/>
        <n v="2377.5700000000002"/>
        <n v="2356.58"/>
        <n v="408.41"/>
        <n v="1370.56"/>
        <n v="3869.02"/>
        <n v="3803.82"/>
        <n v="10153.59"/>
        <n v="8212.43"/>
        <n v="5195.8500000000004"/>
        <n v="6173.01"/>
        <n v="10098.24"/>
        <n v="17825.34"/>
        <n v="5143.63"/>
        <n v="5728.47"/>
        <n v="2121.5"/>
        <n v="19321.05"/>
        <n v="8886.81"/>
        <n v="18311.439999999999"/>
        <n v="10015.14"/>
        <n v="8867.02"/>
        <n v="22950.58"/>
        <n v="7278.1"/>
        <n v="3240.91"/>
        <n v="7078.44"/>
        <n v="17154.490000000002"/>
        <n v="11218.99"/>
        <n v="14591.64"/>
        <n v="14186.75"/>
        <n v="11863.97"/>
        <n v="3522.71"/>
        <n v="3806.78"/>
        <n v="8728.09"/>
        <n v="11101.12"/>
        <n v="20684.18"/>
        <n v="10253.629999999999"/>
        <n v="13469.14"/>
        <n v="5193.4799999999996"/>
        <n v="13173.91"/>
        <n v="13727.44"/>
        <n v="11810.83"/>
        <n v="9581.48"/>
        <n v="12123.8"/>
        <n v="12028.24"/>
        <n v="11158.92"/>
        <n v="21377.51"/>
        <n v="9261.65"/>
        <n v="9430.5300000000007"/>
        <n v="13841.72"/>
        <n v="11569.91"/>
        <n v="7401.95"/>
        <n v="12409.13"/>
        <n v="14047.51"/>
        <n v="14433.44"/>
        <n v="10977.23"/>
        <n v="7869.55"/>
        <n v="6279.65"/>
        <n v="6149.55"/>
        <n v="8072.65"/>
        <n v="2628.04"/>
        <n v="17573.45"/>
        <n v="13280.47"/>
        <n v="10482.98"/>
        <n v="20531.669999999998"/>
        <n v="15485.99"/>
        <n v="1138.29"/>
        <n v="6526.15"/>
        <n v="1179.27"/>
        <n v="8562.11"/>
        <n v="7900.49"/>
        <n v="3165.13"/>
        <n v="13787.9"/>
        <n v="7851.82"/>
        <n v="9100.9599999999991"/>
        <n v="637.78"/>
        <n v="17994.990000000002"/>
        <n v="7837.59"/>
        <n v="1143.33"/>
        <n v="4235.62"/>
        <n v="8200.6"/>
        <n v="3380.11"/>
        <n v="10290.18"/>
        <n v="2861.89"/>
        <n v="11363.16"/>
        <n v="9036.81"/>
        <n v="11428.83"/>
        <n v="12631.54"/>
        <n v="4524.76"/>
        <n v="5878.29"/>
        <n v="15566.6"/>
        <n v="11721.12"/>
        <n v="22127.87"/>
        <n v="2533.36"/>
        <n v="17297.29"/>
        <n v="7534.59"/>
        <n v="20239.34"/>
        <n v="2048.7600000000002"/>
        <n v="6945.57"/>
        <n v="5589.75"/>
        <n v="13034.9"/>
        <n v="25902.71"/>
        <n v="7364.38"/>
        <n v="8563.9599999999991"/>
        <n v="4607.32"/>
        <n v="3362.77"/>
        <n v="18377.830000000002"/>
        <n v="9993.8700000000008"/>
        <n v="19756.36"/>
        <n v="23163.84"/>
        <n v="4213.1099999999997"/>
        <n v="25210.78"/>
        <n v="15789.77"/>
        <n v="3069.84"/>
        <n v="3938.87"/>
        <n v="14461.26"/>
        <n v="8477.92"/>
        <n v="14194.61"/>
        <n v="6771.59"/>
        <n v="8921.52"/>
        <n v="15260.85"/>
        <n v="750.41"/>
        <n v="2970.96"/>
        <n v="971.76"/>
        <n v="559.6"/>
        <n v="589.92999999999995"/>
        <n v="2621.0300000000002"/>
        <n v="10048.27"/>
        <n v="6165.81"/>
        <n v="7816.91"/>
        <n v="10263.85"/>
        <n v="9818.9500000000007"/>
        <n v="10029.85"/>
        <n v="8182.13"/>
        <n v="5135.97"/>
        <n v="9486.93"/>
        <n v="6289.52"/>
        <n v="2079.2600000000002"/>
        <n v="7343.51"/>
        <n v="8543.24"/>
        <n v="3246.09"/>
        <n v="11047.86"/>
        <n v="12868.99"/>
        <n v="16448.259999999998"/>
        <n v="12415.12"/>
        <n v="9797.17"/>
        <n v="4177.8100000000004"/>
        <n v="10892.84"/>
        <n v="21633.43"/>
        <n v="3714.86"/>
        <n v="15252.13"/>
        <n v="7258.29"/>
        <n v="2509.3200000000002"/>
        <n v="6723.92"/>
        <n v="11378.92"/>
        <n v="15907.58"/>
        <n v="1713.53"/>
        <n v="12642.96"/>
        <n v="6298.58"/>
        <n v="10127.66"/>
        <n v="18195.12"/>
        <n v="8898.0499999999993"/>
        <n v="11485.82"/>
        <n v="1456.94"/>
        <n v="496.05"/>
        <n v="15341.64"/>
        <n v="2037.43"/>
        <n v="11039.26"/>
        <n v="18513.12"/>
        <n v="3209.28"/>
        <n v="17620.599999999999"/>
        <n v="7023.08"/>
        <n v="7935.91"/>
        <n v="757.73"/>
        <n v="3138.74"/>
        <n v="3517.94"/>
        <n v="13632.51"/>
        <n v="9587.6200000000008"/>
        <n v="18599.96"/>
        <n v="5328.85"/>
        <n v="22443.91"/>
        <n v="4865.34"/>
        <n v="8996.6299999999992"/>
        <n v="4225.95"/>
        <n v="10307.719999999999"/>
        <n v="16317.2"/>
        <n v="21891.19"/>
        <n v="8135.46"/>
        <n v="13490.54"/>
        <n v="12479.16"/>
        <n v="3728.12"/>
        <n v="6738.65"/>
        <n v="7960.18"/>
        <n v="916.71"/>
        <n v="12094.08"/>
        <n v="16819.900000000001"/>
        <n v="8126.64"/>
        <n v="4230.09"/>
        <n v="10816.61"/>
        <n v="8262.1200000000008"/>
        <n v="9103.8799999999992"/>
        <n v="3526.37"/>
        <n v="5292.64"/>
        <n v="14227.12"/>
        <n v="6799.41"/>
        <n v="7974.7"/>
        <n v="2442"/>
        <n v="798.46"/>
        <n v="17823.32"/>
        <n v="5453.56"/>
        <n v="22632.19"/>
        <n v="3630.86"/>
        <n v="14959.17"/>
        <n v="1105.8399999999999"/>
        <n v="4094.65"/>
        <n v="5733.5"/>
        <n v="15233.5"/>
        <n v="15035.03"/>
        <n v="14922.56"/>
        <n v="5589.31"/>
        <n v="11773.97"/>
        <n v="293.83999999999997"/>
        <n v="9229.11"/>
        <n v="11343.87"/>
        <n v="5311.71"/>
        <n v="11865.18"/>
        <n v="11050.86"/>
        <n v="6038.58"/>
        <n v="8142.02"/>
        <n v="2031.12"/>
        <n v="4088.3"/>
        <n v="3632.07"/>
        <n v="20003.39"/>
        <n v="11668.17"/>
        <n v="1057.75"/>
        <n v="1329.9"/>
        <n v="1421.8"/>
        <n v="16230.87"/>
        <n v="17122.650000000001"/>
        <n v="25817.25"/>
        <n v="15694.45"/>
        <n v="4682.0600000000004"/>
        <n v="6414.48"/>
        <n v="15068.16"/>
        <n v="2576.3000000000002"/>
        <n v="8542.5400000000009"/>
        <n v="10184.14"/>
        <n v="12526.25"/>
        <n v="15719.47"/>
        <n v="917"/>
        <n v="5606.48"/>
        <n v="5284.32"/>
        <n v="3922.38"/>
        <n v="9976.8700000000008"/>
        <n v="14406.28"/>
      </sharedItems>
    </cacheField>
    <cacheField name="Annual_Rent_EUR" numFmtId="0">
      <sharedItems containsSemiMixedTypes="0" containsString="0" containsNumber="1" minValue="0" maxValue="310832.52"/>
    </cacheField>
    <cacheField name="Jahresrente_EUR" numFmtId="0">
      <sharedItems containsSemiMixedTypes="0" containsString="0" containsNumber="1" minValue="0" maxValue="310832.52"/>
    </cacheField>
    <cacheField name="Unterschied" numFmtId="0">
      <sharedItems/>
    </cacheField>
    <cacheField name="Lease_Start" numFmtId="0">
      <sharedItems containsNonDate="0" containsDate="1" containsString="0" containsBlank="1" minDate="2021-04-06T00:00:00" maxDate="2023-12-29T00:00:00"/>
    </cacheField>
    <cacheField name="Lease_End" numFmtId="0">
      <sharedItems containsNonDate="0" containsDate="1" containsString="0" containsBlank="1" minDate="2021-10-22T00:00:00" maxDate="2028-10-14T00:00:00"/>
    </cacheField>
    <cacheField name="Service_Charge_EUR" numFmtId="0">
      <sharedItems containsSemiMixedTypes="0" containsString="0" containsNumber="1" minValue="45.25" maxValue="4308.04"/>
    </cacheField>
    <cacheField name="Operating_Cost_EUR" numFmtId="0">
      <sharedItems containsSemiMixedTypes="0" containsString="0" containsNumber="1" minValue="27.92" maxValue="3643.21"/>
    </cacheField>
    <cacheField name="Check" numFmtId="0">
      <sharedItems/>
    </cacheField>
    <cacheField name="Check_Area" numFmtId="0">
      <sharedItems/>
    </cacheField>
    <cacheField name="Check_Rent" numFmtId="0">
      <sharedItems/>
    </cacheField>
    <cacheField name="Rent_per_sqm" numFmtId="0">
      <sharedItems containsMixedTypes="1" containsNumber="1" minValue="72.196392857142868" maxValue="215.11471921182266" count="432">
        <n v="140.2936567164179"/>
        <s v=""/>
        <n v="149.83291304347827"/>
        <n v="141.25420333839151"/>
        <n v="150.50484261501211"/>
        <n v="207.91139911634755"/>
        <n v="192.11849529780565"/>
        <n v="116.735"/>
        <n v="82.140867171369578"/>
        <n v="206.32344827586206"/>
        <n v="72.906289517470881"/>
        <n v="153.27013953488373"/>
        <n v="80.839883973894118"/>
        <n v="213.6772864321608"/>
        <n v="204.15305921052632"/>
        <n v="93.212896174863388"/>
        <n v="141.74848806366049"/>
        <n v="111.89796610169492"/>
        <n v="163.67365750528541"/>
        <n v="175.85172908366536"/>
        <n v="140.70396694214875"/>
        <n v="171.66731064763997"/>
        <n v="169.18764027671023"/>
        <n v="115.67036144578314"/>
        <n v="136.77613207547168"/>
        <n v="209.14721763085399"/>
        <n v="167.42215795328141"/>
        <n v="149.68346456692913"/>
        <n v="208.03625954198472"/>
        <n v="195.98617021276596"/>
        <n v="92.490204081632655"/>
        <n v="98.332602739726028"/>
        <n v="197.84438785504406"/>
        <n v="120.02399999999999"/>
        <n v="111.72173913043478"/>
        <n v="105.80357541899441"/>
        <n v="156.14674457429047"/>
        <n v="155.95154372623574"/>
        <n v="98.947826086956525"/>
        <n v="176.64604554865423"/>
        <n v="179.34666666666666"/>
        <n v="123.33814814814814"/>
        <n v="131.57370892018781"/>
        <n v="109.98282165039929"/>
        <n v="99.098193688792165"/>
        <n v="111.96387096774194"/>
        <n v="159.07343283582091"/>
        <n v="84.417496274217584"/>
        <n v="78.824835164835164"/>
        <n v="208.07402085747393"/>
        <n v="96.351465149359882"/>
        <n v="150.99425675675676"/>
        <n v="212.73652173913044"/>
        <n v="151.11091334894613"/>
        <n v="112.86605940594059"/>
        <n v="147.1898583569405"/>
        <n v="173.77177829099307"/>
        <n v="141.20492711370264"/>
        <n v="149.50959999999998"/>
        <n v="150.14770731707316"/>
        <n v="192.71782945736436"/>
        <n v="162.86614379084966"/>
        <n v="79.7536303871439"/>
        <n v="205.57486404833836"/>
        <n v="120.7053685168335"/>
        <n v="178.71843054082717"/>
        <n v="120.69125904486252"/>
        <n v="138.67725768321515"/>
        <n v="158.1528888888889"/>
        <n v="90.943636363636358"/>
        <n v="205.59972736124635"/>
        <n v="109.5106015037594"/>
        <n v="209.65474178403755"/>
        <n v="210.44"/>
        <n v="166.3319540229885"/>
        <n v="87.95230632235085"/>
        <n v="131.28008739985432"/>
        <n v="142.92155844155843"/>
        <n v="78.05853372434018"/>
        <n v="116.68225352112677"/>
        <n v="146.43872791519433"/>
        <n v="155.63455357142857"/>
        <n v="85.098620689655178"/>
        <n v="183.83540983606557"/>
        <n v="167.41769014084505"/>
        <n v="111.19988904299584"/>
        <n v="128.29583048530415"/>
        <n v="169.85405309734512"/>
        <n v="173.09348314606743"/>
        <n v="110.67092783505154"/>
        <n v="108.23658031088083"/>
        <n v="198.815593220339"/>
        <n v="133.87183617747439"/>
        <n v="88.893236009732362"/>
        <n v="178.64877419354838"/>
        <n v="114.72666666666667"/>
        <n v="202.80965517241378"/>
        <n v="125.37799533799534"/>
        <n v="99.473522415370539"/>
        <n v="125.52167202572348"/>
        <n v="149.86418918918918"/>
        <n v="87.771834319526633"/>
        <n v="211.72477987421385"/>
        <n v="145.53068571428571"/>
        <n v="90.995200000000011"/>
        <n v="95.240496350364964"/>
        <n v="175.38148619957536"/>
        <n v="169.71835913312694"/>
        <n v="101.67468113975578"/>
        <n v="140.12257959183674"/>
        <n v="139.2220319303338"/>
        <n v="206.44301886792454"/>
        <n v="194.60045146726861"/>
        <n v="136.95933333333335"/>
        <n v="133.38610878661086"/>
        <n v="73.843140495867772"/>
        <n v="98.555625000000006"/>
        <n v="83.683363363363355"/>
        <n v="187.58071428571429"/>
        <n v="123.81904761904762"/>
        <n v="120.78861386138614"/>
        <n v="185.82903930131005"/>
        <n v="150.22513931888545"/>
        <n v="91.768059701492547"/>
        <n v="115.79091190108191"/>
        <n v="140.48404536862003"/>
        <n v="195.17898167006112"/>
        <n v="154.65841432225065"/>
        <n v="184.43478260869566"/>
        <n v="182.50537267080747"/>
        <n v="203.96748091603055"/>
        <n v="205.89577897160399"/>
        <n v="169.27107505070995"/>
        <n v="120.68913385826771"/>
        <n v="121.14857142857143"/>
        <n v="160.56846153846155"/>
        <n v="80.752499999999998"/>
        <n v="212.17481012658229"/>
        <n v="91.853529411764697"/>
        <n v="212.24761904761905"/>
        <n v="73.402045454545458"/>
        <n v="100.39046153846154"/>
        <n v="130.07432225063937"/>
        <n v="174.72087976539589"/>
        <n v="153.61539033457248"/>
        <n v="113.51525213343677"/>
        <n v="161.86151785714287"/>
        <n v="176.48799431009957"/>
        <n v="143.84832"/>
        <n v="163.98433260393873"/>
        <n v="198.74363636363637"/>
        <n v="142.94237288135591"/>
        <n v="174.26720689655173"/>
        <n v="104.68516129032257"/>
        <n v="89.514146341463416"/>
        <n v="113.89509529860229"/>
        <n v="116.9435294117647"/>
        <n v="103.01340983606558"/>
        <n v="101.54869565217392"/>
        <n v="87.080560747663554"/>
        <n v="153.20236065573772"/>
        <n v="187.31765247410817"/>
        <n v="174.80242990654207"/>
        <n v="138.68"/>
        <n v="211.08041958041957"/>
        <n v="74.220469083155649"/>
        <n v="72.196392857142868"/>
        <n v="149.93261083743843"/>
        <n v="176.91736298649721"/>
        <n v="110.2526243567753"/>
        <n v="147.46782467532466"/>
        <n v="109.1243109540636"/>
        <n v="77.282399999999996"/>
        <n v="77.554064516129031"/>
        <n v="112.00937191249118"/>
        <n v="147.45948228882833"/>
        <n v="134.03275693311582"/>
        <n v="107.21410641200546"/>
        <n v="128.67769411764706"/>
        <n v="163.97034482758622"/>
        <n v="197.75496503496504"/>
        <n v="113.97488372093024"/>
        <n v="101.52296296296296"/>
        <n v="202.74340611353711"/>
        <n v="121.07649867374005"/>
        <n v="127.71811320754718"/>
        <n v="128.48651890482398"/>
        <n v="72.50023255813953"/>
        <n v="113.78820276497696"/>
        <n v="172.86573466476463"/>
        <n v="148.75109874826146"/>
        <n v="72.787216981132076"/>
        <n v="141.73534020618555"/>
        <n v="195.83076923076922"/>
        <n v="157.93773841961854"/>
        <n v="117.31762376237624"/>
        <n v="207.29932075471697"/>
        <n v="123.77104016477857"/>
        <n v="153.76335260115607"/>
        <n v="209.11690205011391"/>
        <n v="101.4369337979094"/>
        <n v="121.53412499999999"/>
        <n v="86.234802030456848"/>
        <n v="161.45402352941176"/>
        <n v="201.84089955022489"/>
        <n v="122.79079943899018"/>
        <n v="141.27883817427386"/>
        <n v="180.89916137229989"/>
        <n v="212.42472361809044"/>
        <n v="79.033494809688577"/>
        <n v="185.04784452296821"/>
        <n v="213.82574638844301"/>
        <n v="174.67287825475017"/>
        <n v="137.47883798882683"/>
        <n v="111.62270718232044"/>
        <n v="214.16412371134021"/>
        <n v="123.12065420560748"/>
        <n v="124.88952236542835"/>
        <n v="119.90690355329949"/>
        <n v="173.42045248868777"/>
        <n v="129.32053333333334"/>
        <n v="166.28903225806451"/>
        <n v="110.57559042113957"/>
        <n v="196.42428790199079"/>
        <n v="104.35661971830986"/>
        <n v="186.74316831683169"/>
        <n v="128.56086687306504"/>
        <n v="188.38388059701495"/>
        <n v="95.304077253218878"/>
        <n v="164.17812568908488"/>
        <n v="135.61554304102975"/>
        <n v="142.08472518457751"/>
        <n v="117.50826048171277"/>
        <n v="115.72867647058824"/>
        <n v="90.680866425992789"/>
        <n v="94.12576530612246"/>
        <n v="136.63159379407617"/>
        <n v="109.50166666666667"/>
        <n v="167.63227344992052"/>
        <n v="134.25917438921653"/>
        <n v="136.29009750812568"/>
        <n v="199.01457189014539"/>
        <n v="190.40151639344262"/>
        <n v="128.86301886792452"/>
        <n v="160.47909836065574"/>
        <n v="174.70666666666668"/>
        <n v="83.397175324675331"/>
        <n v="96.740693877551024"/>
        <n v="114.74791540785498"/>
        <n v="136.73950413223139"/>
        <n v="165.01197898423817"/>
        <n v="117.93900647948165"/>
        <n v="156.19102040816327"/>
        <n v="211.70576470588236"/>
        <n v="128.30979536152796"/>
        <n v="190.55499999999998"/>
        <n v="101.65488000000001"/>
        <n v="92.227928772258664"/>
        <n v="127.95369085173502"/>
        <n v="87.762729211087418"/>
        <n v="149.316"/>
        <n v="119.29826771653545"/>
        <n v="177.77331147540983"/>
        <n v="98.666158273381285"/>
        <n v="114.65845688350984"/>
        <n v="130.20892086330934"/>
        <n v="73.708965517241381"/>
        <n v="206.63628318584071"/>
        <n v="133.32079620853079"/>
        <n v="202.85289533995416"/>
        <n v="211.11333333333334"/>
        <n v="169.71993458708096"/>
        <n v="99.795894039735103"/>
        <n v="167.61358178053828"/>
        <n v="198.26709677419353"/>
        <n v="136.41054009819968"/>
        <n v="79.381065088757396"/>
        <n v="196.50603015075376"/>
        <n v="207.49834445927905"/>
        <n v="82.514061624649855"/>
        <n v="132.43237113402063"/>
        <n v="175.51695238095238"/>
        <n v="101.13593984962405"/>
        <n v="212.25597690086622"/>
        <n v="163.16522448979592"/>
        <n v="206.15332173913043"/>
        <n v="200.11956803455726"/>
        <n v="99.326758349705301"/>
        <n v="205.80228571428572"/>
        <n v="206.62730643402398"/>
        <n v="166.6881447963801"/>
        <n v="120.27083969465649"/>
        <n v="164.48826540284361"/>
        <n v="78.438735543562061"/>
        <n v="189.05140954495008"/>
        <n v="87.658122977346281"/>
        <n v="187.16475524475524"/>
        <n v="131.93818443804037"/>
        <n v="111.17185185185186"/>
        <n v="127.7832258064516"/>
        <n v="85.117664233576647"/>
        <n v="104.925"/>
        <n v="77.792967032967027"/>
        <n v="170.01275675675677"/>
        <n v="98.59300081766149"/>
        <n v="200.51414634146343"/>
        <n v="86.454304147465436"/>
        <n v="93.237093111279336"/>
        <n v="125.21509032943676"/>
        <n v="110.72511499540018"/>
        <n v="158.3638064516129"/>
        <n v="133.11369330453564"/>
        <n v="78.620966850828736"/>
        <n v="80.894147909967856"/>
        <n v="164.15210526315789"/>
        <n v="84.651412103746395"/>
        <n v="100.11609375"/>
        <n v="122.10996865203762"/>
        <n v="115.988031496063"/>
        <n v="123.542304"/>
        <n v="160.86317848410758"/>
        <n v="179.06423076923076"/>
        <n v="96.444659557013935"/>
        <n v="108.74993492407809"/>
        <n v="212.19818181818181"/>
        <n v="205.86927835051546"/>
        <n v="122.80528925619835"/>
        <n v="163.85457475380483"/>
        <n v="88.967803881511742"/>
        <n v="109.49760000000001"/>
        <n v="124.51703703703703"/>
        <n v="137.78712411705348"/>
        <n v="184.25768339768339"/>
        <n v="93.042352941176475"/>
        <n v="125.28118909991741"/>
        <n v="149.07881656804736"/>
        <n v="200.87920661157025"/>
        <n v="215.11471921182266"/>
        <n v="156.33469985358713"/>
        <n v="189.58712517193948"/>
        <n v="140.99419354838707"/>
        <n v="91.578461538461539"/>
        <n v="201.20183606557376"/>
        <n v="87.318428571428569"/>
        <n v="93.685374823196597"/>
        <n v="170.36613496932515"/>
        <n v="117.05580547112463"/>
        <n v="146.43157894736842"/>
        <n v="208.60633663366337"/>
        <n v="128.17082099596232"/>
        <n v="159.5221052631579"/>
        <n v="76.86710204081632"/>
        <n v="130.29407407407408"/>
        <n v="156.84575263662512"/>
        <n v="102.90826475849732"/>
        <n v="199.82051924798566"/>
        <n v="134.90759493670885"/>
        <n v="185.9992541436464"/>
        <n v="144.15822222222224"/>
        <n v="155.56132564841499"/>
        <n v="94.434636871508388"/>
        <n v="157.3697709923664"/>
        <n v="194.83223880597015"/>
        <n v="183.95957983193279"/>
        <n v="169.78351304347828"/>
        <n v="212.7286202365309"/>
        <n v="131.12952714535902"/>
        <n v="89.65418837675351"/>
        <n v="84.145473465140483"/>
        <n v="79.205771144278614"/>
        <n v="129.41788235294118"/>
        <n v="186.06276923076922"/>
        <n v="146.89868995633188"/>
        <n v="135.2561442441054"/>
        <n v="99.336751467710371"/>
        <n v="198.1669007633588"/>
        <n v="120.46833535844472"/>
        <n v="96.083166226912923"/>
        <n v="184.78794759825328"/>
        <n v="124.53270588235294"/>
        <n v="214.21008782936011"/>
        <n v="84.992625000000004"/>
        <n v="132.72732316227462"/>
        <n v="115.82608695652173"/>
        <n v="127.75360000000001"/>
        <n v="206.24864030858245"/>
        <n v="89.893846153846155"/>
        <n v="184.12629152542374"/>
        <n v="122.73329577464789"/>
        <n v="170.4748717948718"/>
        <n v="96.861897810218977"/>
        <n v="200.55428571428573"/>
        <n v="104.08774583963691"/>
        <n v="122.8508064516129"/>
        <n v="171.33937321937321"/>
        <n v="126.46237288135593"/>
        <n v="145.80808695652175"/>
        <n v="119.83684478371502"/>
        <n v="76.653913043478255"/>
        <n v="157.0912340425532"/>
        <n v="109.86799031476998"/>
        <n v="193.15309090909091"/>
        <n v="152.93465091299677"/>
        <n v="146.53074033149173"/>
        <n v="93.742509702457966"/>
        <n v="102.95494204425712"/>
        <n v="141.7060465116279"/>
        <n v="165.18383838383838"/>
        <n v="87.695855130784707"/>
        <n v="178.60169642857142"/>
        <n v="130.98039289055191"/>
        <n v="176.29166666666666"/>
        <n v="96.72"/>
        <n v="147.08275862068965"/>
        <n v="163.67263865546218"/>
        <n v="148.89260869565217"/>
        <n v="212.77953296703296"/>
        <n v="149.47095238095238"/>
        <n v="75.925297297297305"/>
        <n v="89.922616822429902"/>
        <n v="183.75804878048783"/>
        <n v="127.22469135802469"/>
        <n v="74.989378200438921"/>
        <n v="102.01141903171953"/>
        <n v="102.60409556313994"/>
        <n v="185.66303149606301"/>
        <n v="115.83157894736843"/>
        <n v="150.50953020134227"/>
        <n v="131.01619834710743"/>
        <n v="92.110684931506839"/>
        <n v="171.27673819742489"/>
        <n v="124.10291457286431"/>
      </sharedItems>
    </cacheField>
    <cacheField name="Total_Cost_EURO" numFmtId="0">
      <sharedItems containsSemiMixedTypes="0" containsString="0" containsNumber="1" minValue="73.17" maxValue="7878.4699999999993"/>
    </cacheField>
    <cacheField name="NOI_pro_UNIT" numFmtId="0">
      <sharedItems containsMixedTypes="1" containsNumber="1" minValue="3479.95" maxValue="309447.54000000004" count="432">
        <n v="148071.71"/>
        <s v=""/>
        <n v="136839.35999999999"/>
        <n v="92316.86"/>
        <n v="123550.39"/>
        <n v="281165.92"/>
        <n v="60556.130000000005"/>
        <n v="85382.709999999992"/>
        <n v="117817.98999999999"/>
        <n v="35589.299999999996"/>
        <n v="86378.7"/>
        <n v="32499.56"/>
        <n v="109038.69"/>
        <n v="254322.44999999998"/>
        <n v="246189.72"/>
        <n v="50501.329999999994"/>
        <n v="105735.95"/>
        <n v="129102.57"/>
        <n v="152661.29999999999"/>
        <n v="217618.12000000002"/>
        <n v="67268.160000000003"/>
        <n v="155795.89000000001"/>
        <n v="217941.68"/>
        <n v="142873.67000000001"/>
        <n v="173034.62"/>
        <n v="226770.68"/>
        <n v="149401.34"/>
        <n v="169412.92"/>
        <n v="108524.4"/>
        <n v="73161.570000000007"/>
        <n v="26477.43"/>
        <n v="42746.79"/>
        <n v="201072.69"/>
        <n v="8880.1899999999987"/>
        <n v="83320.14"/>
        <n v="112272.06999999999"/>
        <n v="186448.46"/>
        <n v="203441.43"/>
        <n v="110385.05"/>
        <n v="254021.58"/>
        <n v="8007.4100000000008"/>
        <n v="39187.56"/>
        <n v="165554.91"/>
        <n v="122823.52"/>
        <n v="90538.21"/>
        <n v="13578.95"/>
        <n v="84418.63"/>
        <n v="112031.42"/>
        <n v="14153.02"/>
        <n v="178347.4"/>
        <n v="66160.990000000005"/>
        <n v="175877.18000000002"/>
        <n v="165832.76999999999"/>
        <n v="64294.67"/>
        <n v="56152.6"/>
        <n v="102818.06"/>
        <n v="148544.78"/>
        <n v="192899.48"/>
        <n v="178212.19"/>
        <n v="90931.55"/>
        <n v="147236.18"/>
        <n v="73726.05"/>
        <n v="108393.46"/>
        <n v="202315.31"/>
        <n v="131865.40000000002"/>
        <n v="167805.25"/>
        <n v="165049.12"/>
        <n v="174079.8"/>
        <n v="126874.8"/>
        <n v="23481.41"/>
        <n v="209568.04"/>
        <n v="56937.409999999996"/>
        <n v="266066.13"/>
        <n v="260887.23"/>
        <n v="43034.3"/>
        <n v="96908.99"/>
        <n v="177530.23999999999"/>
        <n v="32611.379999999997"/>
        <n v="78981.200000000012"/>
        <n v="57238.93"/>
        <n v="122301.95"/>
        <n v="207587.51"/>
        <n v="9797.91"/>
        <n v="33373.53"/>
        <n v="177143"/>
        <n v="79330.62"/>
        <n v="185680.65999999997"/>
        <n v="191300.87999999998"/>
        <n v="137491.5"/>
        <n v="10655.07"/>
        <n v="41043.089999999997"/>
        <n v="11620.810000000001"/>
        <n v="194439.81"/>
        <n v="106770.85"/>
        <n v="82080.039999999994"/>
        <n v="71903.210000000006"/>
        <n v="17543.629999999997"/>
        <n v="160086.78"/>
        <n v="107575.52"/>
        <n v="115105.53"/>
        <n v="131610.57999999999"/>
        <n v="14528.37"/>
        <n v="100407.24"/>
        <n v="201929.78999999998"/>
        <n v="13361.11"/>
        <n v="129381.31"/>
        <n v="244993.44"/>
        <n v="216634.9"/>
        <n v="147333.14000000001"/>
        <n v="170731.84"/>
        <n v="191036.55"/>
        <n v="54380.17"/>
        <n v="257093.34"/>
        <n v="97518.16"/>
        <n v="94429.9"/>
        <n v="35268.33"/>
        <n v="99763.36"/>
        <n v="83004.079999999987"/>
        <n v="124541.54000000001"/>
        <n v="15519.95"/>
        <n v="48018.78"/>
        <n v="169725.44"/>
        <n v="192609.73"/>
        <n v="73110.62000000001"/>
        <n v="149164.04999999999"/>
        <n v="147751.94999999998"/>
        <n v="284540.94"/>
        <n v="179731.82"/>
        <n v="66961.69"/>
        <n v="232185.33000000002"/>
        <n v="53275.140000000007"/>
        <n v="265665.67"/>
        <n v="249139.36000000002"/>
        <n v="91178.909999999989"/>
        <n v="11807.38"/>
        <n v="24745.64"/>
        <n v="41626.089999999997"/>
        <n v="132577.06"/>
        <n v="36540.6"/>
        <n v="92534.43"/>
        <n v="38007.17"/>
        <n v="38509.61"/>
        <n v="100837.56"/>
        <n v="118010.03"/>
        <n v="81382.540000000008"/>
        <n v="144291.36000000002"/>
        <n v="216868.79"/>
        <n v="246654.66999999998"/>
        <n v="53198.75"/>
        <n v="221525.63999999998"/>
        <n v="117563.66"/>
        <n v="75211.25"/>
        <n v="200438.63"/>
        <n v="19178.919999999998"/>
        <n v="25019.61"/>
        <n v="88803.22"/>
        <n v="131533.78999999998"/>
        <n v="124121.21"/>
        <n v="41481.030000000006"/>
        <n v="54628.99"/>
        <n v="139250.62"/>
        <n v="161690.11000000002"/>
        <n v="148025.96"/>
        <n v="47361.88"/>
        <n v="179622.16"/>
        <n v="100969.4"/>
        <n v="79595.070000000007"/>
        <n v="60142.71"/>
        <n v="220741.03"/>
        <n v="62833.83"/>
        <n v="180939.56"/>
        <n v="61218.04"/>
        <n v="18876.12"/>
        <n v="11728"/>
        <n v="155776.79999999999"/>
        <n v="213318.78999999998"/>
        <n v="161834.38"/>
        <n v="155970.58000000002"/>
        <n v="108243.93999999999"/>
        <n v="28407.31"/>
        <n v="27985.54"/>
        <n v="4861.92"/>
        <n v="16042.1"/>
        <n v="46074.869999999995"/>
        <n v="45397.42"/>
        <n v="121165.52"/>
        <n v="97410.540000000008"/>
        <n v="60775.53"/>
        <n v="72874.62"/>
        <n v="120083.63"/>
        <n v="212854.39999999999"/>
        <n v="60184.93"/>
        <n v="67558.89"/>
        <n v="25267.9"/>
        <n v="230414.47"/>
        <n v="105956.62"/>
        <n v="218563.74"/>
        <n v="119065.15999999999"/>
        <n v="104780.58"/>
        <n v="274475.82"/>
        <n v="85538.45"/>
        <n v="38326.25"/>
        <n v="82621.759999999995"/>
        <n v="204806.31"/>
        <n v="133590.20000000001"/>
        <n v="172337.97"/>
        <n v="167824.24"/>
        <n v="141878.80000000002"/>
        <n v="42149.85"/>
        <n v="44995.12"/>
        <n v="104359.72"/>
        <n v="132183.51"/>
        <n v="247200.99"/>
        <n v="122593.28"/>
        <n v="158388.78999999998"/>
        <n v="61678.8"/>
        <n v="155732.25"/>
        <n v="161458.35"/>
        <n v="140908.53"/>
        <n v="114204.62999999999"/>
        <n v="143315.73000000001"/>
        <n v="142981.4"/>
        <n v="132594.52000000002"/>
        <n v="254822.9"/>
        <n v="109739.91"/>
        <n v="112031.32"/>
        <n v="163278.06000000003"/>
        <n v="138043.34000000003"/>
        <n v="88065.95"/>
        <n v="147390.78"/>
        <n v="167298.15"/>
        <n v="172059.88999999998"/>
        <n v="129671.52"/>
        <n v="93748.260000000009"/>
        <n v="74478.62000000001"/>
        <n v="72426.680000000008"/>
        <n v="95712.31"/>
        <n v="31135.66"/>
        <n v="207917.88999999998"/>
        <n v="156631.75"/>
        <n v="125239.73"/>
        <n v="243531.12"/>
        <n v="184378.88"/>
        <n v="13591.97"/>
        <n v="77825.91"/>
        <n v="14077.86"/>
        <n v="101909.17000000001"/>
        <n v="94180.66"/>
        <n v="37701.82"/>
        <n v="164592.22999999998"/>
        <n v="93916.9"/>
        <n v="106973.39"/>
        <n v="7585.11"/>
        <n v="214065.52000000002"/>
        <n v="92357.89"/>
        <n v="13599.74"/>
        <n v="50512.950000000004"/>
        <n v="97128.44"/>
        <n v="40185.42"/>
        <n v="121773.87000000001"/>
        <n v="34038.51"/>
        <n v="134581.81000000003"/>
        <n v="108096.7"/>
        <n v="134057.82999999999"/>
        <n v="149904.06"/>
        <n v="53635.05"/>
        <n v="69212.81"/>
        <n v="185906.11000000002"/>
        <n v="138070.75"/>
        <n v="262671.77"/>
        <n v="30238.61"/>
        <n v="206376.34"/>
        <n v="89158.36"/>
        <n v="242023.56999999998"/>
        <n v="24466.19"/>
        <n v="81907.45"/>
        <n v="66312.56"/>
        <n v="155906.22"/>
        <n v="309447.54000000004"/>
        <n v="85866.67"/>
        <n v="101006.56"/>
        <n v="54964.81"/>
        <n v="39793.21"/>
        <n v="219148.03"/>
        <n v="118756.84"/>
        <n v="235932.41"/>
        <n v="276318.7"/>
        <n v="50067.79"/>
        <n v="299002.34999999998"/>
        <n v="187846.47999999998"/>
        <n v="36475.950000000004"/>
        <n v="46524.55"/>
        <n v="171186.87"/>
        <n v="99084.76999999999"/>
        <n v="169142.19"/>
        <n v="79344.02"/>
        <n v="106502.61"/>
        <n v="180270.28"/>
        <n v="8938.23"/>
        <n v="35160.559999999998"/>
        <n v="11555.84"/>
        <n v="6665.65"/>
        <n v="6909.43"/>
        <n v="31122.31"/>
        <n v="119002.71"/>
        <n v="73237.81"/>
        <n v="92213.38"/>
        <n v="120761.97"/>
        <n v="117116.48999999999"/>
        <n v="118375.75"/>
        <n v="96935.89"/>
        <n v="60519.02"/>
        <n v="110958.27"/>
        <n v="73861.69"/>
        <n v="24812.329999999998"/>
        <n v="86629.7"/>
        <n v="101200.90000000001"/>
        <n v="38778.79"/>
        <n v="131726.6"/>
        <n v="152844.15"/>
        <n v="194431.05"/>
        <n v="147719.03"/>
        <n v="116731.71999999999"/>
        <n v="49629.919999999998"/>
        <n v="130167.64"/>
        <n v="258503.03"/>
        <n v="44035.92"/>
        <n v="180719.54"/>
        <n v="85452.58"/>
        <n v="29959.14"/>
        <n v="79974.09"/>
        <n v="135817.88"/>
        <n v="188991.18"/>
        <n v="20136.21"/>
        <n v="149961.49"/>
        <n v="74720.19"/>
        <n v="120112.5"/>
        <n v="216012.77"/>
        <n v="105296.28"/>
        <n v="137397.15"/>
        <n v="17270.36"/>
        <n v="5834.0700000000006"/>
        <n v="182562.96"/>
        <n v="24155.52"/>
        <n v="129923.2"/>
        <n v="220142.85"/>
        <n v="38084.400000000001"/>
        <n v="210495.51"/>
        <n v="83443.97"/>
        <n v="94443.3"/>
        <n v="8975.14"/>
        <n v="37256.519999999997"/>
        <n v="42009.82"/>
        <n v="162413.94999999998"/>
        <n v="113825.42"/>
        <n v="222525.65"/>
        <n v="62962.78"/>
        <n v="268147.06"/>
        <n v="57722"/>
        <n v="106506.29"/>
        <n v="49459.72"/>
        <n v="122961.91"/>
        <n v="195036.50999999998"/>
        <n v="261850.47000000003"/>
        <n v="97100.150000000009"/>
        <n v="160221.76000000001"/>
        <n v="147130.90000000002"/>
        <n v="44100.450000000004"/>
        <n v="78864.28"/>
        <n v="94059.3"/>
        <n v="10810.62"/>
        <n v="144653.85"/>
        <n v="200611.00999999998"/>
        <n v="96442.37"/>
        <n v="50094.28"/>
        <n v="128457.27"/>
        <n v="98279.430000000008"/>
        <n v="106565.66"/>
        <n v="42105.73"/>
        <n v="63006.27"/>
        <n v="169522.65"/>
        <n v="79596.67"/>
        <n v="95165.159999999989"/>
        <n v="29141.47"/>
        <n v="9485.8100000000013"/>
        <n v="212771.55"/>
        <n v="63650.18"/>
        <n v="269280.35000000003"/>
        <n v="43260.74"/>
        <n v="177908.2"/>
        <n v="13034.84"/>
        <n v="48821.33"/>
        <n v="67177.36"/>
        <n v="179158.79"/>
        <n v="179879.47999999998"/>
        <n v="177652.2"/>
        <n v="66445.240000000005"/>
        <n v="140499.08000000002"/>
        <n v="3479.95"/>
        <n v="110244.13"/>
        <n v="133562.31"/>
        <n v="63327.299999999996"/>
        <n v="140498.96"/>
        <n v="130778.04000000001"/>
        <n v="70818.950000000012"/>
        <n v="95732.310000000012"/>
        <n v="24227.39"/>
        <n v="48910.13"/>
        <n v="42573.27"/>
        <n v="238327.05"/>
        <n v="138719.93000000002"/>
        <n v="12584.42"/>
        <n v="15610.49"/>
        <n v="16966.21"/>
        <n v="192346.67"/>
        <n v="204758.33"/>
        <n v="307912.03999999998"/>
        <n v="186796.00999999998"/>
        <n v="55184.340000000004"/>
        <n v="76263.39"/>
        <n v="179240.80000000002"/>
        <n v="30588.68"/>
        <n v="99715.37"/>
        <n v="119797.48"/>
        <n v="146925.09"/>
        <n v="186142.61000000002"/>
        <n v="10775.86"/>
        <n v="66231.83"/>
        <n v="62657.57"/>
        <n v="46803.259999999995"/>
        <n v="118526.73"/>
        <n v="171293.31"/>
      </sharedItems>
    </cacheField>
    <cacheField name="Month_to_Expiry" numFmtId="0">
      <sharedItems containsSemiMixedTypes="0" containsString="0" containsNumber="1" containsInteger="1" minValue="0" maxValue="31"/>
    </cacheField>
    <cacheField name="Expiry Bucket" numFmtId="0">
      <sharedItems/>
    </cacheField>
    <cacheField name="Vacant_Area" numFmtId="0">
      <sharedItems containsSemiMixedTypes="0" containsString="0" containsNumber="1" containsInteger="1" minValue="0" maxValue="1493" count="69">
        <n v="0"/>
        <n v="356"/>
        <n v="482"/>
        <n v="417"/>
        <n v="876"/>
        <n v="1147"/>
        <n v="361"/>
        <n v="1052"/>
        <n v="1214"/>
        <n v="222"/>
        <n v="229"/>
        <n v="1307"/>
        <n v="927"/>
        <n v="1119"/>
        <n v="851"/>
        <n v="1493"/>
        <n v="622"/>
        <n v="1395"/>
        <n v="345"/>
        <n v="527"/>
        <n v="621"/>
        <n v="794"/>
        <n v="1024"/>
        <n v="161"/>
        <n v="376"/>
        <n v="752"/>
        <n v="384"/>
        <n v="715"/>
        <n v="652"/>
        <n v="471"/>
        <n v="1275"/>
        <n v="870"/>
        <n v="113"/>
        <n v="1481"/>
        <n v="1460"/>
        <n v="416"/>
        <n v="707"/>
        <n v="1435"/>
        <n v="97"/>
        <n v="1238"/>
        <n v="1078"/>
        <n v="1471"/>
        <n v="712"/>
        <n v="545"/>
        <n v="978"/>
        <n v="349"/>
        <n v="1423"/>
        <n v="1139"/>
        <n v="1348"/>
        <n v="702"/>
        <n v="36"/>
        <n v="725"/>
        <n v="246"/>
        <n v="976"/>
        <n v="1308"/>
        <n v="1069"/>
        <n v="309"/>
        <n v="823"/>
        <n v="601"/>
        <n v="1047"/>
        <n v="1324"/>
        <n v="138"/>
        <n v="258"/>
        <n v="425"/>
        <n v="1347"/>
        <n v="1255"/>
        <n v="1132"/>
        <n v="771"/>
        <n v="280"/>
      </sharedItems>
    </cacheField>
    <cacheField name="Oc_Area" numFmtId="0">
      <sharedItems containsSemiMixedTypes="0" containsString="0" containsNumber="1" containsInteger="1" minValue="0" maxValue="1498"/>
    </cacheField>
  </cacheFields>
  <extLst>
    <ext xmlns:x14="http://schemas.microsoft.com/office/spreadsheetml/2009/9/main" uri="{725AE2AE-9491-48be-B2B4-4EB974FC3084}">
      <x14:pivotCacheDefinition pivotCacheId="1368171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a Archipenko" refreshedDate="46073.84050972222" createdVersion="8" refreshedVersion="8" minRefreshableVersion="3" recordCount="500" xr:uid="{C73660CB-0D15-455A-93C4-03D6BAC82FDF}">
  <cacheSource type="worksheet">
    <worksheetSource name="tblRentRoll"/>
  </cacheSource>
  <cacheFields count="24">
    <cacheField name="Property" numFmtId="0">
      <sharedItems count="8">
        <s v="Berlin_Mahlsdorf"/>
        <s v="Berlin_Borsigwerke"/>
        <s v="Leipzig_Park"/>
        <s v="Dresden_Park"/>
        <s v="Berlin_Gartenfeld"/>
        <s v="Berlin_Tempelhof"/>
        <s v="Hamburg_Park"/>
        <s v="Munich_Park"/>
      </sharedItems>
    </cacheField>
    <cacheField name="Unit_ID" numFmtId="0">
      <sharedItems/>
    </cacheField>
    <cacheField name="Unit_Type" numFmtId="0">
      <sharedItems/>
    </cacheField>
    <cacheField name="Area_sqm" numFmtId="0">
      <sharedItems containsSemiMixedTypes="0" containsString="0" containsNumber="1" containsInteger="1" minValue="36" maxValue="1498"/>
    </cacheField>
    <cacheField name="Status" numFmtId="0">
      <sharedItems/>
    </cacheField>
    <cacheField name="Tenant_Name" numFmtId="0">
      <sharedItems containsBlank="1"/>
    </cacheField>
    <cacheField name="Monthly_Rent_EUR" numFmtId="0">
      <sharedItems containsSemiMixedTypes="0" containsString="0" containsNumber="1" minValue="0" maxValue="25902.71"/>
    </cacheField>
    <cacheField name="Annual_Rent_EUR" numFmtId="0">
      <sharedItems containsSemiMixedTypes="0" containsString="0" containsNumber="1" minValue="0" maxValue="310832.52"/>
    </cacheField>
    <cacheField name="Jahresrente_EUR" numFmtId="0">
      <sharedItems containsSemiMixedTypes="0" containsString="0" containsNumber="1" minValue="0" maxValue="310832.52"/>
    </cacheField>
    <cacheField name="Unterschied" numFmtId="0">
      <sharedItems/>
    </cacheField>
    <cacheField name="Lease_Start" numFmtId="0">
      <sharedItems containsNonDate="0" containsDate="1" containsString="0" containsBlank="1" minDate="2021-04-06T00:00:00" maxDate="2023-12-29T00:00:00"/>
    </cacheField>
    <cacheField name="Lease_End" numFmtId="0">
      <sharedItems containsNonDate="0" containsDate="1" containsString="0" containsBlank="1" minDate="2021-10-22T00:00:00" maxDate="2028-10-14T00:00:00"/>
    </cacheField>
    <cacheField name="Service_Charge_EUR" numFmtId="0">
      <sharedItems containsSemiMixedTypes="0" containsString="0" containsNumber="1" minValue="45.25" maxValue="4308.04"/>
    </cacheField>
    <cacheField name="Operating_Cost_EUR" numFmtId="0">
      <sharedItems containsSemiMixedTypes="0" containsString="0" containsNumber="1" minValue="27.92" maxValue="3643.21"/>
    </cacheField>
    <cacheField name="Check" numFmtId="0">
      <sharedItems/>
    </cacheField>
    <cacheField name="Check_Area" numFmtId="0">
      <sharedItems/>
    </cacheField>
    <cacheField name="Check_Rent" numFmtId="0">
      <sharedItems/>
    </cacheField>
    <cacheField name="Rent_per_sqm" numFmtId="0">
      <sharedItems containsMixedTypes="1" containsNumber="1" minValue="72.196392857142868" maxValue="215.11471921182266"/>
    </cacheField>
    <cacheField name="Total_Cost_EURO" numFmtId="0">
      <sharedItems containsSemiMixedTypes="0" containsString="0" containsNumber="1" minValue="73.17" maxValue="7878.4699999999993"/>
    </cacheField>
    <cacheField name="NOI_pro_UNIT" numFmtId="0">
      <sharedItems containsMixedTypes="1" containsNumber="1" minValue="3479.95" maxValue="309447.54000000004"/>
    </cacheField>
    <cacheField name="Month_to_Expiry" numFmtId="0">
      <sharedItems containsSemiMixedTypes="0" containsString="0" containsNumber="1" containsInteger="1" minValue="0" maxValue="31"/>
    </cacheField>
    <cacheField name="Expiry Bucket" numFmtId="0">
      <sharedItems/>
    </cacheField>
    <cacheField name="Vacant_Area" numFmtId="0">
      <sharedItems containsSemiMixedTypes="0" containsString="0" containsNumber="1" containsInteger="1" minValue="0" maxValue="1493"/>
    </cacheField>
    <cacheField name="Oc_Area" numFmtId="0">
      <sharedItems containsSemiMixedTypes="0" containsString="0" containsNumber="1" containsInteger="1" minValue="0" maxValue="14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a Archipenko" refreshedDate="46073.882686574078" createdVersion="8" refreshedVersion="8" minRefreshableVersion="3" recordCount="502" xr:uid="{1C3BB0FC-F4F4-45B5-93AE-43538F4FAA65}">
  <cacheSource type="worksheet">
    <worksheetSource ref="A1:X1048576" sheet="Rent_Roll_Data"/>
  </cacheSource>
  <cacheFields count="24">
    <cacheField name="Property" numFmtId="0">
      <sharedItems containsBlank="1" count="9">
        <s v="Berlin_Mahlsdorf"/>
        <s v="Berlin_Borsigwerke"/>
        <s v="Leipzig_Park"/>
        <s v="Dresden_Park"/>
        <s v="Berlin_Gartenfeld"/>
        <s v="Berlin_Tempelhof"/>
        <s v="Hamburg_Park"/>
        <s v="Munich_Park"/>
        <m/>
      </sharedItems>
    </cacheField>
    <cacheField name="Unit_ID" numFmtId="0">
      <sharedItems containsBlank="1"/>
    </cacheField>
    <cacheField name="Unit_Type" numFmtId="0">
      <sharedItems containsBlank="1" count="5">
        <s v="Production"/>
        <s v="Office"/>
        <s v="Storage"/>
        <s v="Warehouse"/>
        <m/>
      </sharedItems>
    </cacheField>
    <cacheField name="Area_sqm" numFmtId="0">
      <sharedItems containsString="0" containsBlank="1" containsNumber="1" containsInteger="1" minValue="36" maxValue="405875"/>
    </cacheField>
    <cacheField name="Status" numFmtId="0">
      <sharedItems containsBlank="1" count="3">
        <s v="Occupied"/>
        <s v="Vacant"/>
        <m/>
      </sharedItems>
    </cacheField>
    <cacheField name="Tenant_Name" numFmtId="0">
      <sharedItems containsBlank="1" count="174">
        <s v="Tenant_7"/>
        <m/>
        <s v="Tenant_127"/>
        <s v="Tenant_29"/>
        <s v="Tenant_34"/>
        <s v="Tenant_26"/>
        <s v="Tenant_12"/>
        <s v="Tenant_63"/>
        <s v="Tenant_78"/>
        <s v="Tenant_145"/>
        <s v="Tenant_146"/>
        <s v="Tenant_13"/>
        <s v="Tenant_95"/>
        <s v="Tenant_136"/>
        <s v="Tenant_166"/>
        <s v="Tenant_140"/>
        <s v="Tenant_143"/>
        <s v="Tenant_33"/>
        <s v="Tenant_48"/>
        <s v="Tenant_55"/>
        <s v="Tenant_152"/>
        <s v="Tenant_144"/>
        <s v="Tenant_37"/>
        <s v="Tenant_189"/>
        <s v="Tenant_14"/>
        <s v="Tenant_138"/>
        <s v="Tenant_159"/>
        <s v="Tenant_73"/>
        <s v="Tenant_148"/>
        <s v="Tenant_188"/>
        <s v="Tenant_45"/>
        <s v="Tenant_176"/>
        <s v="Tenant_20"/>
        <s v="Tenant_4"/>
        <s v="Tenant_100"/>
        <s v="Tenant_69"/>
        <s v="Tenant_103"/>
        <s v="Tenant_94"/>
        <s v="Tenant_118"/>
        <s v="Tenant_164"/>
        <s v="Tenant_132"/>
        <s v="Tenant_91"/>
        <s v="Tenant_51"/>
        <s v="Tenant_114"/>
        <s v="Tenant_121"/>
        <s v="Tenant_177"/>
        <s v="Tenant_43"/>
        <s v="Tenant_25"/>
        <s v="Tenant_87"/>
        <s v="Tenant_180"/>
        <s v="Tenant_197"/>
        <s v="Tenant_15"/>
        <s v="Tenant_162"/>
        <s v="Tenant_169"/>
        <s v="Tenant_137"/>
        <s v="Tenant_199"/>
        <s v="Tenant_75"/>
        <s v="Tenant_154"/>
        <s v="Tenant_200"/>
        <s v="Tenant_99"/>
        <s v="Tenant_1"/>
        <s v="Tenant_135"/>
        <s v="Tenant_31"/>
        <s v="Tenant_35"/>
        <s v="Tenant_139"/>
        <s v="Tenant_112"/>
        <s v="Tenant_117"/>
        <s v="Tenant_9"/>
        <s v="Tenant_102"/>
        <s v="Tenant_5"/>
        <s v="Tenant_30"/>
        <s v="Tenant_171"/>
        <s v="Tenant_198"/>
        <s v="Tenant_79"/>
        <s v="Tenant_186"/>
        <s v="Tenant_47"/>
        <s v="Tenant_21"/>
        <s v="Tenant_190"/>
        <s v="Tenant_44"/>
        <s v="Tenant_68"/>
        <s v="Tenant_19"/>
        <s v="Tenant_174"/>
        <s v="Tenant_122"/>
        <s v="Tenant_161"/>
        <s v="Tenant_89"/>
        <s v="Tenant_50"/>
        <s v="Tenant_119"/>
        <s v="Tenant_168"/>
        <s v="Tenant_183"/>
        <s v="Tenant_17"/>
        <s v="Tenant_92"/>
        <s v="Tenant_71"/>
        <s v="Tenant_67"/>
        <s v="Tenant_32"/>
        <s v="Tenant_98"/>
        <s v="Tenant_193"/>
        <s v="Tenant_22"/>
        <s v="Tenant_97"/>
        <s v="Tenant_90"/>
        <s v="Tenant_167"/>
        <s v="Tenant_88"/>
        <s v="Tenant_96"/>
        <s v="Tenant_46"/>
        <s v="Tenant_42"/>
        <s v="Tenant_108"/>
        <s v="Tenant_133"/>
        <s v="Tenant_86"/>
        <s v="Tenant_38"/>
        <s v="Tenant_6"/>
        <s v="Tenant_165"/>
        <s v="Tenant_28"/>
        <s v="Tenant_175"/>
        <s v="Tenant_147"/>
        <s v="Tenant_126"/>
        <s v="Tenant_157"/>
        <s v="Tenant_8"/>
        <s v="Tenant_111"/>
        <s v="Tenant_54"/>
        <s v="Tenant_115"/>
        <s v="Tenant_70"/>
        <s v="Tenant_83"/>
        <s v="Tenant_27"/>
        <s v="Tenant_24"/>
        <s v="Tenant_123"/>
        <s v="Tenant_52"/>
        <s v="Tenant_181"/>
        <s v="Tenant_80"/>
        <s v="Tenant_156"/>
        <s v="Tenant_18"/>
        <s v="Tenant_84"/>
        <s v="Tenant_101"/>
        <s v="Tenant_77"/>
        <s v="Tenant_153"/>
        <s v="Tenant_41"/>
        <s v="Tenant_93"/>
        <s v="Tenant_85"/>
        <s v="Tenant_192"/>
        <s v="Tenant_105"/>
        <s v="Tenant_184"/>
        <s v="Tenant_173"/>
        <s v="Tenant_65"/>
        <s v="Tenant_110"/>
        <s v="Tenant_170"/>
        <s v="Tenant_82"/>
        <s v="Tenant_2"/>
        <s v="Tenant_74"/>
        <s v="Tenant_57"/>
        <s v="Tenant_182"/>
        <s v="Tenant_36"/>
        <s v="Tenant_142"/>
        <s v="Tenant_64"/>
        <s v="Tenant_104"/>
        <s v="Tenant_11"/>
        <s v="Tenant_120"/>
        <s v="Tenant_128"/>
        <s v="Tenant_66"/>
        <s v="Tenant_124"/>
        <s v="Tenant_194"/>
        <s v="Tenant_172"/>
        <s v="Tenant_56"/>
        <s v="Tenant_130"/>
        <s v="Tenant_10"/>
        <s v="Tenant_58"/>
        <s v="Tenant_187"/>
        <s v="Tenant_185"/>
        <s v="Tenant_23"/>
        <s v="Tenant_125"/>
        <s v="Tenant_179"/>
        <s v="Tenant_141"/>
        <s v="Tenant_158"/>
        <s v="Tenant_53"/>
        <s v="Tenant_150"/>
        <s v="Tenant_106"/>
        <s v="Tenant_131"/>
      </sharedItems>
    </cacheField>
    <cacheField name="Monthly_Rent_EUR" numFmtId="0">
      <sharedItems containsString="0" containsBlank="1" containsNumber="1" minValue="0" maxValue="4155174.1999999988"/>
    </cacheField>
    <cacheField name="Annual_Rent_EUR" numFmtId="0">
      <sharedItems containsString="0" containsBlank="1" containsNumber="1" minValue="0" maxValue="49862089.919999987" count="434">
        <n v="150394.79999999999"/>
        <n v="0"/>
        <n v="137846.28"/>
        <n v="93086.52"/>
        <n v="124317"/>
        <n v="282343.67999999999"/>
        <n v="61285.8"/>
        <n v="86850.84"/>
        <n v="119350.68"/>
        <n v="35900.28"/>
        <n v="87633.36"/>
        <n v="32953.08"/>
        <n v="111478.2"/>
        <n v="255130.68"/>
        <n v="248250.12"/>
        <n v="51173.88"/>
        <n v="106878.36"/>
        <n v="132039.6"/>
        <n v="154835.28"/>
        <n v="220693.92"/>
        <n v="68100.72"/>
        <n v="156388.92000000001"/>
        <n v="220113.12"/>
        <n v="144009.60000000001"/>
        <n v="173979.24"/>
        <n v="227761.32"/>
        <n v="150512.51999999999"/>
        <n v="171088.2"/>
        <n v="109011"/>
        <n v="73690.8"/>
        <n v="27192.12"/>
        <n v="43069.68"/>
        <n v="201999.12"/>
        <n v="9001.7999999999993"/>
        <n v="84796.800000000003"/>
        <n v="113633.04"/>
        <n v="187063.8"/>
        <n v="205076.28"/>
        <n v="111514.2"/>
        <n v="255960.12"/>
        <n v="8070.6"/>
        <n v="39961.56"/>
        <n v="168151.2"/>
        <n v="123950.64"/>
        <n v="91071.24"/>
        <n v="13883.52"/>
        <n v="85263.360000000001"/>
        <n v="113288.28"/>
        <n v="14346.12"/>
        <n v="179567.88"/>
        <n v="67735.08"/>
        <n v="178777.2"/>
        <n v="166359.96"/>
        <n v="64524.36"/>
        <n v="56997.36"/>
        <n v="103916.04"/>
        <n v="150486.35999999999"/>
        <n v="193733.16"/>
        <n v="179411.52"/>
        <n v="92340.84"/>
        <n v="149163.6"/>
        <n v="74755.56"/>
        <n v="109182.72"/>
        <n v="204135.84"/>
        <n v="132655.20000000001"/>
        <n v="168531.48"/>
        <n v="166795.32"/>
        <n v="175981.44"/>
        <n v="128103.84"/>
        <n v="24009.119999999999"/>
        <n v="211150.92"/>
        <n v="58259.64"/>
        <n v="267938.76"/>
        <n v="263260.44"/>
        <n v="43412.639999999999"/>
        <n v="98770.44"/>
        <n v="180247.56"/>
        <n v="33014.879999999997"/>
        <n v="79853.88"/>
        <n v="57991.08"/>
        <n v="124326.48"/>
        <n v="209172.84"/>
        <n v="9871.44"/>
        <n v="33641.879999999997"/>
        <n v="178299.84"/>
        <n v="80175.12"/>
        <n v="187696.8"/>
        <n v="191935.08"/>
        <n v="138647.88"/>
        <n v="10735.08"/>
        <n v="41779.32"/>
        <n v="11730.12"/>
        <n v="196122.23999999999"/>
        <n v="109605.36"/>
        <n v="83071.679999999993"/>
        <n v="72277.8"/>
        <n v="17644.439999999999"/>
        <n v="161361.48000000001"/>
        <n v="108724.56"/>
        <n v="117111.72"/>
        <n v="133079.4"/>
        <n v="14833.44"/>
        <n v="100992.72"/>
        <n v="203742.96"/>
        <n v="13649.28"/>
        <n v="130479.48"/>
        <n v="247814.04"/>
        <n v="219276.12"/>
        <n v="149868.48000000001"/>
        <n v="171650.16"/>
        <n v="191847.96"/>
        <n v="54707.4"/>
        <n v="258624"/>
        <n v="98610.72"/>
        <n v="95637.84"/>
        <n v="35740.080000000002"/>
        <n v="100920.96000000001"/>
        <n v="83599.679999999993"/>
        <n v="126054.24"/>
        <n v="15601.2"/>
        <n v="48798.6"/>
        <n v="170219.4"/>
        <n v="194090.88"/>
        <n v="73781.52"/>
        <n v="149833.44"/>
        <n v="148632.12"/>
        <n v="287498.64"/>
        <n v="181414.32"/>
        <n v="67872"/>
        <n v="235066.92"/>
        <n v="53439.48"/>
        <n v="268282.2"/>
        <n v="250351.92"/>
        <n v="91965.119999999995"/>
        <n v="11872.56"/>
        <n v="25048.68"/>
        <n v="42637.32"/>
        <n v="134094.48000000001"/>
        <n v="37476.239999999998"/>
        <n v="93601.2"/>
        <n v="38756.28"/>
        <n v="39152.28"/>
        <n v="101718.12"/>
        <n v="119159.64"/>
        <n v="82645.08"/>
        <n v="146321.16"/>
        <n v="217541.88"/>
        <n v="248142.12"/>
        <n v="53943.12"/>
        <n v="224822.52"/>
        <n v="118053.72"/>
        <n v="75902.399999999994"/>
        <n v="202149.96"/>
        <n v="19471.439999999999"/>
        <n v="25690.560000000001"/>
        <n v="89635.44"/>
        <n v="133198.68"/>
        <n v="125676.36"/>
        <n v="42041.16"/>
        <n v="55905.72"/>
        <n v="140180.16"/>
        <n v="162779.04"/>
        <n v="149630.88"/>
        <n v="47844.6"/>
        <n v="181107"/>
        <n v="104428.2"/>
        <n v="80859.960000000006"/>
        <n v="60872.639999999999"/>
        <n v="222738.96"/>
        <n v="64277.279999999999"/>
        <n v="181680.36"/>
        <n v="61764.36"/>
        <n v="19320.599999999999"/>
        <n v="12020.88"/>
        <n v="158717.28"/>
        <n v="216470.52"/>
        <n v="164324.16"/>
        <n v="157175.88"/>
        <n v="109376.04"/>
        <n v="28530.84"/>
        <n v="28278.959999999999"/>
        <n v="4900.92"/>
        <n v="16446.72"/>
        <n v="46428.24"/>
        <n v="45645.84"/>
        <n v="121843.08"/>
        <n v="98549.16"/>
        <n v="62350.2"/>
        <n v="74076.12"/>
        <n v="121178.88"/>
        <n v="213904.08"/>
        <n v="61723.56"/>
        <n v="68741.64"/>
        <n v="25458"/>
        <n v="231852.6"/>
        <n v="106641.72"/>
        <n v="219737.28"/>
        <n v="120181.68"/>
        <n v="106404.24"/>
        <n v="275406.96000000002"/>
        <n v="87337.2"/>
        <n v="38890.92"/>
        <n v="84941.28"/>
        <n v="205853.88"/>
        <n v="134627.88"/>
        <n v="175099.68"/>
        <n v="170241"/>
        <n v="142367.64000000001"/>
        <n v="42272.52"/>
        <n v="45681.36"/>
        <n v="104737.08"/>
        <n v="133213.44"/>
        <n v="248210.16"/>
        <n v="123043.56"/>
        <n v="161629.68"/>
        <n v="62321.760000000002"/>
        <n v="158086.92000000001"/>
        <n v="164729.28"/>
        <n v="141729.96"/>
        <n v="114977.76"/>
        <n v="145485.6"/>
        <n v="144338.88"/>
        <n v="133907.04"/>
        <n v="256530.12"/>
        <n v="111139.8"/>
        <n v="113166.36"/>
        <n v="166100.64000000001"/>
        <n v="138838.92000000001"/>
        <n v="88823.4"/>
        <n v="148909.56"/>
        <n v="168570.12"/>
        <n v="173201.28"/>
        <n v="131726.76"/>
        <n v="94434.6"/>
        <n v="75355.8"/>
        <n v="73794.600000000006"/>
        <n v="96871.8"/>
        <n v="31536.48"/>
        <n v="210881.4"/>
        <n v="159365.64000000001"/>
        <n v="125795.76"/>
        <n v="246380.04"/>
        <n v="185831.88"/>
        <n v="13659.48"/>
        <n v="78313.8"/>
        <n v="14151.24"/>
        <n v="102745.32"/>
        <n v="94805.88"/>
        <n v="37981.56"/>
        <n v="165454.79999999999"/>
        <n v="94221.84"/>
        <n v="109211.52"/>
        <n v="7653.36"/>
        <n v="215939.88"/>
        <n v="94051.08"/>
        <n v="13719.96"/>
        <n v="50827.44"/>
        <n v="98407.2"/>
        <n v="40561.32"/>
        <n v="123482.16"/>
        <n v="34342.68"/>
        <n v="136357.92000000001"/>
        <n v="108441.72"/>
        <n v="137145.96"/>
        <n v="151578.48000000001"/>
        <n v="54297.120000000003"/>
        <n v="70539.48"/>
        <n v="186799.2"/>
        <n v="140653.44"/>
        <n v="265534.44"/>
        <n v="30400.32"/>
        <n v="207567.48"/>
        <n v="90415.08"/>
        <n v="242872.08"/>
        <n v="24585.119999999999"/>
        <n v="83346.84"/>
        <n v="67077"/>
        <n v="156418.79999999999"/>
        <n v="310832.52"/>
        <n v="88372.56"/>
        <n v="102767.52"/>
        <n v="55287.839999999997"/>
        <n v="40353.24"/>
        <n v="220533.96"/>
        <n v="119926.44"/>
        <n v="237076.32"/>
        <n v="277966.08000000002"/>
        <n v="50557.32"/>
        <n v="302529.36"/>
        <n v="189477.24"/>
        <n v="36838.080000000002"/>
        <n v="47266.44"/>
        <n v="173535.12"/>
        <n v="101735.03999999999"/>
        <n v="170335.32"/>
        <n v="81259.08"/>
        <n v="107058.24000000001"/>
        <n v="183130.2"/>
        <n v="9004.92"/>
        <n v="35651.519999999997"/>
        <n v="11661.12"/>
        <n v="6715.2"/>
        <n v="7079.16"/>
        <n v="31452.36"/>
        <n v="120579.24"/>
        <n v="73989.72"/>
        <n v="93802.92"/>
        <n v="123166.2"/>
        <n v="117827.4"/>
        <n v="120358.2"/>
        <n v="98185.56"/>
        <n v="61631.64"/>
        <n v="113843.16"/>
        <n v="75474.240000000005"/>
        <n v="24951.119999999999"/>
        <n v="88122.12"/>
        <n v="102518.88"/>
        <n v="38953.08"/>
        <n v="132574.32"/>
        <n v="154427.88"/>
        <n v="197379.12"/>
        <n v="148981.44"/>
        <n v="117566.04"/>
        <n v="50133.72"/>
        <n v="130714.08"/>
        <n v="259601.16"/>
        <n v="44578.32"/>
        <n v="183025.56"/>
        <n v="87099.48"/>
        <n v="30111.84"/>
        <n v="80687.039999999994"/>
        <n v="136547.04"/>
        <n v="190890.96"/>
        <n v="20562.36"/>
        <n v="151715.51999999999"/>
        <n v="75582.960000000006"/>
        <n v="121531.92"/>
        <n v="218341.44"/>
        <n v="106776.6"/>
        <n v="137829.84"/>
        <n v="17483.28"/>
        <n v="5952.6"/>
        <n v="184099.68"/>
        <n v="24449.16"/>
        <n v="132471.12"/>
        <n v="222157.44"/>
        <n v="38511.360000000001"/>
        <n v="211447.2"/>
        <n v="84276.96"/>
        <n v="95230.92"/>
        <n v="9092.76"/>
        <n v="37664.879999999997"/>
        <n v="42215.28"/>
        <n v="163590.12"/>
        <n v="115051.44"/>
        <n v="223199.52"/>
        <n v="63946.2"/>
        <n v="269326.92"/>
        <n v="58384.08"/>
        <n v="107959.56"/>
        <n v="50711.4"/>
        <n v="123692.64"/>
        <n v="195806.4"/>
        <n v="262694.28000000003"/>
        <n v="97625.52"/>
        <n v="161886.48000000001"/>
        <n v="149749.92000000001"/>
        <n v="44737.440000000002"/>
        <n v="80863.8"/>
        <n v="95522.16"/>
        <n v="11000.52"/>
        <n v="145128.95999999999"/>
        <n v="201838.8"/>
        <n v="97519.679999999993"/>
        <n v="50761.08"/>
        <n v="129799.32"/>
        <n v="99145.44"/>
        <n v="109246.56"/>
        <n v="42316.44"/>
        <n v="63511.68"/>
        <n v="170725.44"/>
        <n v="81592.92"/>
        <n v="95696.4"/>
        <n v="29304"/>
        <n v="9581.52"/>
        <n v="213879.84"/>
        <n v="65442.720000000001"/>
        <n v="271586.28000000003"/>
        <n v="43570.32"/>
        <n v="179510.04"/>
        <n v="13270.08"/>
        <n v="49135.8"/>
        <n v="68802"/>
        <n v="182802"/>
        <n v="180420.36"/>
        <n v="179070.72"/>
        <n v="67071.72"/>
        <n v="141287.64000000001"/>
        <n v="3526.08"/>
        <n v="110749.32"/>
        <n v="136126.44"/>
        <n v="63740.52"/>
        <n v="142382.16"/>
        <n v="132610.32"/>
        <n v="72462.960000000006"/>
        <n v="97704.24"/>
        <n v="24373.439999999999"/>
        <n v="49059.6"/>
        <n v="43584.84"/>
        <n v="240040.68"/>
        <n v="140018.04"/>
        <n v="12693"/>
        <n v="15958.8"/>
        <n v="17061.599999999999"/>
        <n v="194770.44"/>
        <n v="205471.8"/>
        <n v="309807"/>
        <n v="188333.4"/>
        <n v="56184.72"/>
        <n v="76973.759999999995"/>
        <n v="180817.92000000001"/>
        <n v="30915.599999999999"/>
        <n v="102510.48"/>
        <n v="122209.68"/>
        <n v="150315"/>
        <n v="188633.64"/>
        <n v="11004"/>
        <n v="67277.759999999995"/>
        <n v="63411.839999999997"/>
        <n v="47068.56"/>
        <n v="119722.44"/>
        <n v="172875.36"/>
        <n v="49862089.919999987"/>
        <m/>
      </sharedItems>
    </cacheField>
    <cacheField name="Jahresrente_EUR" numFmtId="0">
      <sharedItems containsString="0" containsBlank="1" containsNumber="1" minValue="0" maxValue="310832.52"/>
    </cacheField>
    <cacheField name="Unterschied" numFmtId="0">
      <sharedItems containsBlank="1"/>
    </cacheField>
    <cacheField name="Lease_Start" numFmtId="0">
      <sharedItems containsNonDate="0" containsDate="1" containsString="0" containsBlank="1" minDate="2021-04-06T00:00:00" maxDate="2023-12-29T00:00:00"/>
    </cacheField>
    <cacheField name="Lease_End" numFmtId="0">
      <sharedItems containsNonDate="0" containsDate="1" containsString="0" containsBlank="1" minDate="2021-10-22T00:00:00" maxDate="2028-10-14T00:00:00"/>
    </cacheField>
    <cacheField name="Service_Charge_EUR" numFmtId="0">
      <sharedItems containsString="0" containsBlank="1" containsNumber="1" minValue="45.25" maxValue="815654.99999999988"/>
    </cacheField>
    <cacheField name="Operating_Cost_EUR" numFmtId="0">
      <sharedItems containsString="0" containsBlank="1" containsNumber="1" minValue="27.92" maxValue="585460.53000000049"/>
    </cacheField>
    <cacheField name="Check" numFmtId="0">
      <sharedItems containsBlank="1"/>
    </cacheField>
    <cacheField name="Check_Area" numFmtId="0">
      <sharedItems containsBlank="1"/>
    </cacheField>
    <cacheField name="Check_Rent" numFmtId="0">
      <sharedItems containsBlank="1"/>
    </cacheField>
    <cacheField name="Rent_per_sqm" numFmtId="0">
      <sharedItems containsBlank="1" containsMixedTypes="1" containsNumber="1" minValue="72.196392857142868" maxValue="60877.026971891253"/>
    </cacheField>
    <cacheField name="Total_Cost_EURO" numFmtId="0">
      <sharedItems containsString="0" containsBlank="1" containsNumber="1" minValue="73.17" maxValue="1401115.5299999993"/>
    </cacheField>
    <cacheField name="NOI_pro_UNIT" numFmtId="0">
      <sharedItems containsBlank="1" containsMixedTypes="1" containsNumber="1" minValue="3479.95" maxValue="49355221.150000013"/>
    </cacheField>
    <cacheField name="Month_to_Expiry" numFmtId="0">
      <sharedItems containsString="0" containsBlank="1" containsNumber="1" containsInteger="1" minValue="0" maxValue="31"/>
    </cacheField>
    <cacheField name="Expiry Bucket" numFmtId="0">
      <sharedItems containsBlank="1" count="6">
        <s v="0-3 Monaten"/>
        <s v=""/>
        <s v="3-6 Monaten"/>
        <s v="12 M+"/>
        <s v="6-12 Monaten"/>
        <m/>
      </sharedItems>
    </cacheField>
    <cacheField name="Vacant_Area" numFmtId="0">
      <sharedItems containsString="0" containsBlank="1" containsNumber="1" containsInteger="1" minValue="0" maxValue="54160"/>
    </cacheField>
    <cacheField name="Oc_Area" numFmtId="0">
      <sharedItems containsString="0" containsBlank="1" containsNumber="1" containsInteger="1" minValue="0" maxValue="351715"/>
    </cacheField>
  </cacheFields>
  <extLst>
    <ext xmlns:x14="http://schemas.microsoft.com/office/spreadsheetml/2009/9/main" uri="{725AE2AE-9491-48be-B2B4-4EB974FC3084}">
      <x14:pivotCacheDefinition pivotCacheId="2143368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s v="Tenant_7"/>
    <x v="0"/>
    <n v="150394.79999999999"/>
    <n v="150394.79999999999"/>
    <s v=""/>
    <d v="2021-09-29T00:00:00"/>
    <d v="2023-09-23T00:00:00"/>
    <n v="1703.34"/>
    <n v="2323.09"/>
    <s v="OK"/>
    <s v=""/>
    <s v=""/>
    <x v="0"/>
    <n v="4026.4300000000003"/>
    <x v="0"/>
    <n v="0"/>
    <s v="0-3 Monaten"/>
    <x v="0"/>
    <n v="1072"/>
  </r>
  <r>
    <x v="1"/>
    <x v="1"/>
    <x v="1"/>
    <x v="1"/>
    <x v="1"/>
    <m/>
    <x v="1"/>
    <n v="0"/>
    <n v="0"/>
    <s v=""/>
    <m/>
    <m/>
    <n v="581.04999999999995"/>
    <n v="327.43"/>
    <s v="OK"/>
    <s v=""/>
    <s v="Rent&lt;=0"/>
    <x v="1"/>
    <n v="908.48"/>
    <x v="1"/>
    <n v="0"/>
    <s v=""/>
    <x v="1"/>
    <n v="0"/>
  </r>
  <r>
    <x v="2"/>
    <x v="2"/>
    <x v="1"/>
    <x v="2"/>
    <x v="0"/>
    <s v="Tenant_127"/>
    <x v="2"/>
    <n v="137846.28"/>
    <n v="137846.76"/>
    <s v="FALSCH"/>
    <d v="2021-05-28T00:00:00"/>
    <d v="2025-07-25T00:00:00"/>
    <n v="1667.69"/>
    <n v="1006.92"/>
    <s v="OK"/>
    <s v=""/>
    <s v=""/>
    <x v="2"/>
    <n v="2674.61"/>
    <x v="2"/>
    <n v="0"/>
    <s v="0-3 Monaten"/>
    <x v="0"/>
    <n v="920"/>
  </r>
  <r>
    <x v="3"/>
    <x v="3"/>
    <x v="1"/>
    <x v="3"/>
    <x v="0"/>
    <s v="Tenant_29"/>
    <x v="3"/>
    <n v="93086.52"/>
    <n v="93086.52"/>
    <s v=""/>
    <d v="2022-01-17T00:00:00"/>
    <d v="2024-04-26T00:00:00"/>
    <n v="1291.24"/>
    <n v="769.66"/>
    <s v="OK"/>
    <s v=""/>
    <s v=""/>
    <x v="3"/>
    <n v="2060.9"/>
    <x v="3"/>
    <n v="0"/>
    <s v="0-3 Monaten"/>
    <x v="0"/>
    <n v="659"/>
  </r>
  <r>
    <x v="4"/>
    <x v="4"/>
    <x v="2"/>
    <x v="4"/>
    <x v="0"/>
    <s v="Tenant_34"/>
    <x v="4"/>
    <n v="124317"/>
    <n v="124317"/>
    <s v=""/>
    <d v="2021-08-28T00:00:00"/>
    <d v="2026-07-06T00:00:00"/>
    <n v="2093.1"/>
    <n v="766.61"/>
    <s v="OK"/>
    <s v=""/>
    <s v=""/>
    <x v="4"/>
    <n v="2859.71"/>
    <x v="4"/>
    <n v="4"/>
    <s v="3-6 Monaten"/>
    <x v="0"/>
    <n v="826"/>
  </r>
  <r>
    <x v="5"/>
    <x v="5"/>
    <x v="3"/>
    <x v="5"/>
    <x v="1"/>
    <m/>
    <x v="1"/>
    <n v="0"/>
    <n v="0"/>
    <s v=""/>
    <m/>
    <m/>
    <n v="913.83"/>
    <n v="1004.86"/>
    <s v="OK"/>
    <s v=""/>
    <s v="Rent&lt;=0"/>
    <x v="1"/>
    <n v="1918.69"/>
    <x v="1"/>
    <n v="0"/>
    <s v=""/>
    <x v="2"/>
    <n v="0"/>
  </r>
  <r>
    <x v="5"/>
    <x v="6"/>
    <x v="1"/>
    <x v="6"/>
    <x v="0"/>
    <s v="Tenant_26"/>
    <x v="5"/>
    <n v="282343.67999999999"/>
    <n v="282343.67999999999"/>
    <s v=""/>
    <d v="2023-04-28T00:00:00"/>
    <d v="2026-06-08T00:00:00"/>
    <n v="1782.23"/>
    <n v="1177.76"/>
    <s v="OK"/>
    <s v=""/>
    <s v=""/>
    <x v="5"/>
    <n v="2959.99"/>
    <x v="5"/>
    <n v="3"/>
    <s v="0-3 Monaten"/>
    <x v="0"/>
    <n v="1358"/>
  </r>
  <r>
    <x v="2"/>
    <x v="7"/>
    <x v="2"/>
    <x v="7"/>
    <x v="0"/>
    <s v="Tenant_12"/>
    <x v="6"/>
    <n v="61285.8"/>
    <n v="61285.799999999996"/>
    <s v=""/>
    <d v="2021-06-30T00:00:00"/>
    <d v="2022-07-15T00:00:00"/>
    <n v="849.14"/>
    <n v="729.67"/>
    <s v="OK"/>
    <s v=""/>
    <s v=""/>
    <x v="6"/>
    <n v="1578.81"/>
    <x v="6"/>
    <n v="0"/>
    <s v="0-3 Monaten"/>
    <x v="0"/>
    <n v="319"/>
  </r>
  <r>
    <x v="0"/>
    <x v="8"/>
    <x v="3"/>
    <x v="8"/>
    <x v="0"/>
    <s v="Tenant_63"/>
    <x v="7"/>
    <n v="86850.84"/>
    <n v="86850.84"/>
    <s v=""/>
    <d v="2021-06-04T00:00:00"/>
    <d v="2025-05-01T00:00:00"/>
    <n v="2153.19"/>
    <n v="1468.13"/>
    <s v="OK"/>
    <s v=""/>
    <s v=""/>
    <x v="7"/>
    <n v="3621.32"/>
    <x v="7"/>
    <n v="0"/>
    <s v="0-3 Monaten"/>
    <x v="0"/>
    <n v="744"/>
  </r>
  <r>
    <x v="3"/>
    <x v="9"/>
    <x v="0"/>
    <x v="9"/>
    <x v="0"/>
    <s v="Tenant_78"/>
    <x v="8"/>
    <n v="119350.68"/>
    <n v="119350.68"/>
    <s v=""/>
    <d v="2021-10-26T00:00:00"/>
    <d v="2024-06-03T00:00:00"/>
    <n v="2246.36"/>
    <n v="1532.69"/>
    <s v="OK"/>
    <s v=""/>
    <s v=""/>
    <x v="8"/>
    <n v="3779.05"/>
    <x v="8"/>
    <n v="0"/>
    <s v="0-3 Monaten"/>
    <x v="0"/>
    <n v="1453"/>
  </r>
  <r>
    <x v="0"/>
    <x v="10"/>
    <x v="3"/>
    <x v="10"/>
    <x v="0"/>
    <s v="Tenant_145"/>
    <x v="9"/>
    <n v="35900.28"/>
    <n v="35900.28"/>
    <s v=""/>
    <d v="2021-07-21T00:00:00"/>
    <d v="2022-12-30T00:00:00"/>
    <n v="419.85"/>
    <n v="310.98"/>
    <s v="OK"/>
    <s v=""/>
    <s v=""/>
    <x v="9"/>
    <n v="730.83"/>
    <x v="9"/>
    <n v="0"/>
    <s v="0-3 Monaten"/>
    <x v="0"/>
    <n v="174"/>
  </r>
  <r>
    <x v="6"/>
    <x v="11"/>
    <x v="3"/>
    <x v="11"/>
    <x v="0"/>
    <s v="Tenant_146"/>
    <x v="10"/>
    <n v="87633.36"/>
    <n v="87633.36"/>
    <s v=""/>
    <d v="2021-12-08T00:00:00"/>
    <d v="2022-10-27T00:00:00"/>
    <n v="1807.96"/>
    <n v="1254.6600000000001"/>
    <s v="OK"/>
    <s v=""/>
    <s v=""/>
    <x v="10"/>
    <n v="3062.62"/>
    <x v="10"/>
    <n v="0"/>
    <s v="0-3 Monaten"/>
    <x v="0"/>
    <n v="1202"/>
  </r>
  <r>
    <x v="6"/>
    <x v="12"/>
    <x v="3"/>
    <x v="12"/>
    <x v="0"/>
    <s v="Tenant_13"/>
    <x v="11"/>
    <n v="32953.08"/>
    <n v="32953.08"/>
    <s v=""/>
    <d v="2023-03-08T00:00:00"/>
    <d v="2027-07-17T00:00:00"/>
    <n v="457.27"/>
    <n v="453.52"/>
    <s v="OK"/>
    <s v=""/>
    <s v=""/>
    <x v="11"/>
    <n v="910.79"/>
    <x v="11"/>
    <n v="16"/>
    <s v="12 M+"/>
    <x v="0"/>
    <n v="215"/>
  </r>
  <r>
    <x v="0"/>
    <x v="13"/>
    <x v="1"/>
    <x v="13"/>
    <x v="0"/>
    <s v="Tenant_95"/>
    <x v="12"/>
    <n v="111478.2"/>
    <n v="111478.20000000001"/>
    <s v=""/>
    <d v="2022-09-27T00:00:00"/>
    <d v="2025-04-20T00:00:00"/>
    <n v="2454.8200000000002"/>
    <n v="2439.5100000000002"/>
    <s v="OK"/>
    <s v=""/>
    <s v=""/>
    <x v="12"/>
    <n v="4894.33"/>
    <x v="12"/>
    <n v="0"/>
    <s v="0-3 Monaten"/>
    <x v="0"/>
    <n v="1379"/>
  </r>
  <r>
    <x v="2"/>
    <x v="14"/>
    <x v="1"/>
    <x v="14"/>
    <x v="0"/>
    <s v="Tenant_136"/>
    <x v="13"/>
    <n v="255130.68"/>
    <n v="255130.68"/>
    <s v=""/>
    <d v="2023-09-30T00:00:00"/>
    <d v="2026-09-16T00:00:00"/>
    <n v="3224.21"/>
    <n v="808.23"/>
    <s v="OK"/>
    <s v=""/>
    <s v=""/>
    <x v="13"/>
    <n v="4032.44"/>
    <x v="13"/>
    <n v="6"/>
    <s v="3-6 Monaten"/>
    <x v="0"/>
    <n v="1194"/>
  </r>
  <r>
    <x v="2"/>
    <x v="15"/>
    <x v="0"/>
    <x v="15"/>
    <x v="0"/>
    <s v="Tenant_166"/>
    <x v="14"/>
    <n v="248250.12"/>
    <n v="248250.12"/>
    <s v=""/>
    <d v="2023-10-21T00:00:00"/>
    <d v="2028-10-13T00:00:00"/>
    <n v="1988.36"/>
    <n v="2060.4"/>
    <s v="OK"/>
    <s v=""/>
    <s v=""/>
    <x v="14"/>
    <n v="4048.76"/>
    <x v="14"/>
    <n v="31"/>
    <s v="12 M+"/>
    <x v="0"/>
    <n v="1216"/>
  </r>
  <r>
    <x v="5"/>
    <x v="16"/>
    <x v="1"/>
    <x v="16"/>
    <x v="1"/>
    <m/>
    <x v="1"/>
    <n v="0"/>
    <n v="0"/>
    <s v=""/>
    <m/>
    <m/>
    <n v="658.24"/>
    <n v="906.67"/>
    <s v="OK"/>
    <s v=""/>
    <s v="Rent&lt;=0"/>
    <x v="1"/>
    <n v="1564.9099999999999"/>
    <x v="1"/>
    <n v="0"/>
    <s v=""/>
    <x v="3"/>
    <n v="0"/>
  </r>
  <r>
    <x v="7"/>
    <x v="17"/>
    <x v="3"/>
    <x v="17"/>
    <x v="0"/>
    <s v="Tenant_145"/>
    <x v="15"/>
    <n v="51173.88"/>
    <n v="51173.88"/>
    <s v=""/>
    <d v="2022-10-26T00:00:00"/>
    <d v="2026-07-18T00:00:00"/>
    <n v="1396.48"/>
    <n v="672.55"/>
    <s v="OK"/>
    <s v=""/>
    <s v=""/>
    <x v="15"/>
    <n v="2069.0299999999997"/>
    <x v="15"/>
    <n v="4"/>
    <s v="3-6 Monaten"/>
    <x v="0"/>
    <n v="549"/>
  </r>
  <r>
    <x v="7"/>
    <x v="18"/>
    <x v="0"/>
    <x v="18"/>
    <x v="0"/>
    <s v="Tenant_140"/>
    <x v="16"/>
    <n v="106878.36"/>
    <n v="106878.36000000002"/>
    <s v=""/>
    <d v="2023-03-08T00:00:00"/>
    <d v="2026-08-07T00:00:00"/>
    <n v="805.82"/>
    <n v="1142.4100000000001"/>
    <s v="OK"/>
    <s v=""/>
    <s v=""/>
    <x v="16"/>
    <n v="1948.23"/>
    <x v="16"/>
    <n v="5"/>
    <s v="3-6 Monaten"/>
    <x v="0"/>
    <n v="754"/>
  </r>
  <r>
    <x v="1"/>
    <x v="19"/>
    <x v="2"/>
    <x v="19"/>
    <x v="0"/>
    <s v="Tenant_143"/>
    <x v="17"/>
    <n v="132039.6"/>
    <n v="132039.59999999998"/>
    <s v=""/>
    <d v="2023-02-04T00:00:00"/>
    <d v="2026-12-13T00:00:00"/>
    <n v="2489.6799999999998"/>
    <n v="2937.03"/>
    <s v="OK"/>
    <s v=""/>
    <s v=""/>
    <x v="17"/>
    <n v="5426.71"/>
    <x v="17"/>
    <n v="9"/>
    <s v="6-12 Monaten"/>
    <x v="0"/>
    <n v="1180"/>
  </r>
  <r>
    <x v="1"/>
    <x v="20"/>
    <x v="0"/>
    <x v="20"/>
    <x v="1"/>
    <m/>
    <x v="1"/>
    <n v="0"/>
    <n v="0"/>
    <s v=""/>
    <m/>
    <m/>
    <n v="1756.84"/>
    <n v="1973.19"/>
    <s v="OK"/>
    <s v=""/>
    <s v="Rent&lt;=0"/>
    <x v="1"/>
    <n v="3730.0299999999997"/>
    <x v="1"/>
    <n v="0"/>
    <s v=""/>
    <x v="4"/>
    <n v="0"/>
  </r>
  <r>
    <x v="2"/>
    <x v="21"/>
    <x v="1"/>
    <x v="21"/>
    <x v="0"/>
    <s v="Tenant_33"/>
    <x v="18"/>
    <n v="154835.28"/>
    <n v="154835.28"/>
    <s v=""/>
    <d v="2023-04-15T00:00:00"/>
    <d v="2026-10-16T00:00:00"/>
    <n v="2691.1"/>
    <n v="2173.98"/>
    <s v="OK"/>
    <s v=""/>
    <s v=""/>
    <x v="18"/>
    <n v="4865.08"/>
    <x v="18"/>
    <n v="7"/>
    <s v="6-12 Monaten"/>
    <x v="0"/>
    <n v="946"/>
  </r>
  <r>
    <x v="7"/>
    <x v="22"/>
    <x v="3"/>
    <x v="22"/>
    <x v="0"/>
    <s v="Tenant_48"/>
    <x v="19"/>
    <n v="220693.92"/>
    <n v="220693.91999999998"/>
    <s v=""/>
    <d v="2023-02-22T00:00:00"/>
    <d v="2026-09-07T00:00:00"/>
    <n v="2019.26"/>
    <n v="3075.8"/>
    <s v="OK"/>
    <s v=""/>
    <s v=""/>
    <x v="19"/>
    <n v="5095.0600000000004"/>
    <x v="19"/>
    <n v="6"/>
    <s v="3-6 Monaten"/>
    <x v="0"/>
    <n v="1255"/>
  </r>
  <r>
    <x v="5"/>
    <x v="23"/>
    <x v="1"/>
    <x v="23"/>
    <x v="0"/>
    <s v="Tenant_55"/>
    <x v="20"/>
    <n v="68100.72"/>
    <n v="68100.72"/>
    <s v=""/>
    <d v="2022-11-03T00:00:00"/>
    <d v="2026-09-06T00:00:00"/>
    <n v="761.04"/>
    <n v="832.56"/>
    <s v="OK"/>
    <s v=""/>
    <s v=""/>
    <x v="20"/>
    <n v="1593.6"/>
    <x v="20"/>
    <n v="6"/>
    <s v="3-6 Monaten"/>
    <x v="0"/>
    <n v="484"/>
  </r>
  <r>
    <x v="4"/>
    <x v="24"/>
    <x v="0"/>
    <x v="24"/>
    <x v="0"/>
    <s v="Tenant_152"/>
    <x v="21"/>
    <n v="156388.92000000001"/>
    <n v="156388.91999999998"/>
    <s v=""/>
    <d v="2022-06-16T00:00:00"/>
    <d v="2023-06-03T00:00:00"/>
    <n v="1831.9"/>
    <n v="593.03"/>
    <s v="OK"/>
    <s v=""/>
    <s v=""/>
    <x v="21"/>
    <n v="2424.9300000000003"/>
    <x v="21"/>
    <n v="0"/>
    <s v="0-3 Monaten"/>
    <x v="0"/>
    <n v="911"/>
  </r>
  <r>
    <x v="4"/>
    <x v="25"/>
    <x v="1"/>
    <x v="25"/>
    <x v="1"/>
    <m/>
    <x v="1"/>
    <n v="0"/>
    <n v="0"/>
    <s v=""/>
    <m/>
    <m/>
    <n v="1752.44"/>
    <n v="1107.1500000000001"/>
    <s v="OK"/>
    <s v=""/>
    <s v="Rent&lt;=0"/>
    <x v="1"/>
    <n v="2859.59"/>
    <x v="1"/>
    <n v="0"/>
    <s v=""/>
    <x v="5"/>
    <n v="0"/>
  </r>
  <r>
    <x v="1"/>
    <x v="26"/>
    <x v="2"/>
    <x v="26"/>
    <x v="1"/>
    <m/>
    <x v="1"/>
    <n v="0"/>
    <n v="0"/>
    <s v=""/>
    <m/>
    <m/>
    <n v="1012.2"/>
    <n v="293.26"/>
    <s v="OK"/>
    <s v=""/>
    <s v="Rent&lt;=0"/>
    <x v="1"/>
    <n v="1305.46"/>
    <x v="1"/>
    <n v="0"/>
    <s v=""/>
    <x v="6"/>
    <n v="0"/>
  </r>
  <r>
    <x v="7"/>
    <x v="27"/>
    <x v="3"/>
    <x v="27"/>
    <x v="0"/>
    <s v="Tenant_144"/>
    <x v="22"/>
    <n v="220113.12"/>
    <n v="220113.12"/>
    <s v=""/>
    <d v="2023-09-10T00:00:00"/>
    <d v="2026-04-15T00:00:00"/>
    <n v="3202.85"/>
    <n v="2171.44"/>
    <s v="OK"/>
    <s v=""/>
    <s v=""/>
    <x v="22"/>
    <n v="5374.29"/>
    <x v="22"/>
    <n v="1"/>
    <s v="0-3 Monaten"/>
    <x v="0"/>
    <n v="1301"/>
  </r>
  <r>
    <x v="5"/>
    <x v="28"/>
    <x v="0"/>
    <x v="28"/>
    <x v="0"/>
    <s v="Tenant_37"/>
    <x v="23"/>
    <n v="144009.60000000001"/>
    <n v="144009.59999999998"/>
    <s v=""/>
    <d v="2023-05-24T00:00:00"/>
    <d v="2025-12-30T00:00:00"/>
    <n v="3013.82"/>
    <n v="1135.93"/>
    <s v="OK"/>
    <s v=""/>
    <s v=""/>
    <x v="23"/>
    <n v="4149.75"/>
    <x v="23"/>
    <n v="0"/>
    <s v="0-3 Monaten"/>
    <x v="0"/>
    <n v="1245"/>
  </r>
  <r>
    <x v="4"/>
    <x v="29"/>
    <x v="1"/>
    <x v="29"/>
    <x v="0"/>
    <s v="Tenant_189"/>
    <x v="24"/>
    <n v="173979.24"/>
    <n v="173979.24"/>
    <s v=""/>
    <d v="2022-02-17T00:00:00"/>
    <d v="2026-10-15T00:00:00"/>
    <n v="2011.21"/>
    <n v="944.62"/>
    <s v="OK"/>
    <s v=""/>
    <s v=""/>
    <x v="24"/>
    <n v="2955.83"/>
    <x v="24"/>
    <n v="7"/>
    <s v="6-12 Monaten"/>
    <x v="0"/>
    <n v="1272"/>
  </r>
  <r>
    <x v="6"/>
    <x v="30"/>
    <x v="1"/>
    <x v="30"/>
    <x v="0"/>
    <s v="Tenant_14"/>
    <x v="25"/>
    <n v="227761.32"/>
    <n v="227761.32"/>
    <s v=""/>
    <d v="2022-06-17T00:00:00"/>
    <d v="2023-09-15T00:00:00"/>
    <n v="2653.13"/>
    <n v="990.64"/>
    <s v="OK"/>
    <s v=""/>
    <s v=""/>
    <x v="25"/>
    <n v="3643.77"/>
    <x v="25"/>
    <n v="0"/>
    <s v="0-3 Monaten"/>
    <x v="0"/>
    <n v="1089"/>
  </r>
  <r>
    <x v="7"/>
    <x v="31"/>
    <x v="3"/>
    <x v="31"/>
    <x v="0"/>
    <s v="Tenant_138"/>
    <x v="26"/>
    <n v="150512.51999999999"/>
    <n v="150512.51999999999"/>
    <s v=""/>
    <d v="2022-12-17T00:00:00"/>
    <d v="2025-05-12T00:00:00"/>
    <n v="2529.5300000000002"/>
    <n v="1111.18"/>
    <s v="OK"/>
    <s v=""/>
    <s v=""/>
    <x v="26"/>
    <n v="3640.71"/>
    <x v="26"/>
    <n v="0"/>
    <s v="0-3 Monaten"/>
    <x v="0"/>
    <n v="899"/>
  </r>
  <r>
    <x v="2"/>
    <x v="32"/>
    <x v="0"/>
    <x v="32"/>
    <x v="0"/>
    <s v="Tenant_159"/>
    <x v="27"/>
    <n v="171088.2"/>
    <n v="171088.2"/>
    <s v=""/>
    <d v="2023-07-11T00:00:00"/>
    <d v="2025-09-01T00:00:00"/>
    <n v="2345.29"/>
    <n v="1675.28"/>
    <s v="OK"/>
    <s v=""/>
    <s v=""/>
    <x v="27"/>
    <n v="4020.5699999999997"/>
    <x v="27"/>
    <n v="0"/>
    <s v="0-3 Monaten"/>
    <x v="0"/>
    <n v="1143"/>
  </r>
  <r>
    <x v="0"/>
    <x v="33"/>
    <x v="0"/>
    <x v="33"/>
    <x v="0"/>
    <s v="Tenant_73"/>
    <x v="28"/>
    <n v="109011"/>
    <n v="109011"/>
    <s v=""/>
    <d v="2021-12-18T00:00:00"/>
    <d v="2026-04-06T00:00:00"/>
    <n v="1359.67"/>
    <n v="486.6"/>
    <s v="OK"/>
    <s v=""/>
    <s v=""/>
    <x v="28"/>
    <n v="1846.27"/>
    <x v="28"/>
    <n v="1"/>
    <s v="0-3 Monaten"/>
    <x v="0"/>
    <n v="524"/>
  </r>
  <r>
    <x v="5"/>
    <x v="34"/>
    <x v="2"/>
    <x v="34"/>
    <x v="0"/>
    <s v="Tenant_148"/>
    <x v="29"/>
    <n v="73690.8"/>
    <n v="73690.799999999988"/>
    <s v=""/>
    <d v="2022-02-28T00:00:00"/>
    <d v="2025-01-03T00:00:00"/>
    <n v="809"/>
    <n v="529.23"/>
    <s v="OK"/>
    <s v=""/>
    <s v=""/>
    <x v="29"/>
    <n v="1338.23"/>
    <x v="29"/>
    <n v="0"/>
    <s v="0-3 Monaten"/>
    <x v="0"/>
    <n v="376"/>
  </r>
  <r>
    <x v="4"/>
    <x v="35"/>
    <x v="3"/>
    <x v="35"/>
    <x v="0"/>
    <s v="Tenant_188"/>
    <x v="30"/>
    <n v="27192.12"/>
    <n v="27192.120000000003"/>
    <s v=""/>
    <d v="2023-02-17T00:00:00"/>
    <d v="2026-02-03T00:00:00"/>
    <n v="549.35"/>
    <n v="714.69"/>
    <s v="OK"/>
    <s v=""/>
    <s v=""/>
    <x v="30"/>
    <n v="1264.04"/>
    <x v="30"/>
    <n v="0"/>
    <s v="0-3 Monaten"/>
    <x v="0"/>
    <n v="294"/>
  </r>
  <r>
    <x v="2"/>
    <x v="36"/>
    <x v="2"/>
    <x v="36"/>
    <x v="1"/>
    <m/>
    <x v="1"/>
    <n v="0"/>
    <n v="0"/>
    <s v=""/>
    <m/>
    <m/>
    <n v="2965.03"/>
    <n v="936.19"/>
    <s v="OK"/>
    <s v=""/>
    <s v="Rent&lt;=0"/>
    <x v="1"/>
    <n v="3901.2200000000003"/>
    <x v="1"/>
    <n v="0"/>
    <s v=""/>
    <x v="7"/>
    <n v="0"/>
  </r>
  <r>
    <x v="2"/>
    <x v="37"/>
    <x v="0"/>
    <x v="37"/>
    <x v="0"/>
    <s v="Tenant_148"/>
    <x v="31"/>
    <n v="43069.68"/>
    <n v="43069.68"/>
    <s v=""/>
    <d v="2022-11-27T00:00:00"/>
    <d v="2024-06-13T00:00:00"/>
    <n v="1016.8"/>
    <n v="322.89"/>
    <s v="OK"/>
    <s v=""/>
    <s v=""/>
    <x v="31"/>
    <n v="1339.69"/>
    <x v="31"/>
    <n v="0"/>
    <s v="0-3 Monaten"/>
    <x v="0"/>
    <n v="438"/>
  </r>
  <r>
    <x v="6"/>
    <x v="38"/>
    <x v="3"/>
    <x v="38"/>
    <x v="1"/>
    <m/>
    <x v="1"/>
    <n v="0"/>
    <n v="0"/>
    <s v=""/>
    <m/>
    <m/>
    <n v="2066.27"/>
    <n v="2268.37"/>
    <s v="OK"/>
    <s v=""/>
    <s v="Rent&lt;=0"/>
    <x v="1"/>
    <n v="4334.6399999999994"/>
    <x v="1"/>
    <n v="0"/>
    <s v=""/>
    <x v="8"/>
    <n v="0"/>
  </r>
  <r>
    <x v="4"/>
    <x v="39"/>
    <x v="1"/>
    <x v="39"/>
    <x v="0"/>
    <s v="Tenant_45"/>
    <x v="32"/>
    <n v="201999.12"/>
    <n v="201999.12"/>
    <s v=""/>
    <d v="2023-07-09T00:00:00"/>
    <d v="2024-09-01T00:00:00"/>
    <n v="2746.31"/>
    <n v="926.43"/>
    <s v="OK"/>
    <s v=""/>
    <s v=""/>
    <x v="32"/>
    <n v="3672.74"/>
    <x v="32"/>
    <n v="0"/>
    <s v="0-3 Monaten"/>
    <x v="0"/>
    <n v="1021"/>
  </r>
  <r>
    <x v="0"/>
    <x v="40"/>
    <x v="1"/>
    <x v="40"/>
    <x v="0"/>
    <s v="Tenant_140"/>
    <x v="33"/>
    <n v="9001.7999999999993"/>
    <n v="9001.7999999999993"/>
    <s v=""/>
    <d v="2021-09-23T00:00:00"/>
    <d v="2026-02-16T00:00:00"/>
    <n v="81.709999999999994"/>
    <n v="121.61"/>
    <s v="OK"/>
    <s v=""/>
    <s v=""/>
    <x v="33"/>
    <n v="203.32"/>
    <x v="33"/>
    <n v="0"/>
    <s v="0-3 Monaten"/>
    <x v="0"/>
    <n v="75"/>
  </r>
  <r>
    <x v="5"/>
    <x v="41"/>
    <x v="1"/>
    <x v="41"/>
    <x v="0"/>
    <s v="Tenant_176"/>
    <x v="34"/>
    <n v="84796.800000000003"/>
    <n v="84796.799999999988"/>
    <s v=""/>
    <d v="2022-09-05T00:00:00"/>
    <d v="2023-10-18T00:00:00"/>
    <n v="2000.18"/>
    <n v="1476.66"/>
    <s v="OK"/>
    <s v=""/>
    <s v=""/>
    <x v="34"/>
    <n v="3476.84"/>
    <x v="34"/>
    <n v="0"/>
    <s v="0-3 Monaten"/>
    <x v="0"/>
    <n v="759"/>
  </r>
  <r>
    <x v="4"/>
    <x v="42"/>
    <x v="0"/>
    <x v="42"/>
    <x v="0"/>
    <s v="Tenant_20"/>
    <x v="35"/>
    <n v="113633.04"/>
    <n v="113633.04000000001"/>
    <s v=""/>
    <d v="2023-12-06T00:00:00"/>
    <d v="2027-12-17T00:00:00"/>
    <n v="3056.36"/>
    <n v="1360.97"/>
    <s v="OK"/>
    <s v=""/>
    <s v=""/>
    <x v="35"/>
    <n v="4417.33"/>
    <x v="35"/>
    <n v="21"/>
    <s v="12 M+"/>
    <x v="0"/>
    <n v="1074"/>
  </r>
  <r>
    <x v="0"/>
    <x v="43"/>
    <x v="3"/>
    <x v="43"/>
    <x v="0"/>
    <s v="Tenant_4"/>
    <x v="36"/>
    <n v="187063.8"/>
    <n v="187063.8"/>
    <s v=""/>
    <d v="2022-04-30T00:00:00"/>
    <d v="2022-12-05T00:00:00"/>
    <n v="2765.68"/>
    <n v="615.34"/>
    <s v="OK"/>
    <s v=""/>
    <s v=""/>
    <x v="36"/>
    <n v="3381.02"/>
    <x v="36"/>
    <n v="0"/>
    <s v="0-3 Monaten"/>
    <x v="0"/>
    <n v="1198"/>
  </r>
  <r>
    <x v="5"/>
    <x v="44"/>
    <x v="3"/>
    <x v="44"/>
    <x v="0"/>
    <s v="Tenant_100"/>
    <x v="37"/>
    <n v="205076.28"/>
    <n v="205076.27999999997"/>
    <s v=""/>
    <d v="2021-06-16T00:00:00"/>
    <d v="2022-01-10T00:00:00"/>
    <n v="2260.16"/>
    <n v="1634.85"/>
    <s v="OK"/>
    <s v=""/>
    <s v=""/>
    <x v="37"/>
    <n v="3895.0099999999998"/>
    <x v="37"/>
    <n v="0"/>
    <s v="0-3 Monaten"/>
    <x v="0"/>
    <n v="1315"/>
  </r>
  <r>
    <x v="2"/>
    <x v="45"/>
    <x v="2"/>
    <x v="45"/>
    <x v="0"/>
    <s v="Tenant_69"/>
    <x v="38"/>
    <n v="111514.2"/>
    <n v="111514.20000000001"/>
    <s v=""/>
    <d v="2021-08-13T00:00:00"/>
    <d v="2025-07-24T00:00:00"/>
    <n v="1793.44"/>
    <n v="1129.1500000000001"/>
    <s v="OK"/>
    <s v=""/>
    <s v=""/>
    <x v="38"/>
    <n v="2922.59"/>
    <x v="38"/>
    <n v="0"/>
    <s v="0-3 Monaten"/>
    <x v="0"/>
    <n v="1127"/>
  </r>
  <r>
    <x v="0"/>
    <x v="46"/>
    <x v="3"/>
    <x v="46"/>
    <x v="0"/>
    <s v="Tenant_103"/>
    <x v="39"/>
    <n v="255960.12"/>
    <n v="255960.12"/>
    <s v=""/>
    <d v="2022-07-30T00:00:00"/>
    <d v="2024-03-19T00:00:00"/>
    <n v="2690.54"/>
    <n v="1938.54"/>
    <s v="OK"/>
    <s v=""/>
    <s v=""/>
    <x v="39"/>
    <n v="4629.08"/>
    <x v="39"/>
    <n v="0"/>
    <s v="0-3 Monaten"/>
    <x v="0"/>
    <n v="1449"/>
  </r>
  <r>
    <x v="6"/>
    <x v="47"/>
    <x v="0"/>
    <x v="47"/>
    <x v="0"/>
    <s v="Tenant_176"/>
    <x v="40"/>
    <n v="8070.6"/>
    <n v="8070.5999999999995"/>
    <s v=""/>
    <d v="2021-06-25T00:00:00"/>
    <d v="2023-08-18T00:00:00"/>
    <n v="73.95"/>
    <n v="63.19"/>
    <s v="OK"/>
    <s v=""/>
    <s v=""/>
    <x v="40"/>
    <n v="137.13999999999999"/>
    <x v="40"/>
    <n v="0"/>
    <s v="0-3 Monaten"/>
    <x v="0"/>
    <n v="45"/>
  </r>
  <r>
    <x v="7"/>
    <x v="48"/>
    <x v="3"/>
    <x v="48"/>
    <x v="0"/>
    <s v="Tenant_94"/>
    <x v="41"/>
    <n v="39961.56"/>
    <n v="39961.56"/>
    <s v=""/>
    <d v="2021-06-26T00:00:00"/>
    <d v="2023-05-13T00:00:00"/>
    <n v="881.01"/>
    <n v="774"/>
    <s v="OK"/>
    <s v=""/>
    <s v=""/>
    <x v="41"/>
    <n v="1655.01"/>
    <x v="41"/>
    <n v="0"/>
    <s v="0-3 Monaten"/>
    <x v="0"/>
    <n v="324"/>
  </r>
  <r>
    <x v="1"/>
    <x v="49"/>
    <x v="0"/>
    <x v="49"/>
    <x v="0"/>
    <s v="Tenant_140"/>
    <x v="42"/>
    <n v="168151.2"/>
    <n v="168151.2"/>
    <s v=""/>
    <d v="2023-05-26T00:00:00"/>
    <d v="2025-02-18T00:00:00"/>
    <n v="2978.05"/>
    <n v="2596.29"/>
    <s v="OK"/>
    <s v=""/>
    <s v=""/>
    <x v="42"/>
    <n v="5574.34"/>
    <x v="42"/>
    <n v="0"/>
    <s v="0-3 Monaten"/>
    <x v="0"/>
    <n v="1278"/>
  </r>
  <r>
    <x v="2"/>
    <x v="50"/>
    <x v="2"/>
    <x v="45"/>
    <x v="0"/>
    <s v="Tenant_118"/>
    <x v="43"/>
    <n v="123950.64"/>
    <n v="123950.63999999998"/>
    <s v=""/>
    <d v="2023-11-13T00:00:00"/>
    <d v="2028-09-24T00:00:00"/>
    <n v="1359.55"/>
    <n v="1127.1199999999999"/>
    <s v="OK"/>
    <s v=""/>
    <s v=""/>
    <x v="43"/>
    <n v="2486.67"/>
    <x v="43"/>
    <n v="31"/>
    <s v="12 M+"/>
    <x v="0"/>
    <n v="1127"/>
  </r>
  <r>
    <x v="3"/>
    <x v="51"/>
    <x v="2"/>
    <x v="50"/>
    <x v="1"/>
    <m/>
    <x v="1"/>
    <n v="0"/>
    <n v="0"/>
    <s v=""/>
    <m/>
    <m/>
    <n v="265.77999999999997"/>
    <n v="164.88"/>
    <s v="OK"/>
    <s v=""/>
    <s v="Rent&lt;=0"/>
    <x v="1"/>
    <n v="430.65999999999997"/>
    <x v="1"/>
    <n v="0"/>
    <s v=""/>
    <x v="9"/>
    <n v="0"/>
  </r>
  <r>
    <x v="4"/>
    <x v="52"/>
    <x v="3"/>
    <x v="51"/>
    <x v="0"/>
    <s v="Tenant_164"/>
    <x v="44"/>
    <n v="91071.24"/>
    <n v="91071.24"/>
    <s v=""/>
    <d v="2023-05-09T00:00:00"/>
    <d v="2025-02-27T00:00:00"/>
    <n v="2538.62"/>
    <n v="533.03"/>
    <s v="OK"/>
    <s v=""/>
    <s v=""/>
    <x v="44"/>
    <n v="3071.6499999999996"/>
    <x v="44"/>
    <n v="0"/>
    <s v="0-3 Monaten"/>
    <x v="0"/>
    <n v="919"/>
  </r>
  <r>
    <x v="6"/>
    <x v="53"/>
    <x v="3"/>
    <x v="52"/>
    <x v="0"/>
    <s v="Tenant_132"/>
    <x v="45"/>
    <n v="13883.52"/>
    <n v="13883.52"/>
    <s v=""/>
    <d v="2022-06-09T00:00:00"/>
    <d v="2026-02-02T00:00:00"/>
    <n v="342.65"/>
    <n v="304.57"/>
    <s v="OK"/>
    <s v=""/>
    <s v=""/>
    <x v="45"/>
    <n v="647.22"/>
    <x v="45"/>
    <n v="0"/>
    <s v="0-3 Monaten"/>
    <x v="0"/>
    <n v="124"/>
  </r>
  <r>
    <x v="5"/>
    <x v="54"/>
    <x v="2"/>
    <x v="53"/>
    <x v="1"/>
    <m/>
    <x v="1"/>
    <n v="0"/>
    <n v="0"/>
    <s v=""/>
    <m/>
    <m/>
    <n v="579.84"/>
    <n v="241.56"/>
    <s v="OK"/>
    <s v=""/>
    <s v="Rent&lt;=0"/>
    <x v="1"/>
    <n v="821.40000000000009"/>
    <x v="1"/>
    <n v="0"/>
    <s v=""/>
    <x v="10"/>
    <n v="0"/>
  </r>
  <r>
    <x v="4"/>
    <x v="55"/>
    <x v="2"/>
    <x v="54"/>
    <x v="0"/>
    <s v="Tenant_91"/>
    <x v="46"/>
    <n v="85263.360000000001"/>
    <n v="85263.360000000001"/>
    <s v=""/>
    <d v="2021-07-07T00:00:00"/>
    <d v="2024-10-17T00:00:00"/>
    <n v="718.88"/>
    <n v="844.73"/>
    <s v="OK"/>
    <s v=""/>
    <s v=""/>
    <x v="46"/>
    <n v="1563.6100000000001"/>
    <x v="46"/>
    <n v="0"/>
    <s v="0-3 Monaten"/>
    <x v="0"/>
    <n v="536"/>
  </r>
  <r>
    <x v="3"/>
    <x v="56"/>
    <x v="2"/>
    <x v="55"/>
    <x v="0"/>
    <s v="Tenant_51"/>
    <x v="47"/>
    <n v="113288.28"/>
    <n v="113288.28"/>
    <s v=""/>
    <d v="2022-04-12T00:00:00"/>
    <d v="2024-12-12T00:00:00"/>
    <n v="1382.89"/>
    <n v="1256.8599999999999"/>
    <s v="OK"/>
    <s v=""/>
    <s v=""/>
    <x v="47"/>
    <n v="2639.75"/>
    <x v="47"/>
    <n v="0"/>
    <s v="0-3 Monaten"/>
    <x v="0"/>
    <n v="1342"/>
  </r>
  <r>
    <x v="0"/>
    <x v="57"/>
    <x v="1"/>
    <x v="56"/>
    <x v="0"/>
    <s v="Tenant_114"/>
    <x v="48"/>
    <n v="14346.12"/>
    <n v="14346.119999999999"/>
    <s v=""/>
    <d v="2022-01-10T00:00:00"/>
    <d v="2022-10-19T00:00:00"/>
    <n v="395.43"/>
    <n v="193.1"/>
    <s v="OK"/>
    <s v=""/>
    <s v=""/>
    <x v="48"/>
    <n v="588.53"/>
    <x v="48"/>
    <n v="0"/>
    <s v="0-3 Monaten"/>
    <x v="0"/>
    <n v="182"/>
  </r>
  <r>
    <x v="6"/>
    <x v="58"/>
    <x v="0"/>
    <x v="57"/>
    <x v="0"/>
    <s v="Tenant_121"/>
    <x v="49"/>
    <n v="179567.88"/>
    <n v="179567.88"/>
    <s v=""/>
    <d v="2023-05-08T00:00:00"/>
    <d v="2027-12-12T00:00:00"/>
    <n v="1798.2"/>
    <n v="1220.48"/>
    <s v="OK"/>
    <s v=""/>
    <s v=""/>
    <x v="49"/>
    <n v="3018.6800000000003"/>
    <x v="49"/>
    <n v="21"/>
    <s v="12 M+"/>
    <x v="0"/>
    <n v="863"/>
  </r>
  <r>
    <x v="4"/>
    <x v="59"/>
    <x v="3"/>
    <x v="58"/>
    <x v="1"/>
    <m/>
    <x v="1"/>
    <n v="0"/>
    <n v="0"/>
    <s v=""/>
    <m/>
    <m/>
    <n v="3737.68"/>
    <n v="3017.46"/>
    <s v="OK"/>
    <s v=""/>
    <s v="Rent&lt;=0"/>
    <x v="1"/>
    <n v="6755.1399999999994"/>
    <x v="1"/>
    <n v="0"/>
    <s v=""/>
    <x v="11"/>
    <n v="0"/>
  </r>
  <r>
    <x v="4"/>
    <x v="60"/>
    <x v="2"/>
    <x v="59"/>
    <x v="0"/>
    <s v="Tenant_189"/>
    <x v="50"/>
    <n v="67735.08"/>
    <n v="67735.08"/>
    <s v=""/>
    <d v="2023-10-17T00:00:00"/>
    <d v="2028-02-06T00:00:00"/>
    <n v="1776.55"/>
    <n v="1574.09"/>
    <s v="OK"/>
    <s v=""/>
    <s v=""/>
    <x v="50"/>
    <n v="3350.64"/>
    <x v="50"/>
    <n v="23"/>
    <s v="12 M+"/>
    <x v="0"/>
    <n v="703"/>
  </r>
  <r>
    <x v="3"/>
    <x v="61"/>
    <x v="2"/>
    <x v="60"/>
    <x v="0"/>
    <s v="Tenant_177"/>
    <x v="51"/>
    <n v="178777.2"/>
    <n v="178777.2"/>
    <s v=""/>
    <d v="2023-10-09T00:00:00"/>
    <d v="2025-10-29T00:00:00"/>
    <n v="1650.48"/>
    <n v="2900.02"/>
    <s v="OK"/>
    <s v=""/>
    <s v=""/>
    <x v="51"/>
    <n v="4550.5"/>
    <x v="51"/>
    <n v="0"/>
    <s v="0-3 Monaten"/>
    <x v="0"/>
    <n v="1184"/>
  </r>
  <r>
    <x v="3"/>
    <x v="62"/>
    <x v="2"/>
    <x v="61"/>
    <x v="0"/>
    <s v="Tenant_43"/>
    <x v="52"/>
    <n v="166359.96"/>
    <n v="166359.96"/>
    <s v=""/>
    <d v="2023-04-19T00:00:00"/>
    <d v="2024-09-16T00:00:00"/>
    <n v="2218.8000000000002"/>
    <n v="527.19000000000005"/>
    <s v="OK"/>
    <s v=""/>
    <s v=""/>
    <x v="52"/>
    <n v="2745.9900000000002"/>
    <x v="52"/>
    <n v="0"/>
    <s v="0-3 Monaten"/>
    <x v="0"/>
    <n v="782"/>
  </r>
  <r>
    <x v="1"/>
    <x v="63"/>
    <x v="3"/>
    <x v="62"/>
    <x v="0"/>
    <s v="Tenant_95"/>
    <x v="53"/>
    <n v="64524.36"/>
    <n v="64524.36"/>
    <s v=""/>
    <d v="2021-07-13T00:00:00"/>
    <d v="2025-10-12T00:00:00"/>
    <n v="842.2"/>
    <n v="229.69"/>
    <s v="OK"/>
    <s v=""/>
    <s v=""/>
    <x v="53"/>
    <n v="1071.8900000000001"/>
    <x v="53"/>
    <n v="0"/>
    <s v="0-3 Monaten"/>
    <x v="0"/>
    <n v="427"/>
  </r>
  <r>
    <x v="2"/>
    <x v="64"/>
    <x v="1"/>
    <x v="63"/>
    <x v="0"/>
    <s v="Tenant_20"/>
    <x v="54"/>
    <n v="56997.36"/>
    <n v="56997.36"/>
    <s v=""/>
    <d v="2022-06-06T00:00:00"/>
    <d v="2023-07-27T00:00:00"/>
    <n v="901.71"/>
    <n v="844.76"/>
    <s v="OK"/>
    <s v=""/>
    <s v=""/>
    <x v="54"/>
    <n v="1746.47"/>
    <x v="54"/>
    <n v="0"/>
    <s v="0-3 Monaten"/>
    <x v="0"/>
    <n v="505"/>
  </r>
  <r>
    <x v="2"/>
    <x v="65"/>
    <x v="2"/>
    <x v="64"/>
    <x v="0"/>
    <s v="Tenant_94"/>
    <x v="55"/>
    <n v="103916.04"/>
    <n v="103916.04000000001"/>
    <s v=""/>
    <d v="2023-10-04T00:00:00"/>
    <d v="2026-04-22T00:00:00"/>
    <n v="2075.9299999999998"/>
    <n v="1097.98"/>
    <s v="OK"/>
    <s v=""/>
    <s v=""/>
    <x v="55"/>
    <n v="3173.91"/>
    <x v="55"/>
    <n v="2"/>
    <s v="0-3 Monaten"/>
    <x v="0"/>
    <n v="706"/>
  </r>
  <r>
    <x v="2"/>
    <x v="66"/>
    <x v="1"/>
    <x v="65"/>
    <x v="0"/>
    <s v="Tenant_25"/>
    <x v="56"/>
    <n v="150486.35999999999"/>
    <n v="150486.36000000002"/>
    <s v=""/>
    <d v="2023-02-26T00:00:00"/>
    <d v="2028-02-10T00:00:00"/>
    <n v="2397.09"/>
    <n v="1941.58"/>
    <s v="OK"/>
    <s v=""/>
    <s v=""/>
    <x v="56"/>
    <n v="4338.67"/>
    <x v="56"/>
    <n v="23"/>
    <s v="12 M+"/>
    <x v="0"/>
    <n v="866"/>
  </r>
  <r>
    <x v="6"/>
    <x v="67"/>
    <x v="1"/>
    <x v="66"/>
    <x v="0"/>
    <s v="Tenant_114"/>
    <x v="57"/>
    <n v="193733.16"/>
    <n v="193733.16"/>
    <s v=""/>
    <d v="2021-08-27T00:00:00"/>
    <d v="2023-07-12T00:00:00"/>
    <n v="3629.66"/>
    <n v="833.68"/>
    <s v="OK"/>
    <s v=""/>
    <s v=""/>
    <x v="57"/>
    <n v="4463.34"/>
    <x v="57"/>
    <n v="0"/>
    <s v="0-3 Monaten"/>
    <x v="0"/>
    <n v="1372"/>
  </r>
  <r>
    <x v="1"/>
    <x v="68"/>
    <x v="0"/>
    <x v="67"/>
    <x v="0"/>
    <s v="Tenant_87"/>
    <x v="58"/>
    <n v="179411.52"/>
    <n v="179411.52"/>
    <s v=""/>
    <d v="2022-02-26T00:00:00"/>
    <d v="2027-01-27T00:00:00"/>
    <n v="2328.38"/>
    <n v="1199.33"/>
    <s v="OK"/>
    <s v=""/>
    <s v=""/>
    <x v="58"/>
    <n v="3527.71"/>
    <x v="58"/>
    <n v="11"/>
    <s v="6-12 Monaten"/>
    <x v="0"/>
    <n v="1200"/>
  </r>
  <r>
    <x v="2"/>
    <x v="69"/>
    <x v="1"/>
    <x v="68"/>
    <x v="0"/>
    <s v="Tenant_180"/>
    <x v="59"/>
    <n v="92340.84"/>
    <n v="92340.84"/>
    <s v=""/>
    <d v="2022-08-26T00:00:00"/>
    <d v="2026-08-20T00:00:00"/>
    <n v="809.95"/>
    <n v="1409.29"/>
    <s v="OK"/>
    <s v=""/>
    <s v=""/>
    <x v="59"/>
    <n v="2219.2399999999998"/>
    <x v="59"/>
    <n v="6"/>
    <s v="3-6 Monaten"/>
    <x v="0"/>
    <n v="615"/>
  </r>
  <r>
    <x v="7"/>
    <x v="70"/>
    <x v="1"/>
    <x v="69"/>
    <x v="0"/>
    <s v="Tenant_197"/>
    <x v="60"/>
    <n v="149163.6"/>
    <n v="149163.59999999998"/>
    <s v=""/>
    <d v="2022-03-30T00:00:00"/>
    <d v="2023-12-30T00:00:00"/>
    <n v="1812.45"/>
    <n v="1927.42"/>
    <s v="OK"/>
    <s v=""/>
    <s v=""/>
    <x v="60"/>
    <n v="3739.87"/>
    <x v="60"/>
    <n v="0"/>
    <s v="0-3 Monaten"/>
    <x v="0"/>
    <n v="774"/>
  </r>
  <r>
    <x v="7"/>
    <x v="71"/>
    <x v="2"/>
    <x v="70"/>
    <x v="0"/>
    <s v="Tenant_15"/>
    <x v="61"/>
    <n v="74755.56"/>
    <n v="74755.56"/>
    <s v=""/>
    <d v="2023-08-28T00:00:00"/>
    <d v="2024-03-23T00:00:00"/>
    <n v="839.05"/>
    <n v="1029.51"/>
    <s v="OK"/>
    <s v=""/>
    <s v=""/>
    <x v="61"/>
    <n v="1868.56"/>
    <x v="61"/>
    <n v="0"/>
    <s v="0-3 Monaten"/>
    <x v="0"/>
    <n v="459"/>
  </r>
  <r>
    <x v="0"/>
    <x v="72"/>
    <x v="1"/>
    <x v="71"/>
    <x v="1"/>
    <m/>
    <x v="1"/>
    <n v="0"/>
    <n v="0"/>
    <s v=""/>
    <m/>
    <m/>
    <n v="1487.73"/>
    <n v="523.38"/>
    <s v="OK"/>
    <s v=""/>
    <s v="Rent&lt;=0"/>
    <x v="1"/>
    <n v="2011.1100000000001"/>
    <x v="1"/>
    <n v="0"/>
    <s v=""/>
    <x v="12"/>
    <n v="0"/>
  </r>
  <r>
    <x v="5"/>
    <x v="73"/>
    <x v="0"/>
    <x v="72"/>
    <x v="0"/>
    <s v="Tenant_146"/>
    <x v="62"/>
    <n v="109182.72"/>
    <n v="109182.72"/>
    <s v=""/>
    <d v="2021-11-18T00:00:00"/>
    <d v="2025-11-28T00:00:00"/>
    <n v="3035.81"/>
    <n v="789.26"/>
    <s v="OK"/>
    <s v=""/>
    <s v=""/>
    <x v="62"/>
    <n v="3825.0699999999997"/>
    <x v="62"/>
    <n v="0"/>
    <s v="0-3 Monaten"/>
    <x v="0"/>
    <n v="1369"/>
  </r>
  <r>
    <x v="4"/>
    <x v="74"/>
    <x v="0"/>
    <x v="73"/>
    <x v="1"/>
    <m/>
    <x v="1"/>
    <n v="0"/>
    <n v="0"/>
    <s v=""/>
    <m/>
    <m/>
    <n v="1460.01"/>
    <n v="1920.7"/>
    <s v="OK"/>
    <s v=""/>
    <s v="Rent&lt;=0"/>
    <x v="1"/>
    <n v="3380.71"/>
    <x v="1"/>
    <n v="0"/>
    <s v=""/>
    <x v="13"/>
    <n v="0"/>
  </r>
  <r>
    <x v="3"/>
    <x v="75"/>
    <x v="2"/>
    <x v="74"/>
    <x v="0"/>
    <s v="Tenant_162"/>
    <x v="63"/>
    <n v="204135.84"/>
    <n v="204135.84"/>
    <s v=""/>
    <d v="2022-03-02T00:00:00"/>
    <d v="2025-11-01T00:00:00"/>
    <n v="2542.87"/>
    <n v="1820.53"/>
    <s v="OK"/>
    <s v=""/>
    <s v=""/>
    <x v="63"/>
    <n v="4363.3999999999996"/>
    <x v="63"/>
    <n v="0"/>
    <s v="0-3 Monaten"/>
    <x v="0"/>
    <n v="993"/>
  </r>
  <r>
    <x v="3"/>
    <x v="76"/>
    <x v="1"/>
    <x v="75"/>
    <x v="0"/>
    <s v="Tenant_78"/>
    <x v="64"/>
    <n v="132655.20000000001"/>
    <n v="132655.20000000001"/>
    <s v=""/>
    <d v="2022-03-19T00:00:00"/>
    <d v="2023-04-04T00:00:00"/>
    <n v="1524.91"/>
    <n v="789.8"/>
    <s v="OK"/>
    <s v=""/>
    <s v=""/>
    <x v="64"/>
    <n v="2314.71"/>
    <x v="64"/>
    <n v="0"/>
    <s v="0-3 Monaten"/>
    <x v="0"/>
    <n v="1099"/>
  </r>
  <r>
    <x v="3"/>
    <x v="77"/>
    <x v="1"/>
    <x v="76"/>
    <x v="0"/>
    <s v="Tenant_169"/>
    <x v="65"/>
    <n v="168531.48"/>
    <n v="168531.48"/>
    <s v=""/>
    <d v="2022-03-28T00:00:00"/>
    <d v="2024-12-28T00:00:00"/>
    <n v="1699.11"/>
    <n v="726.23"/>
    <s v="OK"/>
    <s v=""/>
    <s v=""/>
    <x v="65"/>
    <n v="2425.34"/>
    <x v="65"/>
    <n v="0"/>
    <s v="0-3 Monaten"/>
    <x v="0"/>
    <n v="943"/>
  </r>
  <r>
    <x v="3"/>
    <x v="78"/>
    <x v="2"/>
    <x v="77"/>
    <x v="0"/>
    <s v="Tenant_137"/>
    <x v="66"/>
    <n v="166795.32"/>
    <n v="166795.32"/>
    <s v=""/>
    <d v="2022-01-21T00:00:00"/>
    <d v="2023-03-16T00:00:00"/>
    <n v="4141.54"/>
    <n v="1746.2"/>
    <s v="OK"/>
    <s v=""/>
    <s v=""/>
    <x v="66"/>
    <n v="5887.74"/>
    <x v="66"/>
    <n v="0"/>
    <s v="0-3 Monaten"/>
    <x v="0"/>
    <n v="1382"/>
  </r>
  <r>
    <x v="0"/>
    <x v="79"/>
    <x v="0"/>
    <x v="78"/>
    <x v="0"/>
    <s v="Tenant_199"/>
    <x v="67"/>
    <n v="175981.44"/>
    <n v="175981.44"/>
    <s v=""/>
    <d v="2021-10-20T00:00:00"/>
    <d v="2023-12-19T00:00:00"/>
    <n v="2450.9499999999998"/>
    <n v="1901.64"/>
    <s v="OK"/>
    <s v=""/>
    <s v=""/>
    <x v="67"/>
    <n v="4352.59"/>
    <x v="67"/>
    <n v="0"/>
    <s v="0-3 Monaten"/>
    <x v="0"/>
    <n v="1269"/>
  </r>
  <r>
    <x v="3"/>
    <x v="80"/>
    <x v="0"/>
    <x v="79"/>
    <x v="0"/>
    <s v="Tenant_75"/>
    <x v="68"/>
    <n v="128103.84"/>
    <n v="128103.84"/>
    <s v=""/>
    <d v="2021-07-27T00:00:00"/>
    <d v="2026-04-24T00:00:00"/>
    <n v="2337.38"/>
    <n v="1229.04"/>
    <s v="OK"/>
    <s v=""/>
    <s v=""/>
    <x v="68"/>
    <n v="3566.42"/>
    <x v="68"/>
    <n v="2"/>
    <s v="0-3 Monaten"/>
    <x v="0"/>
    <n v="810"/>
  </r>
  <r>
    <x v="0"/>
    <x v="81"/>
    <x v="3"/>
    <x v="80"/>
    <x v="0"/>
    <s v="Tenant_154"/>
    <x v="69"/>
    <n v="24009.119999999999"/>
    <n v="24009.119999999999"/>
    <s v=""/>
    <d v="2023-08-15T00:00:00"/>
    <d v="2027-05-02T00:00:00"/>
    <n v="591.83000000000004"/>
    <n v="527.71"/>
    <s v="OK"/>
    <s v=""/>
    <s v=""/>
    <x v="69"/>
    <n v="1119.54"/>
    <x v="69"/>
    <n v="14"/>
    <s v="12 M+"/>
    <x v="0"/>
    <n v="264"/>
  </r>
  <r>
    <x v="2"/>
    <x v="82"/>
    <x v="3"/>
    <x v="81"/>
    <x v="0"/>
    <s v="Tenant_14"/>
    <x v="70"/>
    <n v="211150.92"/>
    <n v="211150.91999999998"/>
    <s v=""/>
    <d v="2023-01-13T00:00:00"/>
    <d v="2024-10-16T00:00:00"/>
    <n v="2899.64"/>
    <n v="1582.88"/>
    <s v="OK"/>
    <s v=""/>
    <s v=""/>
    <x v="70"/>
    <n v="4482.5200000000004"/>
    <x v="70"/>
    <n v="0"/>
    <s v="0-3 Monaten"/>
    <x v="0"/>
    <n v="1027"/>
  </r>
  <r>
    <x v="5"/>
    <x v="83"/>
    <x v="3"/>
    <x v="82"/>
    <x v="0"/>
    <s v="Tenant_12"/>
    <x v="71"/>
    <n v="58259.64"/>
    <n v="58259.64"/>
    <s v=""/>
    <d v="2021-12-27T00:00:00"/>
    <d v="2026-05-11T00:00:00"/>
    <n v="1101.52"/>
    <n v="1322.23"/>
    <s v="OK"/>
    <s v=""/>
    <s v=""/>
    <x v="71"/>
    <n v="2423.75"/>
    <x v="71"/>
    <n v="2"/>
    <s v="0-3 Monaten"/>
    <x v="0"/>
    <n v="532"/>
  </r>
  <r>
    <x v="2"/>
    <x v="84"/>
    <x v="3"/>
    <x v="83"/>
    <x v="1"/>
    <m/>
    <x v="1"/>
    <n v="0"/>
    <n v="0"/>
    <s v=""/>
    <m/>
    <m/>
    <n v="1920.99"/>
    <n v="428.76"/>
    <s v="OK"/>
    <s v=""/>
    <s v="Rent&lt;=0"/>
    <x v="1"/>
    <n v="2349.75"/>
    <x v="1"/>
    <n v="0"/>
    <s v=""/>
    <x v="14"/>
    <n v="0"/>
  </r>
  <r>
    <x v="3"/>
    <x v="85"/>
    <x v="2"/>
    <x v="49"/>
    <x v="0"/>
    <s v="Tenant_200"/>
    <x v="72"/>
    <n v="267938.76"/>
    <n v="267938.76"/>
    <s v=""/>
    <d v="2023-11-05T00:00:00"/>
    <d v="2025-01-22T00:00:00"/>
    <n v="1461.39"/>
    <n v="1872.63"/>
    <s v="OK"/>
    <s v=""/>
    <s v=""/>
    <x v="72"/>
    <n v="3334.0200000000004"/>
    <x v="72"/>
    <n v="0"/>
    <s v="0-3 Monaten"/>
    <x v="0"/>
    <n v="1278"/>
  </r>
  <r>
    <x v="4"/>
    <x v="86"/>
    <x v="2"/>
    <x v="84"/>
    <x v="0"/>
    <s v="Tenant_95"/>
    <x v="73"/>
    <n v="263260.44"/>
    <n v="263260.44"/>
    <s v=""/>
    <d v="2022-02-19T00:00:00"/>
    <d v="2023-12-22T00:00:00"/>
    <n v="1656.17"/>
    <n v="2373.21"/>
    <s v="OK"/>
    <s v=""/>
    <s v=""/>
    <x v="73"/>
    <n v="4029.38"/>
    <x v="73"/>
    <n v="0"/>
    <s v="0-3 Monaten"/>
    <x v="0"/>
    <n v="1251"/>
  </r>
  <r>
    <x v="6"/>
    <x v="87"/>
    <x v="2"/>
    <x v="85"/>
    <x v="1"/>
    <m/>
    <x v="1"/>
    <n v="0"/>
    <n v="0"/>
    <s v=""/>
    <m/>
    <m/>
    <n v="3277.63"/>
    <n v="1764.78"/>
    <s v="OK"/>
    <s v=""/>
    <s v="Rent&lt;=0"/>
    <x v="1"/>
    <n v="5042.41"/>
    <x v="1"/>
    <n v="0"/>
    <s v=""/>
    <x v="15"/>
    <n v="0"/>
  </r>
  <r>
    <x v="4"/>
    <x v="88"/>
    <x v="2"/>
    <x v="86"/>
    <x v="0"/>
    <s v="Tenant_99"/>
    <x v="74"/>
    <n v="43412.639999999999"/>
    <n v="43412.639999999999"/>
    <s v=""/>
    <d v="2021-08-19T00:00:00"/>
    <d v="2022-12-17T00:00:00"/>
    <n v="414.92"/>
    <n v="378.34"/>
    <s v="OK"/>
    <s v=""/>
    <s v=""/>
    <x v="74"/>
    <n v="793.26"/>
    <x v="74"/>
    <n v="0"/>
    <s v="0-3 Monaten"/>
    <x v="0"/>
    <n v="261"/>
  </r>
  <r>
    <x v="5"/>
    <x v="89"/>
    <x v="2"/>
    <x v="87"/>
    <x v="0"/>
    <s v="Tenant_1"/>
    <x v="75"/>
    <n v="98770.44"/>
    <n v="98770.44"/>
    <s v=""/>
    <d v="2023-07-17T00:00:00"/>
    <d v="2025-10-04T00:00:00"/>
    <n v="3281.53"/>
    <n v="1861.45"/>
    <s v="OK"/>
    <s v=""/>
    <s v=""/>
    <x v="75"/>
    <n v="5142.9800000000005"/>
    <x v="75"/>
    <n v="0"/>
    <s v="0-3 Monaten"/>
    <x v="0"/>
    <n v="1123"/>
  </r>
  <r>
    <x v="3"/>
    <x v="90"/>
    <x v="3"/>
    <x v="88"/>
    <x v="0"/>
    <s v="Tenant_135"/>
    <x v="76"/>
    <n v="180247.56"/>
    <n v="180247.56"/>
    <s v=""/>
    <d v="2022-12-01T00:00:00"/>
    <d v="2027-09-17T00:00:00"/>
    <n v="3865.96"/>
    <n v="2717.32"/>
    <s v="OK"/>
    <s v=""/>
    <s v=""/>
    <x v="76"/>
    <n v="6583.2800000000007"/>
    <x v="76"/>
    <n v="18"/>
    <s v="12 M+"/>
    <x v="0"/>
    <n v="1373"/>
  </r>
  <r>
    <x v="7"/>
    <x v="91"/>
    <x v="0"/>
    <x v="89"/>
    <x v="0"/>
    <s v="Tenant_31"/>
    <x v="77"/>
    <n v="33014.879999999997"/>
    <n v="33014.879999999997"/>
    <s v=""/>
    <d v="2022-08-27T00:00:00"/>
    <d v="2025-02-01T00:00:00"/>
    <n v="639.9"/>
    <n v="403.5"/>
    <s v="OK"/>
    <s v=""/>
    <s v=""/>
    <x v="77"/>
    <n v="1043.4000000000001"/>
    <x v="77"/>
    <n v="0"/>
    <s v="0-3 Monaten"/>
    <x v="0"/>
    <n v="231"/>
  </r>
  <r>
    <x v="4"/>
    <x v="92"/>
    <x v="1"/>
    <x v="90"/>
    <x v="0"/>
    <s v="Tenant_73"/>
    <x v="78"/>
    <n v="79853.88"/>
    <n v="79853.88"/>
    <s v=""/>
    <d v="2022-05-12T00:00:00"/>
    <d v="2022-12-29T00:00:00"/>
    <n v="1631.69"/>
    <n v="872.68"/>
    <s v="OK"/>
    <s v=""/>
    <s v=""/>
    <x v="78"/>
    <n v="2504.37"/>
    <x v="78"/>
    <n v="0"/>
    <s v="0-3 Monaten"/>
    <x v="0"/>
    <n v="1023"/>
  </r>
  <r>
    <x v="7"/>
    <x v="93"/>
    <x v="1"/>
    <x v="91"/>
    <x v="0"/>
    <s v="Tenant_35"/>
    <x v="79"/>
    <n v="57991.08"/>
    <n v="57991.08"/>
    <s v=""/>
    <d v="2022-04-14T00:00:00"/>
    <d v="2027-01-09T00:00:00"/>
    <n v="757.5"/>
    <n v="752.15"/>
    <s v="OK"/>
    <s v=""/>
    <s v=""/>
    <x v="79"/>
    <n v="1509.65"/>
    <x v="79"/>
    <n v="10"/>
    <s v="6-12 Monaten"/>
    <x v="0"/>
    <n v="497"/>
  </r>
  <r>
    <x v="7"/>
    <x v="94"/>
    <x v="1"/>
    <x v="92"/>
    <x v="1"/>
    <m/>
    <x v="1"/>
    <n v="0"/>
    <n v="0"/>
    <s v=""/>
    <m/>
    <m/>
    <n v="1683.4"/>
    <n v="1169.6500000000001"/>
    <s v="OK"/>
    <s v=""/>
    <s v="Rent&lt;=0"/>
    <x v="1"/>
    <n v="2853.05"/>
    <x v="1"/>
    <n v="0"/>
    <s v=""/>
    <x v="16"/>
    <n v="0"/>
  </r>
  <r>
    <x v="5"/>
    <x v="95"/>
    <x v="0"/>
    <x v="93"/>
    <x v="0"/>
    <s v="Tenant_139"/>
    <x v="80"/>
    <n v="124326.48"/>
    <n v="124326.48000000001"/>
    <s v=""/>
    <d v="2023-01-29T00:00:00"/>
    <d v="2025-10-07T00:00:00"/>
    <n v="1006.94"/>
    <n v="2024.53"/>
    <s v="OK"/>
    <s v=""/>
    <s v=""/>
    <x v="80"/>
    <n v="3031.4700000000003"/>
    <x v="80"/>
    <n v="0"/>
    <s v="0-3 Monaten"/>
    <x v="0"/>
    <n v="849"/>
  </r>
  <r>
    <x v="4"/>
    <x v="96"/>
    <x v="2"/>
    <x v="94"/>
    <x v="0"/>
    <s v="Tenant_197"/>
    <x v="81"/>
    <n v="209172.84"/>
    <n v="209172.84"/>
    <s v=""/>
    <d v="2022-05-04T00:00:00"/>
    <d v="2026-12-07T00:00:00"/>
    <n v="1941.25"/>
    <n v="1585.33"/>
    <s v="OK"/>
    <s v=""/>
    <s v=""/>
    <x v="81"/>
    <n v="3526.58"/>
    <x v="81"/>
    <n v="9"/>
    <s v="6-12 Monaten"/>
    <x v="0"/>
    <n v="1344"/>
  </r>
  <r>
    <x v="2"/>
    <x v="97"/>
    <x v="3"/>
    <x v="95"/>
    <x v="0"/>
    <s v="Tenant_138"/>
    <x v="82"/>
    <n v="9871.44"/>
    <n v="9871.44"/>
    <s v=""/>
    <d v="2022-12-20T00:00:00"/>
    <d v="2027-03-20T00:00:00"/>
    <n v="223.71"/>
    <n v="73.53"/>
    <s v="OK"/>
    <s v=""/>
    <s v=""/>
    <x v="82"/>
    <n v="297.24"/>
    <x v="82"/>
    <n v="13"/>
    <s v="12 M+"/>
    <x v="0"/>
    <n v="116"/>
  </r>
  <r>
    <x v="7"/>
    <x v="98"/>
    <x v="1"/>
    <x v="96"/>
    <x v="0"/>
    <s v="Tenant_13"/>
    <x v="83"/>
    <n v="33641.879999999997"/>
    <n v="33641.879999999997"/>
    <s v=""/>
    <d v="2021-08-19T00:00:00"/>
    <d v="2024-11-16T00:00:00"/>
    <n v="539.13"/>
    <n v="268.35000000000002"/>
    <s v="OK"/>
    <s v=""/>
    <s v=""/>
    <x v="83"/>
    <n v="807.48"/>
    <x v="83"/>
    <n v="0"/>
    <s v="0-3 Monaten"/>
    <x v="0"/>
    <n v="183"/>
  </r>
  <r>
    <x v="1"/>
    <x v="99"/>
    <x v="2"/>
    <x v="97"/>
    <x v="1"/>
    <m/>
    <x v="1"/>
    <n v="0"/>
    <n v="0"/>
    <s v=""/>
    <m/>
    <m/>
    <n v="3231.81"/>
    <n v="1310.99"/>
    <s v="OK"/>
    <s v=""/>
    <s v="Rent&lt;=0"/>
    <x v="1"/>
    <n v="4542.8"/>
    <x v="1"/>
    <n v="0"/>
    <s v=""/>
    <x v="17"/>
    <n v="0"/>
  </r>
  <r>
    <x v="5"/>
    <x v="100"/>
    <x v="0"/>
    <x v="98"/>
    <x v="0"/>
    <s v="Tenant_20"/>
    <x v="84"/>
    <n v="178299.84"/>
    <n v="178299.84"/>
    <s v=""/>
    <d v="2022-01-15T00:00:00"/>
    <d v="2025-02-03T00:00:00"/>
    <n v="2502.0500000000002"/>
    <n v="1156.8399999999999"/>
    <s v="OK"/>
    <s v=""/>
    <s v=""/>
    <x v="84"/>
    <n v="3658.8900000000003"/>
    <x v="84"/>
    <n v="0"/>
    <s v="0-3 Monaten"/>
    <x v="0"/>
    <n v="1065"/>
  </r>
  <r>
    <x v="5"/>
    <x v="101"/>
    <x v="2"/>
    <x v="99"/>
    <x v="0"/>
    <s v="Tenant_112"/>
    <x v="85"/>
    <n v="80175.12"/>
    <n v="80175.12"/>
    <s v=""/>
    <d v="2023-06-21T00:00:00"/>
    <d v="2025-02-07T00:00:00"/>
    <n v="1724.32"/>
    <n v="844.5"/>
    <s v="OK"/>
    <s v=""/>
    <s v=""/>
    <x v="85"/>
    <n v="2568.8199999999997"/>
    <x v="85"/>
    <n v="0"/>
    <s v="0-3 Monaten"/>
    <x v="0"/>
    <n v="721"/>
  </r>
  <r>
    <x v="5"/>
    <x v="102"/>
    <x v="1"/>
    <x v="100"/>
    <x v="0"/>
    <s v="Tenant_117"/>
    <x v="86"/>
    <n v="187696.8"/>
    <n v="187696.8"/>
    <s v=""/>
    <d v="2023-08-03T00:00:00"/>
    <d v="2024-03-25T00:00:00"/>
    <n v="3725.54"/>
    <n v="2016.14"/>
    <s v="OK"/>
    <s v=""/>
    <s v=""/>
    <x v="86"/>
    <n v="5741.68"/>
    <x v="86"/>
    <n v="0"/>
    <s v="0-3 Monaten"/>
    <x v="0"/>
    <n v="1463"/>
  </r>
  <r>
    <x v="4"/>
    <x v="103"/>
    <x v="3"/>
    <x v="101"/>
    <x v="0"/>
    <s v="Tenant_9"/>
    <x v="87"/>
    <n v="191935.08"/>
    <n v="191935.08000000002"/>
    <s v=""/>
    <d v="2023-07-11T00:00:00"/>
    <d v="2024-03-22T00:00:00"/>
    <n v="1937.67"/>
    <n v="634.20000000000005"/>
    <s v="OK"/>
    <s v=""/>
    <s v=""/>
    <x v="87"/>
    <n v="2571.87"/>
    <x v="87"/>
    <n v="0"/>
    <s v="0-3 Monaten"/>
    <x v="0"/>
    <n v="1130"/>
  </r>
  <r>
    <x v="3"/>
    <x v="104"/>
    <x v="2"/>
    <x v="102"/>
    <x v="0"/>
    <s v="Tenant_112"/>
    <x v="88"/>
    <n v="138647.88"/>
    <n v="138647.88"/>
    <s v=""/>
    <d v="2022-11-04T00:00:00"/>
    <d v="2023-08-29T00:00:00"/>
    <n v="2135.1799999999998"/>
    <n v="1156.3800000000001"/>
    <s v="OK"/>
    <s v=""/>
    <s v=""/>
    <x v="88"/>
    <n v="3291.56"/>
    <x v="88"/>
    <n v="0"/>
    <s v="0-3 Monaten"/>
    <x v="0"/>
    <n v="801"/>
  </r>
  <r>
    <x v="3"/>
    <x v="105"/>
    <x v="2"/>
    <x v="103"/>
    <x v="0"/>
    <s v="Tenant_102"/>
    <x v="89"/>
    <n v="10735.08"/>
    <n v="10735.08"/>
    <s v=""/>
    <d v="2021-12-15T00:00:00"/>
    <d v="2024-05-14T00:00:00"/>
    <n v="109.14"/>
    <n v="80.010000000000005"/>
    <s v="OK"/>
    <s v=""/>
    <s v=""/>
    <x v="89"/>
    <n v="189.15"/>
    <x v="89"/>
    <n v="0"/>
    <s v="0-3 Monaten"/>
    <x v="0"/>
    <n v="97"/>
  </r>
  <r>
    <x v="1"/>
    <x v="106"/>
    <x v="0"/>
    <x v="104"/>
    <x v="0"/>
    <s v="Tenant_5"/>
    <x v="90"/>
    <n v="41779.32"/>
    <n v="41779.32"/>
    <s v=""/>
    <d v="2022-04-13T00:00:00"/>
    <d v="2023-10-15T00:00:00"/>
    <n v="855.32"/>
    <n v="736.23"/>
    <s v="OK"/>
    <s v=""/>
    <s v=""/>
    <x v="90"/>
    <n v="1591.5500000000002"/>
    <x v="90"/>
    <n v="0"/>
    <s v="0-3 Monaten"/>
    <x v="0"/>
    <n v="386"/>
  </r>
  <r>
    <x v="4"/>
    <x v="107"/>
    <x v="0"/>
    <x v="105"/>
    <x v="1"/>
    <m/>
    <x v="1"/>
    <n v="0"/>
    <n v="0"/>
    <s v=""/>
    <m/>
    <m/>
    <n v="765.65"/>
    <n v="199.2"/>
    <s v="OK"/>
    <s v=""/>
    <s v="Rent&lt;=0"/>
    <x v="1"/>
    <n v="964.84999999999991"/>
    <x v="1"/>
    <n v="0"/>
    <s v=""/>
    <x v="18"/>
    <n v="0"/>
  </r>
  <r>
    <x v="6"/>
    <x v="108"/>
    <x v="3"/>
    <x v="106"/>
    <x v="0"/>
    <s v="Tenant_30"/>
    <x v="91"/>
    <n v="11730.12"/>
    <n v="11730.119999999999"/>
    <s v=""/>
    <d v="2022-05-23T00:00:00"/>
    <d v="2023-04-13T00:00:00"/>
    <n v="86.67"/>
    <n v="109.31"/>
    <s v="OK"/>
    <s v=""/>
    <s v=""/>
    <x v="91"/>
    <n v="195.98000000000002"/>
    <x v="91"/>
    <n v="0"/>
    <s v="0-3 Monaten"/>
    <x v="0"/>
    <n v="59"/>
  </r>
  <r>
    <x v="4"/>
    <x v="109"/>
    <x v="1"/>
    <x v="107"/>
    <x v="0"/>
    <s v="Tenant_91"/>
    <x v="92"/>
    <n v="196122.23999999999"/>
    <n v="196122.23999999999"/>
    <s v=""/>
    <d v="2022-01-17T00:00:00"/>
    <d v="2023-06-15T00:00:00"/>
    <n v="3125.12"/>
    <n v="1682.43"/>
    <s v="OK"/>
    <s v=""/>
    <s v=""/>
    <x v="92"/>
    <n v="4807.55"/>
    <x v="92"/>
    <n v="0"/>
    <s v="0-3 Monaten"/>
    <x v="0"/>
    <n v="1465"/>
  </r>
  <r>
    <x v="4"/>
    <x v="110"/>
    <x v="0"/>
    <x v="108"/>
    <x v="0"/>
    <s v="Tenant_20"/>
    <x v="93"/>
    <n v="109605.36"/>
    <n v="109605.36000000002"/>
    <s v=""/>
    <d v="2022-06-02T00:00:00"/>
    <d v="2023-05-05T00:00:00"/>
    <n v="3572.99"/>
    <n v="2834.51"/>
    <s v="OK"/>
    <s v=""/>
    <s v=""/>
    <x v="93"/>
    <n v="6407.5"/>
    <x v="93"/>
    <n v="0"/>
    <s v="0-3 Monaten"/>
    <x v="0"/>
    <n v="1233"/>
  </r>
  <r>
    <x v="4"/>
    <x v="111"/>
    <x v="3"/>
    <x v="109"/>
    <x v="0"/>
    <s v="Tenant_171"/>
    <x v="94"/>
    <n v="83071.679999999993"/>
    <n v="83071.680000000008"/>
    <s v=""/>
    <d v="2023-08-15T00:00:00"/>
    <d v="2026-01-22T00:00:00"/>
    <n v="489.24"/>
    <n v="991.64"/>
    <s v="OK"/>
    <s v=""/>
    <s v=""/>
    <x v="94"/>
    <n v="1480.88"/>
    <x v="94"/>
    <n v="0"/>
    <s v="0-3 Monaten"/>
    <x v="0"/>
    <n v="465"/>
  </r>
  <r>
    <x v="6"/>
    <x v="112"/>
    <x v="1"/>
    <x v="110"/>
    <x v="0"/>
    <s v="Tenant_198"/>
    <x v="95"/>
    <n v="72277.8"/>
    <n v="72277.799999999988"/>
    <s v=""/>
    <d v="2021-08-02T00:00:00"/>
    <d v="2022-02-17T00:00:00"/>
    <n v="1723.45"/>
    <n v="374.59"/>
    <s v="OK"/>
    <s v=""/>
    <s v=""/>
    <x v="95"/>
    <n v="2098.04"/>
    <x v="95"/>
    <n v="0"/>
    <s v="0-3 Monaten"/>
    <x v="0"/>
    <n v="630"/>
  </r>
  <r>
    <x v="6"/>
    <x v="113"/>
    <x v="0"/>
    <x v="111"/>
    <x v="0"/>
    <s v="Tenant_79"/>
    <x v="96"/>
    <n v="17644.439999999999"/>
    <n v="17644.439999999999"/>
    <s v=""/>
    <d v="2023-08-14T00:00:00"/>
    <d v="2025-01-21T00:00:00"/>
    <n v="99.7"/>
    <n v="100.81"/>
    <s v="OK"/>
    <s v=""/>
    <s v=""/>
    <x v="96"/>
    <n v="200.51"/>
    <x v="96"/>
    <n v="0"/>
    <s v="0-3 Monaten"/>
    <x v="0"/>
    <n v="87"/>
  </r>
  <r>
    <x v="7"/>
    <x v="114"/>
    <x v="3"/>
    <x v="112"/>
    <x v="0"/>
    <s v="Tenant_189"/>
    <x v="97"/>
    <n v="161361.48000000001"/>
    <n v="161361.48000000001"/>
    <s v=""/>
    <d v="2023-05-03T00:00:00"/>
    <d v="2025-04-04T00:00:00"/>
    <n v="1738.18"/>
    <n v="1274.7"/>
    <s v="OK"/>
    <s v=""/>
    <s v=""/>
    <x v="97"/>
    <n v="3012.88"/>
    <x v="97"/>
    <n v="0"/>
    <s v="0-3 Monaten"/>
    <x v="0"/>
    <n v="1287"/>
  </r>
  <r>
    <x v="0"/>
    <x v="115"/>
    <x v="1"/>
    <x v="113"/>
    <x v="0"/>
    <s v="Tenant_186"/>
    <x v="98"/>
    <n v="108724.56"/>
    <n v="108724.56"/>
    <s v=""/>
    <d v="2021-06-04T00:00:00"/>
    <d v="2022-08-30T00:00:00"/>
    <n v="2071.89"/>
    <n v="1149.04"/>
    <s v="OK"/>
    <s v=""/>
    <s v=""/>
    <x v="98"/>
    <n v="3220.93"/>
    <x v="98"/>
    <n v="0"/>
    <s v="0-3 Monaten"/>
    <x v="0"/>
    <n v="1093"/>
  </r>
  <r>
    <x v="2"/>
    <x v="116"/>
    <x v="0"/>
    <x v="114"/>
    <x v="0"/>
    <s v="Tenant_47"/>
    <x v="99"/>
    <n v="117111.72"/>
    <n v="117111.72"/>
    <s v=""/>
    <d v="2022-12-17T00:00:00"/>
    <d v="2026-01-17T00:00:00"/>
    <n v="1922.44"/>
    <n v="2006.19"/>
    <s v="OK"/>
    <s v=""/>
    <s v=""/>
    <x v="99"/>
    <n v="3928.63"/>
    <x v="99"/>
    <n v="0"/>
    <s v="0-3 Monaten"/>
    <x v="0"/>
    <n v="933"/>
  </r>
  <r>
    <x v="3"/>
    <x v="117"/>
    <x v="2"/>
    <x v="115"/>
    <x v="0"/>
    <s v="Tenant_21"/>
    <x v="100"/>
    <n v="133079.4"/>
    <n v="133079.40000000002"/>
    <s v=""/>
    <d v="2023-04-25T00:00:00"/>
    <d v="2026-09-08T00:00:00"/>
    <n v="1887.83"/>
    <n v="1468.82"/>
    <s v="OK"/>
    <s v=""/>
    <s v=""/>
    <x v="100"/>
    <n v="3356.6499999999996"/>
    <x v="100"/>
    <n v="6"/>
    <s v="3-6 Monaten"/>
    <x v="0"/>
    <n v="888"/>
  </r>
  <r>
    <x v="3"/>
    <x v="118"/>
    <x v="0"/>
    <x v="116"/>
    <x v="0"/>
    <s v="Tenant_190"/>
    <x v="101"/>
    <n v="14833.44"/>
    <n v="14833.439999999999"/>
    <s v=""/>
    <d v="2022-11-07T00:00:00"/>
    <d v="2027-04-03T00:00:00"/>
    <n v="468.8"/>
    <n v="305.07"/>
    <s v="OK"/>
    <s v=""/>
    <s v=""/>
    <x v="101"/>
    <n v="773.87"/>
    <x v="101"/>
    <n v="13"/>
    <s v="12 M+"/>
    <x v="0"/>
    <n v="169"/>
  </r>
  <r>
    <x v="2"/>
    <x v="119"/>
    <x v="0"/>
    <x v="117"/>
    <x v="1"/>
    <m/>
    <x v="1"/>
    <n v="0"/>
    <n v="0"/>
    <s v=""/>
    <m/>
    <m/>
    <n v="1506.38"/>
    <n v="521.04"/>
    <s v="OK"/>
    <s v=""/>
    <s v="Rent&lt;=0"/>
    <x v="1"/>
    <n v="2027.42"/>
    <x v="1"/>
    <n v="0"/>
    <s v=""/>
    <x v="19"/>
    <n v="0"/>
  </r>
  <r>
    <x v="0"/>
    <x v="120"/>
    <x v="3"/>
    <x v="118"/>
    <x v="0"/>
    <s v="Tenant_44"/>
    <x v="102"/>
    <n v="100992.72"/>
    <n v="100992.72"/>
    <s v=""/>
    <d v="2023-10-02T00:00:00"/>
    <d v="2027-06-22T00:00:00"/>
    <n v="912.3"/>
    <n v="585.48"/>
    <s v="OK"/>
    <s v=""/>
    <s v=""/>
    <x v="102"/>
    <n v="1497.78"/>
    <x v="102"/>
    <n v="16"/>
    <s v="12 M+"/>
    <x v="0"/>
    <n v="477"/>
  </r>
  <r>
    <x v="7"/>
    <x v="121"/>
    <x v="0"/>
    <x v="119"/>
    <x v="0"/>
    <s v="Tenant_75"/>
    <x v="103"/>
    <n v="203742.96"/>
    <n v="203742.96000000002"/>
    <s v=""/>
    <d v="2021-07-25T00:00:00"/>
    <d v="2023-01-19T00:00:00"/>
    <n v="2305.11"/>
    <n v="1813.17"/>
    <s v="OK"/>
    <s v=""/>
    <s v=""/>
    <x v="103"/>
    <n v="4118.2800000000007"/>
    <x v="103"/>
    <n v="0"/>
    <s v="0-3 Monaten"/>
    <x v="0"/>
    <n v="1400"/>
  </r>
  <r>
    <x v="7"/>
    <x v="122"/>
    <x v="1"/>
    <x v="120"/>
    <x v="0"/>
    <s v="Tenant_68"/>
    <x v="104"/>
    <n v="13649.28"/>
    <n v="13649.28"/>
    <s v=""/>
    <d v="2021-11-02T00:00:00"/>
    <d v="2026-06-05T00:00:00"/>
    <n v="419.71"/>
    <n v="288.17"/>
    <s v="OK"/>
    <s v=""/>
    <s v=""/>
    <x v="104"/>
    <n v="707.88"/>
    <x v="104"/>
    <n v="3"/>
    <s v="0-3 Monaten"/>
    <x v="0"/>
    <n v="150"/>
  </r>
  <r>
    <x v="1"/>
    <x v="123"/>
    <x v="1"/>
    <x v="121"/>
    <x v="0"/>
    <s v="Tenant_55"/>
    <x v="105"/>
    <n v="130479.48"/>
    <n v="130479.48000000001"/>
    <s v=""/>
    <d v="2022-10-18T00:00:00"/>
    <d v="2026-10-12T00:00:00"/>
    <n v="4001.92"/>
    <n v="1098.17"/>
    <s v="OK"/>
    <s v=""/>
    <s v=""/>
    <x v="105"/>
    <n v="5100.09"/>
    <x v="105"/>
    <n v="7"/>
    <s v="6-12 Monaten"/>
    <x v="0"/>
    <n v="1370"/>
  </r>
  <r>
    <x v="0"/>
    <x v="124"/>
    <x v="0"/>
    <x v="122"/>
    <x v="0"/>
    <s v="Tenant_103"/>
    <x v="106"/>
    <n v="247814.04"/>
    <n v="247814.03999999998"/>
    <s v=""/>
    <d v="2022-03-13T00:00:00"/>
    <d v="2025-03-14T00:00:00"/>
    <n v="2830.58"/>
    <n v="2820.6"/>
    <s v="OK"/>
    <s v=""/>
    <s v=""/>
    <x v="106"/>
    <n v="5651.18"/>
    <x v="106"/>
    <n v="0"/>
    <s v="0-3 Monaten"/>
    <x v="0"/>
    <n v="1413"/>
  </r>
  <r>
    <x v="3"/>
    <x v="125"/>
    <x v="3"/>
    <x v="123"/>
    <x v="0"/>
    <s v="Tenant_19"/>
    <x v="107"/>
    <n v="219276.12"/>
    <n v="219276.12"/>
    <s v=""/>
    <d v="2023-05-25T00:00:00"/>
    <d v="2025-10-06T00:00:00"/>
    <n v="2717.01"/>
    <n v="2641.22"/>
    <s v="OK"/>
    <s v=""/>
    <s v=""/>
    <x v="107"/>
    <n v="5358.23"/>
    <x v="107"/>
    <n v="0"/>
    <s v="0-3 Monaten"/>
    <x v="0"/>
    <n v="1292"/>
  </r>
  <r>
    <x v="7"/>
    <x v="126"/>
    <x v="3"/>
    <x v="124"/>
    <x v="0"/>
    <s v="Tenant_174"/>
    <x v="108"/>
    <n v="149868.48000000001"/>
    <n v="149868.48000000001"/>
    <s v=""/>
    <d v="2021-10-13T00:00:00"/>
    <d v="2025-11-29T00:00:00"/>
    <n v="2508.23"/>
    <n v="2535.34"/>
    <s v="OK"/>
    <s v=""/>
    <s v=""/>
    <x v="108"/>
    <n v="5043.57"/>
    <x v="108"/>
    <n v="0"/>
    <s v="0-3 Monaten"/>
    <x v="0"/>
    <n v="1474"/>
  </r>
  <r>
    <x v="4"/>
    <x v="127"/>
    <x v="3"/>
    <x v="125"/>
    <x v="0"/>
    <s v="Tenant_122"/>
    <x v="109"/>
    <n v="171650.16"/>
    <n v="171650.16"/>
    <s v=""/>
    <d v="2022-09-29T00:00:00"/>
    <d v="2024-08-05T00:00:00"/>
    <n v="3609.61"/>
    <n v="918.32"/>
    <s v="OK"/>
    <s v=""/>
    <s v=""/>
    <x v="109"/>
    <n v="4527.93"/>
    <x v="109"/>
    <n v="0"/>
    <s v="0-3 Monaten"/>
    <x v="0"/>
    <n v="1225"/>
  </r>
  <r>
    <x v="5"/>
    <x v="128"/>
    <x v="1"/>
    <x v="126"/>
    <x v="0"/>
    <s v="Tenant_161"/>
    <x v="110"/>
    <n v="191847.96"/>
    <n v="191847.96"/>
    <s v=""/>
    <d v="2021-07-06T00:00:00"/>
    <d v="2025-01-26T00:00:00"/>
    <n v="3719.22"/>
    <n v="811.41"/>
    <s v="OK"/>
    <s v=""/>
    <s v=""/>
    <x v="110"/>
    <n v="4530.63"/>
    <x v="110"/>
    <n v="0"/>
    <s v="0-3 Monaten"/>
    <x v="0"/>
    <n v="1378"/>
  </r>
  <r>
    <x v="1"/>
    <x v="129"/>
    <x v="1"/>
    <x v="127"/>
    <x v="1"/>
    <m/>
    <x v="1"/>
    <n v="0"/>
    <n v="0"/>
    <s v=""/>
    <m/>
    <m/>
    <n v="1530.41"/>
    <n v="963.88"/>
    <s v="OK"/>
    <s v=""/>
    <s v="Rent&lt;=0"/>
    <x v="1"/>
    <n v="2494.29"/>
    <x v="1"/>
    <n v="0"/>
    <s v=""/>
    <x v="20"/>
    <n v="0"/>
  </r>
  <r>
    <x v="5"/>
    <x v="130"/>
    <x v="1"/>
    <x v="128"/>
    <x v="0"/>
    <s v="Tenant_152"/>
    <x v="111"/>
    <n v="54707.4"/>
    <n v="54707.399999999994"/>
    <s v=""/>
    <d v="2021-08-16T00:00:00"/>
    <d v="2024-12-21T00:00:00"/>
    <n v="510.13"/>
    <n v="327.23"/>
    <s v="OK"/>
    <s v=""/>
    <s v=""/>
    <x v="111"/>
    <n v="837.36"/>
    <x v="111"/>
    <n v="0"/>
    <s v="0-3 Monaten"/>
    <x v="0"/>
    <n v="265"/>
  </r>
  <r>
    <x v="6"/>
    <x v="131"/>
    <x v="2"/>
    <x v="129"/>
    <x v="0"/>
    <s v="Tenant_89"/>
    <x v="112"/>
    <n v="258624"/>
    <n v="258624"/>
    <s v=""/>
    <d v="2023-04-30T00:00:00"/>
    <d v="2025-04-21T00:00:00"/>
    <n v="2758"/>
    <n v="1530.66"/>
    <s v="OK"/>
    <s v=""/>
    <s v=""/>
    <x v="112"/>
    <n v="4288.66"/>
    <x v="112"/>
    <n v="0"/>
    <s v="0-3 Monaten"/>
    <x v="0"/>
    <n v="1329"/>
  </r>
  <r>
    <x v="6"/>
    <x v="132"/>
    <x v="2"/>
    <x v="130"/>
    <x v="0"/>
    <s v="Tenant_50"/>
    <x v="113"/>
    <n v="98610.72"/>
    <n v="98610.72"/>
    <s v=""/>
    <d v="2023-02-05T00:00:00"/>
    <d v="2025-08-22T00:00:00"/>
    <n v="951.34"/>
    <n v="1092.56"/>
    <s v="OK"/>
    <s v=""/>
    <s v=""/>
    <x v="113"/>
    <n v="2043.9"/>
    <x v="113"/>
    <n v="0"/>
    <s v="0-3 Monaten"/>
    <x v="0"/>
    <n v="720"/>
  </r>
  <r>
    <x v="1"/>
    <x v="133"/>
    <x v="1"/>
    <x v="131"/>
    <x v="0"/>
    <s v="Tenant_161"/>
    <x v="114"/>
    <n v="95637.84"/>
    <n v="95637.84"/>
    <s v=""/>
    <d v="2022-06-25T00:00:00"/>
    <d v="2027-05-12T00:00:00"/>
    <n v="1312.69"/>
    <n v="1207.94"/>
    <s v="OK"/>
    <s v=""/>
    <s v=""/>
    <x v="114"/>
    <n v="2520.63"/>
    <x v="114"/>
    <n v="14"/>
    <s v="12 M+"/>
    <x v="0"/>
    <n v="717"/>
  </r>
  <r>
    <x v="7"/>
    <x v="134"/>
    <x v="0"/>
    <x v="132"/>
    <x v="1"/>
    <m/>
    <x v="1"/>
    <n v="0"/>
    <n v="0"/>
    <s v=""/>
    <m/>
    <m/>
    <n v="1195.74"/>
    <n v="1212.1400000000001"/>
    <s v="OK"/>
    <s v=""/>
    <s v="Rent&lt;=0"/>
    <x v="1"/>
    <n v="2407.88"/>
    <x v="1"/>
    <n v="0"/>
    <s v=""/>
    <x v="21"/>
    <n v="0"/>
  </r>
  <r>
    <x v="5"/>
    <x v="135"/>
    <x v="2"/>
    <x v="23"/>
    <x v="0"/>
    <s v="Tenant_119"/>
    <x v="115"/>
    <n v="35740.080000000002"/>
    <n v="35740.080000000002"/>
    <s v=""/>
    <d v="2023-03-27T00:00:00"/>
    <d v="2027-11-02T00:00:00"/>
    <n v="1150.81"/>
    <n v="471.75"/>
    <s v="OK"/>
    <s v=""/>
    <s v=""/>
    <x v="115"/>
    <n v="1622.56"/>
    <x v="115"/>
    <n v="20"/>
    <s v="12 M+"/>
    <x v="0"/>
    <n v="484"/>
  </r>
  <r>
    <x v="7"/>
    <x v="136"/>
    <x v="1"/>
    <x v="133"/>
    <x v="0"/>
    <s v="Tenant_168"/>
    <x v="116"/>
    <n v="100920.96000000001"/>
    <n v="100920.95999999999"/>
    <s v=""/>
    <d v="2023-02-27T00:00:00"/>
    <d v="2027-01-26T00:00:00"/>
    <n v="1260.0999999999999"/>
    <n v="1157.5999999999999"/>
    <s v="OK"/>
    <s v=""/>
    <s v=""/>
    <x v="116"/>
    <n v="2417.6999999999998"/>
    <x v="116"/>
    <n v="11"/>
    <s v="6-12 Monaten"/>
    <x v="0"/>
    <n v="1024"/>
  </r>
  <r>
    <x v="7"/>
    <x v="137"/>
    <x v="0"/>
    <x v="134"/>
    <x v="0"/>
    <s v="Tenant_183"/>
    <x v="117"/>
    <n v="83599.679999999993"/>
    <n v="83599.680000000008"/>
    <s v=""/>
    <d v="2021-09-16T00:00:00"/>
    <d v="2026-06-26T00:00:00"/>
    <n v="1310.47"/>
    <n v="595.6"/>
    <s v="OK"/>
    <s v=""/>
    <s v=""/>
    <x v="117"/>
    <n v="1906.0700000000002"/>
    <x v="117"/>
    <n v="4"/>
    <s v="3-6 Monaten"/>
    <x v="0"/>
    <n v="999"/>
  </r>
  <r>
    <x v="2"/>
    <x v="138"/>
    <x v="3"/>
    <x v="133"/>
    <x v="1"/>
    <m/>
    <x v="1"/>
    <n v="0"/>
    <n v="0"/>
    <s v=""/>
    <m/>
    <m/>
    <n v="2609.42"/>
    <n v="946.26"/>
    <s v="OK"/>
    <s v=""/>
    <s v="Rent&lt;=0"/>
    <x v="1"/>
    <n v="3555.6800000000003"/>
    <x v="1"/>
    <n v="0"/>
    <s v=""/>
    <x v="22"/>
    <n v="0"/>
  </r>
  <r>
    <x v="0"/>
    <x v="139"/>
    <x v="3"/>
    <x v="135"/>
    <x v="0"/>
    <s v="Tenant_17"/>
    <x v="118"/>
    <n v="126054.24"/>
    <n v="126054.24"/>
    <s v=""/>
    <d v="2022-04-30T00:00:00"/>
    <d v="2024-08-12T00:00:00"/>
    <n v="721.85"/>
    <n v="1512.7"/>
    <s v="OK"/>
    <s v=""/>
    <s v=""/>
    <x v="118"/>
    <n v="2234.5500000000002"/>
    <x v="118"/>
    <n v="0"/>
    <s v="0-3 Monaten"/>
    <x v="0"/>
    <n v="672"/>
  </r>
  <r>
    <x v="6"/>
    <x v="140"/>
    <x v="2"/>
    <x v="136"/>
    <x v="0"/>
    <s v="Tenant_117"/>
    <x v="119"/>
    <n v="15601.2"/>
    <n v="15601.199999999999"/>
    <s v=""/>
    <d v="2022-09-05T00:00:00"/>
    <d v="2025-04-06T00:00:00"/>
    <n v="169.1"/>
    <n v="81.25"/>
    <s v="OK"/>
    <s v=""/>
    <s v=""/>
    <x v="119"/>
    <n v="250.35"/>
    <x v="119"/>
    <n v="0"/>
    <s v="0-3 Monaten"/>
    <x v="0"/>
    <n v="126"/>
  </r>
  <r>
    <x v="3"/>
    <x v="141"/>
    <x v="3"/>
    <x v="137"/>
    <x v="0"/>
    <s v="Tenant_92"/>
    <x v="120"/>
    <n v="48798.6"/>
    <n v="48798.600000000006"/>
    <s v=""/>
    <d v="2023-01-05T00:00:00"/>
    <d v="2023-07-29T00:00:00"/>
    <n v="455.55"/>
    <n v="779.82"/>
    <s v="OK"/>
    <s v=""/>
    <s v=""/>
    <x v="120"/>
    <n v="1235.3700000000001"/>
    <x v="120"/>
    <n v="0"/>
    <s v="0-3 Monaten"/>
    <x v="0"/>
    <n v="404"/>
  </r>
  <r>
    <x v="6"/>
    <x v="142"/>
    <x v="3"/>
    <x v="138"/>
    <x v="0"/>
    <s v="Tenant_50"/>
    <x v="121"/>
    <n v="170219.4"/>
    <n v="170219.40000000002"/>
    <s v=""/>
    <d v="2022-02-08T00:00:00"/>
    <d v="2023-03-11T00:00:00"/>
    <n v="1144.94"/>
    <n v="493.96"/>
    <s v="OK"/>
    <s v=""/>
    <s v=""/>
    <x v="121"/>
    <n v="1638.9"/>
    <x v="121"/>
    <n v="0"/>
    <s v="0-3 Monaten"/>
    <x v="0"/>
    <n v="916"/>
  </r>
  <r>
    <x v="6"/>
    <x v="143"/>
    <x v="2"/>
    <x v="123"/>
    <x v="0"/>
    <s v="Tenant_71"/>
    <x v="122"/>
    <n v="194090.88"/>
    <n v="194090.88"/>
    <s v=""/>
    <d v="2022-12-03T00:00:00"/>
    <d v="2027-09-11T00:00:00"/>
    <n v="2481.04"/>
    <n v="1481.15"/>
    <s v="OK"/>
    <s v=""/>
    <s v=""/>
    <x v="122"/>
    <n v="3962.19"/>
    <x v="122"/>
    <n v="18"/>
    <s v="12 M+"/>
    <x v="0"/>
    <n v="1292"/>
  </r>
  <r>
    <x v="5"/>
    <x v="144"/>
    <x v="2"/>
    <x v="139"/>
    <x v="0"/>
    <s v="Tenant_188"/>
    <x v="123"/>
    <n v="73781.52"/>
    <n v="73781.52"/>
    <s v=""/>
    <d v="2023-06-01T00:00:00"/>
    <d v="2025-11-11T00:00:00"/>
    <n v="2370.98"/>
    <n v="670.9"/>
    <s v="OK"/>
    <s v=""/>
    <s v=""/>
    <x v="123"/>
    <n v="3041.88"/>
    <x v="123"/>
    <n v="0"/>
    <s v="0-3 Monaten"/>
    <x v="0"/>
    <n v="804"/>
  </r>
  <r>
    <x v="0"/>
    <x v="145"/>
    <x v="2"/>
    <x v="140"/>
    <x v="0"/>
    <s v="Tenant_67"/>
    <x v="124"/>
    <n v="149833.44"/>
    <n v="149833.44"/>
    <s v=""/>
    <d v="2023-09-11T00:00:00"/>
    <d v="2027-12-15T00:00:00"/>
    <n v="3822.73"/>
    <n v="669.39"/>
    <s v="OK"/>
    <s v=""/>
    <s v=""/>
    <x v="124"/>
    <n v="4492.12"/>
    <x v="124"/>
    <n v="21"/>
    <s v="12 M+"/>
    <x v="0"/>
    <n v="1294"/>
  </r>
  <r>
    <x v="3"/>
    <x v="146"/>
    <x v="2"/>
    <x v="141"/>
    <x v="0"/>
    <s v="Tenant_48"/>
    <x v="125"/>
    <n v="148632.12"/>
    <n v="148632.12"/>
    <s v=""/>
    <d v="2023-05-19T00:00:00"/>
    <d v="2027-06-25T00:00:00"/>
    <n v="1708.62"/>
    <n v="880.17"/>
    <s v="OK"/>
    <s v=""/>
    <s v=""/>
    <x v="125"/>
    <n v="2588.79"/>
    <x v="125"/>
    <n v="16"/>
    <s v="12 M+"/>
    <x v="0"/>
    <n v="1058"/>
  </r>
  <r>
    <x v="0"/>
    <x v="147"/>
    <x v="3"/>
    <x v="142"/>
    <x v="0"/>
    <s v="Tenant_5"/>
    <x v="126"/>
    <n v="287498.64"/>
    <n v="287498.64"/>
    <s v=""/>
    <d v="2022-09-27T00:00:00"/>
    <d v="2023-05-24T00:00:00"/>
    <n v="1964.26"/>
    <n v="2957.7"/>
    <s v="OK"/>
    <s v=""/>
    <s v=""/>
    <x v="126"/>
    <n v="4921.96"/>
    <x v="126"/>
    <n v="0"/>
    <s v="0-3 Monaten"/>
    <x v="0"/>
    <n v="1473"/>
  </r>
  <r>
    <x v="4"/>
    <x v="148"/>
    <x v="3"/>
    <x v="143"/>
    <x v="0"/>
    <s v="Tenant_189"/>
    <x v="127"/>
    <n v="181414.32"/>
    <n v="181414.32"/>
    <s v=""/>
    <d v="2023-01-25T00:00:00"/>
    <d v="2027-12-09T00:00:00"/>
    <n v="3071.49"/>
    <n v="1682.5"/>
    <s v="OK"/>
    <s v=""/>
    <s v=""/>
    <x v="127"/>
    <n v="4753.99"/>
    <x v="127"/>
    <n v="21"/>
    <s v="12 M+"/>
    <x v="0"/>
    <n v="1173"/>
  </r>
  <r>
    <x v="2"/>
    <x v="149"/>
    <x v="1"/>
    <x v="144"/>
    <x v="0"/>
    <s v="Tenant_32"/>
    <x v="128"/>
    <n v="67872"/>
    <n v="67872"/>
    <s v=""/>
    <d v="2022-01-02T00:00:00"/>
    <d v="2025-02-19T00:00:00"/>
    <n v="401.19"/>
    <n v="910.31"/>
    <s v="OK"/>
    <s v=""/>
    <s v=""/>
    <x v="128"/>
    <n v="1311.5"/>
    <x v="128"/>
    <n v="0"/>
    <s v="0-3 Monaten"/>
    <x v="0"/>
    <n v="368"/>
  </r>
  <r>
    <x v="4"/>
    <x v="150"/>
    <x v="1"/>
    <x v="145"/>
    <x v="0"/>
    <s v="Tenant_98"/>
    <x v="129"/>
    <n v="235066.92"/>
    <n v="235066.91999999998"/>
    <s v=""/>
    <d v="2023-04-08T00:00:00"/>
    <d v="2027-12-23T00:00:00"/>
    <n v="2434.75"/>
    <n v="2881.59"/>
    <s v="OK"/>
    <s v=""/>
    <s v=""/>
    <x v="129"/>
    <n v="5316.34"/>
    <x v="129"/>
    <n v="22"/>
    <s v="12 M+"/>
    <x v="0"/>
    <n v="1288"/>
  </r>
  <r>
    <x v="3"/>
    <x v="151"/>
    <x v="3"/>
    <x v="146"/>
    <x v="0"/>
    <s v="Tenant_168"/>
    <x v="130"/>
    <n v="53439.48"/>
    <n v="53439.479999999996"/>
    <s v=""/>
    <d v="2023-09-29T00:00:00"/>
    <d v="2024-10-13T00:00:00"/>
    <n v="640.04999999999995"/>
    <n v="164.34"/>
    <s v="OK"/>
    <s v=""/>
    <s v=""/>
    <x v="130"/>
    <n v="804.39"/>
    <x v="130"/>
    <n v="0"/>
    <s v="0-3 Monaten"/>
    <x v="0"/>
    <n v="262"/>
  </r>
  <r>
    <x v="7"/>
    <x v="152"/>
    <x v="0"/>
    <x v="147"/>
    <x v="0"/>
    <s v="Tenant_193"/>
    <x v="131"/>
    <n v="268282.2"/>
    <n v="268282.19999999995"/>
    <s v=""/>
    <d v="2021-10-10T00:00:00"/>
    <d v="2022-07-20T00:00:00"/>
    <n v="2257"/>
    <n v="2616.5300000000002"/>
    <s v="OK"/>
    <s v=""/>
    <s v=""/>
    <x v="131"/>
    <n v="4873.5300000000007"/>
    <x v="131"/>
    <n v="0"/>
    <s v="0-3 Monaten"/>
    <x v="0"/>
    <n v="1303"/>
  </r>
  <r>
    <x v="3"/>
    <x v="153"/>
    <x v="2"/>
    <x v="148"/>
    <x v="0"/>
    <s v="Tenant_177"/>
    <x v="132"/>
    <n v="250351.92"/>
    <n v="250351.91999999998"/>
    <s v=""/>
    <d v="2023-12-15T00:00:00"/>
    <d v="2025-10-04T00:00:00"/>
    <n v="2826.18"/>
    <n v="1212.56"/>
    <s v="OK"/>
    <s v=""/>
    <s v=""/>
    <x v="132"/>
    <n v="4038.74"/>
    <x v="132"/>
    <n v="0"/>
    <s v="0-3 Monaten"/>
    <x v="0"/>
    <n v="1479"/>
  </r>
  <r>
    <x v="3"/>
    <x v="154"/>
    <x v="2"/>
    <x v="149"/>
    <x v="0"/>
    <s v="Tenant_22"/>
    <x v="133"/>
    <n v="91965.119999999995"/>
    <n v="91965.119999999995"/>
    <s v=""/>
    <d v="2022-09-06T00:00:00"/>
    <d v="2026-09-24T00:00:00"/>
    <n v="1796.52"/>
    <n v="786.21"/>
    <s v="OK"/>
    <s v=""/>
    <s v=""/>
    <x v="133"/>
    <n v="2582.73"/>
    <x v="133"/>
    <n v="7"/>
    <s v="6-12 Monaten"/>
    <x v="0"/>
    <n v="762"/>
  </r>
  <r>
    <x v="7"/>
    <x v="155"/>
    <x v="1"/>
    <x v="150"/>
    <x v="0"/>
    <s v="Tenant_148"/>
    <x v="134"/>
    <n v="11872.56"/>
    <n v="11872.56"/>
    <s v=""/>
    <d v="2021-06-02T00:00:00"/>
    <d v="2024-10-19T00:00:00"/>
    <n v="122.2"/>
    <n v="65.180000000000007"/>
    <s v="OK"/>
    <s v=""/>
    <s v=""/>
    <x v="134"/>
    <n v="187.38"/>
    <x v="134"/>
    <n v="0"/>
    <s v="0-3 Monaten"/>
    <x v="0"/>
    <n v="98"/>
  </r>
  <r>
    <x v="7"/>
    <x v="156"/>
    <x v="0"/>
    <x v="151"/>
    <x v="1"/>
    <m/>
    <x v="1"/>
    <n v="0"/>
    <n v="0"/>
    <s v=""/>
    <m/>
    <m/>
    <n v="300.02999999999997"/>
    <n v="371.96"/>
    <s v="OK"/>
    <s v=""/>
    <s v="Rent&lt;=0"/>
    <x v="1"/>
    <n v="671.99"/>
    <x v="1"/>
    <n v="0"/>
    <s v=""/>
    <x v="23"/>
    <n v="0"/>
  </r>
  <r>
    <x v="5"/>
    <x v="157"/>
    <x v="1"/>
    <x v="152"/>
    <x v="0"/>
    <s v="Tenant_97"/>
    <x v="135"/>
    <n v="25048.68"/>
    <n v="25048.68"/>
    <s v=""/>
    <d v="2022-10-28T00:00:00"/>
    <d v="2024-01-31T00:00:00"/>
    <n v="382.64"/>
    <n v="303.04000000000002"/>
    <s v="OK"/>
    <s v=""/>
    <s v=""/>
    <x v="135"/>
    <n v="685.68000000000006"/>
    <x v="135"/>
    <n v="0"/>
    <s v="0-3 Monaten"/>
    <x v="0"/>
    <n v="156"/>
  </r>
  <r>
    <x v="4"/>
    <x v="158"/>
    <x v="3"/>
    <x v="153"/>
    <x v="0"/>
    <s v="Tenant_90"/>
    <x v="136"/>
    <n v="42637.32"/>
    <n v="42637.32"/>
    <s v=""/>
    <d v="2022-04-08T00:00:00"/>
    <d v="2026-03-06T00:00:00"/>
    <n v="1257.1300000000001"/>
    <n v="1011.23"/>
    <s v="OK"/>
    <s v=""/>
    <s v=""/>
    <x v="136"/>
    <n v="2268.36"/>
    <x v="136"/>
    <n v="0"/>
    <s v="0-3 Monaten"/>
    <x v="0"/>
    <n v="528"/>
  </r>
  <r>
    <x v="6"/>
    <x v="159"/>
    <x v="1"/>
    <x v="154"/>
    <x v="0"/>
    <s v="Tenant_167"/>
    <x v="137"/>
    <n v="134094.48000000001"/>
    <n v="134094.48000000001"/>
    <s v=""/>
    <d v="2021-09-24T00:00:00"/>
    <d v="2022-12-11T00:00:00"/>
    <n v="1870.48"/>
    <n v="1517.42"/>
    <s v="OK"/>
    <s v=""/>
    <s v=""/>
    <x v="137"/>
    <n v="3387.9"/>
    <x v="137"/>
    <n v="0"/>
    <s v="0-3 Monaten"/>
    <x v="0"/>
    <n v="632"/>
  </r>
  <r>
    <x v="7"/>
    <x v="160"/>
    <x v="2"/>
    <x v="155"/>
    <x v="0"/>
    <s v="Tenant_88"/>
    <x v="138"/>
    <n v="37476.239999999998"/>
    <n v="37476.239999999998"/>
    <s v=""/>
    <d v="2023-09-05T00:00:00"/>
    <d v="2025-03-15T00:00:00"/>
    <n v="493"/>
    <n v="935.64"/>
    <s v="OK"/>
    <s v=""/>
    <s v=""/>
    <x v="138"/>
    <n v="1428.6399999999999"/>
    <x v="138"/>
    <n v="0"/>
    <s v="0-3 Monaten"/>
    <x v="0"/>
    <n v="408"/>
  </r>
  <r>
    <x v="0"/>
    <x v="161"/>
    <x v="2"/>
    <x v="156"/>
    <x v="0"/>
    <s v="Tenant_37"/>
    <x v="139"/>
    <n v="93601.2"/>
    <n v="93601.200000000012"/>
    <s v=""/>
    <d v="2023-05-30T00:00:00"/>
    <d v="2027-08-13T00:00:00"/>
    <n v="1232.23"/>
    <n v="1066.77"/>
    <s v="OK"/>
    <s v=""/>
    <s v=""/>
    <x v="139"/>
    <n v="2299"/>
    <x v="139"/>
    <n v="17"/>
    <s v="12 M+"/>
    <x v="0"/>
    <n v="441"/>
  </r>
  <r>
    <x v="5"/>
    <x v="162"/>
    <x v="0"/>
    <x v="153"/>
    <x v="0"/>
    <s v="Tenant_96"/>
    <x v="140"/>
    <n v="38756.28"/>
    <n v="38756.28"/>
    <s v=""/>
    <d v="2022-04-19T00:00:00"/>
    <d v="2025-07-29T00:00:00"/>
    <n v="1206.19"/>
    <n v="749.11"/>
    <s v="OK"/>
    <s v=""/>
    <s v=""/>
    <x v="140"/>
    <n v="1955.3000000000002"/>
    <x v="140"/>
    <n v="0"/>
    <s v="0-3 Monaten"/>
    <x v="0"/>
    <n v="528"/>
  </r>
  <r>
    <x v="3"/>
    <x v="163"/>
    <x v="0"/>
    <x v="157"/>
    <x v="0"/>
    <s v="Tenant_46"/>
    <x v="141"/>
    <n v="39152.28"/>
    <n v="39152.28"/>
    <s v=""/>
    <d v="2021-10-14T00:00:00"/>
    <d v="2024-06-13T00:00:00"/>
    <n v="419.16"/>
    <n v="642.66999999999996"/>
    <s v="OK"/>
    <s v=""/>
    <s v=""/>
    <x v="141"/>
    <n v="1061.83"/>
    <x v="141"/>
    <n v="0"/>
    <s v="0-3 Monaten"/>
    <x v="0"/>
    <n v="390"/>
  </r>
  <r>
    <x v="3"/>
    <x v="164"/>
    <x v="3"/>
    <x v="61"/>
    <x v="0"/>
    <s v="Tenant_102"/>
    <x v="142"/>
    <n v="101718.12"/>
    <n v="101718.12"/>
    <s v=""/>
    <d v="2021-11-08T00:00:00"/>
    <d v="2024-03-07T00:00:00"/>
    <n v="947.19"/>
    <n v="880.56"/>
    <s v="OK"/>
    <s v=""/>
    <s v=""/>
    <x v="142"/>
    <n v="1827.75"/>
    <x v="142"/>
    <n v="0"/>
    <s v="0-3 Monaten"/>
    <x v="0"/>
    <n v="782"/>
  </r>
  <r>
    <x v="0"/>
    <x v="165"/>
    <x v="0"/>
    <x v="158"/>
    <x v="0"/>
    <s v="Tenant_42"/>
    <x v="143"/>
    <n v="119159.64"/>
    <n v="119159.63999999998"/>
    <s v=""/>
    <d v="2023-12-12T00:00:00"/>
    <d v="2028-04-30T00:00:00"/>
    <n v="1623.1"/>
    <n v="1149.6099999999999"/>
    <s v="OK"/>
    <s v=""/>
    <s v=""/>
    <x v="143"/>
    <n v="2772.71"/>
    <x v="143"/>
    <n v="26"/>
    <s v="12 M+"/>
    <x v="0"/>
    <n v="682"/>
  </r>
  <r>
    <x v="6"/>
    <x v="166"/>
    <x v="0"/>
    <x v="159"/>
    <x v="0"/>
    <s v="Tenant_1"/>
    <x v="144"/>
    <n v="82645.08"/>
    <n v="82645.08"/>
    <s v=""/>
    <d v="2022-10-12T00:00:00"/>
    <d v="2026-10-24T00:00:00"/>
    <n v="1237.0899999999999"/>
    <n v="1262.54"/>
    <s v="OK"/>
    <s v=""/>
    <s v=""/>
    <x v="144"/>
    <n v="2499.63"/>
    <x v="144"/>
    <n v="8"/>
    <s v="6-12 Monaten"/>
    <x v="0"/>
    <n v="538"/>
  </r>
  <r>
    <x v="4"/>
    <x v="167"/>
    <x v="3"/>
    <x v="34"/>
    <x v="1"/>
    <m/>
    <x v="1"/>
    <n v="0"/>
    <n v="0"/>
    <s v=""/>
    <m/>
    <m/>
    <n v="665.05"/>
    <n v="279.77999999999997"/>
    <s v="OK"/>
    <s v=""/>
    <s v="Rent&lt;=0"/>
    <x v="1"/>
    <n v="944.82999999999993"/>
    <x v="1"/>
    <n v="0"/>
    <s v=""/>
    <x v="24"/>
    <n v="0"/>
  </r>
  <r>
    <x v="6"/>
    <x v="168"/>
    <x v="2"/>
    <x v="160"/>
    <x v="0"/>
    <s v="Tenant_108"/>
    <x v="145"/>
    <n v="146321.16"/>
    <n v="146321.16"/>
    <s v=""/>
    <d v="2022-03-02T00:00:00"/>
    <d v="2023-03-27T00:00:00"/>
    <n v="1841.66"/>
    <n v="2029.8"/>
    <s v="OK"/>
    <s v=""/>
    <s v=""/>
    <x v="145"/>
    <n v="3871.46"/>
    <x v="145"/>
    <n v="0"/>
    <s v="0-3 Monaten"/>
    <x v="0"/>
    <n v="1289"/>
  </r>
  <r>
    <x v="2"/>
    <x v="169"/>
    <x v="2"/>
    <x v="94"/>
    <x v="0"/>
    <s v="Tenant_133"/>
    <x v="146"/>
    <n v="217541.88"/>
    <n v="217541.88"/>
    <s v=""/>
    <d v="2022-05-03T00:00:00"/>
    <d v="2023-09-12T00:00:00"/>
    <n v="3459.66"/>
    <n v="673.09"/>
    <s v="OK"/>
    <s v=""/>
    <s v=""/>
    <x v="146"/>
    <n v="4132.75"/>
    <x v="146"/>
    <n v="0"/>
    <s v="0-3 Monaten"/>
    <x v="0"/>
    <n v="1344"/>
  </r>
  <r>
    <x v="1"/>
    <x v="170"/>
    <x v="3"/>
    <x v="161"/>
    <x v="0"/>
    <s v="Tenant_114"/>
    <x v="147"/>
    <n v="248142.12"/>
    <n v="248142.12"/>
    <s v=""/>
    <d v="2023-01-01T00:00:00"/>
    <d v="2025-11-17T00:00:00"/>
    <n v="2300.64"/>
    <n v="1487.45"/>
    <s v="OK"/>
    <s v=""/>
    <s v=""/>
    <x v="147"/>
    <n v="3788.09"/>
    <x v="147"/>
    <n v="0"/>
    <s v="0-3 Monaten"/>
    <x v="0"/>
    <n v="1406"/>
  </r>
  <r>
    <x v="7"/>
    <x v="171"/>
    <x v="1"/>
    <x v="162"/>
    <x v="0"/>
    <s v="Tenant_139"/>
    <x v="148"/>
    <n v="53943.12"/>
    <n v="53943.12"/>
    <s v=""/>
    <d v="2022-05-12T00:00:00"/>
    <d v="2023-07-13T00:00:00"/>
    <n v="971.88"/>
    <n v="744.37"/>
    <s v="OK"/>
    <s v=""/>
    <s v=""/>
    <x v="148"/>
    <n v="1716.25"/>
    <x v="148"/>
    <n v="0"/>
    <s v="0-3 Monaten"/>
    <x v="0"/>
    <n v="375"/>
  </r>
  <r>
    <x v="4"/>
    <x v="172"/>
    <x v="3"/>
    <x v="163"/>
    <x v="0"/>
    <s v="Tenant_50"/>
    <x v="149"/>
    <n v="224822.52"/>
    <n v="224822.52"/>
    <s v=""/>
    <d v="2021-10-19T00:00:00"/>
    <d v="2023-10-07T00:00:00"/>
    <n v="2251.7399999999998"/>
    <n v="3296.88"/>
    <s v="OK"/>
    <s v=""/>
    <s v=""/>
    <x v="149"/>
    <n v="5548.62"/>
    <x v="149"/>
    <n v="0"/>
    <s v="0-3 Monaten"/>
    <x v="0"/>
    <n v="1371"/>
  </r>
  <r>
    <x v="0"/>
    <x v="173"/>
    <x v="3"/>
    <x v="164"/>
    <x v="0"/>
    <s v="Tenant_99"/>
    <x v="150"/>
    <n v="118053.72"/>
    <n v="118053.72"/>
    <s v=""/>
    <d v="2023-10-04T00:00:00"/>
    <d v="2028-01-12T00:00:00"/>
    <n v="1177.26"/>
    <n v="490.06"/>
    <s v="OK"/>
    <s v=""/>
    <s v=""/>
    <x v="150"/>
    <n v="1667.32"/>
    <x v="150"/>
    <n v="22"/>
    <s v="12 M+"/>
    <x v="0"/>
    <n v="594"/>
  </r>
  <r>
    <x v="4"/>
    <x v="174"/>
    <x v="2"/>
    <x v="165"/>
    <x v="0"/>
    <s v="Tenant_51"/>
    <x v="151"/>
    <n v="75902.399999999994"/>
    <n v="75902.399999999994"/>
    <s v=""/>
    <d v="2022-07-12T00:00:00"/>
    <d v="2025-03-09T00:00:00"/>
    <n v="624.16999999999996"/>
    <n v="691.15"/>
    <s v="OK"/>
    <s v=""/>
    <s v=""/>
    <x v="151"/>
    <n v="1315.32"/>
    <x v="151"/>
    <n v="0"/>
    <s v="0-3 Monaten"/>
    <x v="0"/>
    <n v="531"/>
  </r>
  <r>
    <x v="6"/>
    <x v="175"/>
    <x v="3"/>
    <x v="166"/>
    <x v="0"/>
    <s v="Tenant_86"/>
    <x v="152"/>
    <n v="202149.96"/>
    <n v="202149.96000000002"/>
    <s v=""/>
    <d v="2022-01-29T00:00:00"/>
    <d v="2024-05-18T00:00:00"/>
    <n v="2194.9499999999998"/>
    <n v="1711.33"/>
    <s v="OK"/>
    <s v=""/>
    <s v=""/>
    <x v="152"/>
    <n v="3906.2799999999997"/>
    <x v="152"/>
    <n v="0"/>
    <s v="0-3 Monaten"/>
    <x v="0"/>
    <n v="1160"/>
  </r>
  <r>
    <x v="4"/>
    <x v="176"/>
    <x v="3"/>
    <x v="167"/>
    <x v="0"/>
    <s v="Tenant_38"/>
    <x v="153"/>
    <n v="19471.439999999999"/>
    <n v="19471.439999999999"/>
    <s v=""/>
    <d v="2022-05-09T00:00:00"/>
    <d v="2026-12-27T00:00:00"/>
    <n v="331.08"/>
    <n v="292.52"/>
    <s v="OK"/>
    <s v=""/>
    <s v=""/>
    <x v="153"/>
    <n v="623.59999999999991"/>
    <x v="153"/>
    <n v="10"/>
    <s v="6-12 Monaten"/>
    <x v="0"/>
    <n v="186"/>
  </r>
  <r>
    <x v="0"/>
    <x v="177"/>
    <x v="1"/>
    <x v="168"/>
    <x v="0"/>
    <s v="Tenant_6"/>
    <x v="154"/>
    <n v="25690.560000000001"/>
    <n v="25690.560000000001"/>
    <s v=""/>
    <d v="2023-03-08T00:00:00"/>
    <d v="2027-04-24T00:00:00"/>
    <n v="381.17"/>
    <n v="670.95"/>
    <s v="OK"/>
    <s v=""/>
    <s v=""/>
    <x v="154"/>
    <n v="1052.1200000000001"/>
    <x v="154"/>
    <n v="14"/>
    <s v="12 M+"/>
    <x v="0"/>
    <n v="287"/>
  </r>
  <r>
    <x v="3"/>
    <x v="178"/>
    <x v="3"/>
    <x v="169"/>
    <x v="1"/>
    <m/>
    <x v="1"/>
    <n v="0"/>
    <n v="0"/>
    <s v=""/>
    <m/>
    <m/>
    <n v="1548.42"/>
    <n v="690.55"/>
    <s v="OK"/>
    <s v=""/>
    <s v="Rent&lt;=0"/>
    <x v="1"/>
    <n v="2238.9700000000003"/>
    <x v="1"/>
    <n v="0"/>
    <s v=""/>
    <x v="25"/>
    <n v="0"/>
  </r>
  <r>
    <x v="1"/>
    <x v="179"/>
    <x v="1"/>
    <x v="170"/>
    <x v="0"/>
    <s v="Tenant_88"/>
    <x v="155"/>
    <n v="89635.44"/>
    <n v="89635.44"/>
    <s v=""/>
    <d v="2021-04-21T00:00:00"/>
    <d v="2021-12-15T00:00:00"/>
    <n v="1903.79"/>
    <n v="832.22"/>
    <s v="OK"/>
    <s v=""/>
    <s v=""/>
    <x v="155"/>
    <n v="2736.01"/>
    <x v="155"/>
    <n v="0"/>
    <s v="0-3 Monaten"/>
    <x v="0"/>
    <n v="787"/>
  </r>
  <r>
    <x v="7"/>
    <x v="180"/>
    <x v="0"/>
    <x v="171"/>
    <x v="0"/>
    <s v="Tenant_165"/>
    <x v="156"/>
    <n v="133198.68"/>
    <n v="133198.68"/>
    <s v=""/>
    <d v="2021-04-22T00:00:00"/>
    <d v="2021-10-22T00:00:00"/>
    <n v="2460.3200000000002"/>
    <n v="1664.89"/>
    <s v="OK"/>
    <s v=""/>
    <s v=""/>
    <x v="156"/>
    <n v="4125.21"/>
    <x v="156"/>
    <n v="0"/>
    <s v="0-3 Monaten"/>
    <x v="0"/>
    <n v="1139"/>
  </r>
  <r>
    <x v="3"/>
    <x v="181"/>
    <x v="1"/>
    <x v="172"/>
    <x v="0"/>
    <s v="Tenant_28"/>
    <x v="157"/>
    <n v="125676.36"/>
    <n v="125676.36000000002"/>
    <s v=""/>
    <d v="2022-12-11T00:00:00"/>
    <d v="2026-07-02T00:00:00"/>
    <n v="2012.15"/>
    <n v="1555.15"/>
    <s v="OK"/>
    <s v=""/>
    <s v=""/>
    <x v="157"/>
    <n v="3567.3"/>
    <x v="157"/>
    <n v="4"/>
    <s v="3-6 Monaten"/>
    <x v="0"/>
    <n v="1220"/>
  </r>
  <r>
    <x v="7"/>
    <x v="182"/>
    <x v="1"/>
    <x v="173"/>
    <x v="0"/>
    <s v="Tenant_175"/>
    <x v="158"/>
    <n v="42041.16"/>
    <n v="42041.159999999996"/>
    <s v=""/>
    <d v="2021-08-31T00:00:00"/>
    <d v="2024-09-18T00:00:00"/>
    <n v="899.08"/>
    <n v="560.13"/>
    <s v="OK"/>
    <s v=""/>
    <s v=""/>
    <x v="158"/>
    <n v="1459.21"/>
    <x v="158"/>
    <n v="0"/>
    <s v="0-3 Monaten"/>
    <x v="0"/>
    <n v="414"/>
  </r>
  <r>
    <x v="2"/>
    <x v="183"/>
    <x v="2"/>
    <x v="174"/>
    <x v="0"/>
    <s v="Tenant_132"/>
    <x v="159"/>
    <n v="55905.72"/>
    <n v="55905.72"/>
    <s v=""/>
    <d v="2023-12-11T00:00:00"/>
    <d v="2028-04-29T00:00:00"/>
    <n v="1657.18"/>
    <n v="1276.73"/>
    <s v="OK"/>
    <s v=""/>
    <s v=""/>
    <x v="159"/>
    <n v="2933.91"/>
    <x v="159"/>
    <n v="26"/>
    <s v="12 M+"/>
    <x v="0"/>
    <n v="642"/>
  </r>
  <r>
    <x v="7"/>
    <x v="184"/>
    <x v="2"/>
    <x v="175"/>
    <x v="0"/>
    <s v="Tenant_12"/>
    <x v="160"/>
    <n v="140180.16"/>
    <n v="140180.16"/>
    <s v=""/>
    <d v="2022-11-28T00:00:00"/>
    <d v="2026-12-02T00:00:00"/>
    <n v="2156.35"/>
    <n v="929.54"/>
    <s v="OK"/>
    <s v=""/>
    <s v=""/>
    <x v="160"/>
    <n v="3085.89"/>
    <x v="160"/>
    <n v="9"/>
    <s v="6-12 Monaten"/>
    <x v="0"/>
    <n v="915"/>
  </r>
  <r>
    <x v="6"/>
    <x v="185"/>
    <x v="2"/>
    <x v="176"/>
    <x v="0"/>
    <s v="Tenant_147"/>
    <x v="161"/>
    <n v="162779.04"/>
    <n v="162779.04"/>
    <s v=""/>
    <d v="2023-11-01T00:00:00"/>
    <d v="2024-11-10T00:00:00"/>
    <n v="2295.96"/>
    <n v="1088.93"/>
    <s v="OK"/>
    <s v=""/>
    <s v=""/>
    <x v="161"/>
    <n v="3384.8900000000003"/>
    <x v="161"/>
    <n v="0"/>
    <s v="0-3 Monaten"/>
    <x v="0"/>
    <n v="869"/>
  </r>
  <r>
    <x v="0"/>
    <x v="186"/>
    <x v="1"/>
    <x v="177"/>
    <x v="1"/>
    <m/>
    <x v="1"/>
    <n v="0"/>
    <n v="0"/>
    <s v=""/>
    <m/>
    <m/>
    <n v="911.99"/>
    <n v="525.94000000000005"/>
    <s v="OK"/>
    <s v=""/>
    <s v="Rent&lt;=0"/>
    <x v="1"/>
    <n v="1437.93"/>
    <x v="1"/>
    <n v="0"/>
    <s v=""/>
    <x v="26"/>
    <n v="0"/>
  </r>
  <r>
    <x v="6"/>
    <x v="187"/>
    <x v="2"/>
    <x v="178"/>
    <x v="0"/>
    <s v="Tenant_102"/>
    <x v="162"/>
    <n v="149630.88"/>
    <n v="149630.88"/>
    <s v=""/>
    <d v="2022-06-01T00:00:00"/>
    <d v="2026-09-03T00:00:00"/>
    <n v="1092.24"/>
    <n v="1604.92"/>
    <s v="OK"/>
    <s v=""/>
    <s v=""/>
    <x v="162"/>
    <n v="2697.16"/>
    <x v="162"/>
    <n v="6"/>
    <s v="3-6 Monaten"/>
    <x v="0"/>
    <n v="856"/>
  </r>
  <r>
    <x v="1"/>
    <x v="188"/>
    <x v="2"/>
    <x v="179"/>
    <x v="1"/>
    <m/>
    <x v="1"/>
    <n v="0"/>
    <n v="0"/>
    <s v=""/>
    <m/>
    <m/>
    <n v="865.1"/>
    <n v="1066.24"/>
    <s v="OK"/>
    <s v=""/>
    <s v="Rent&lt;=0"/>
    <x v="1"/>
    <n v="1931.3400000000001"/>
    <x v="1"/>
    <n v="0"/>
    <s v=""/>
    <x v="27"/>
    <n v="0"/>
  </r>
  <r>
    <x v="3"/>
    <x v="189"/>
    <x v="2"/>
    <x v="105"/>
    <x v="0"/>
    <s v="Tenant_100"/>
    <x v="163"/>
    <n v="47844.6"/>
    <n v="47844.600000000006"/>
    <s v=""/>
    <d v="2022-06-19T00:00:00"/>
    <d v="2027-04-08T00:00:00"/>
    <n v="702.87"/>
    <n v="482.72"/>
    <s v="OK"/>
    <s v=""/>
    <s v=""/>
    <x v="163"/>
    <n v="1185.5900000000001"/>
    <x v="163"/>
    <n v="13"/>
    <s v="12 M+"/>
    <x v="0"/>
    <n v="345"/>
  </r>
  <r>
    <x v="6"/>
    <x v="190"/>
    <x v="0"/>
    <x v="180"/>
    <x v="0"/>
    <s v="Tenant_126"/>
    <x v="164"/>
    <n v="181107"/>
    <n v="181107"/>
    <s v=""/>
    <d v="2022-10-14T00:00:00"/>
    <d v="2027-08-06T00:00:00"/>
    <n v="1079.95"/>
    <n v="1484.84"/>
    <s v="OK"/>
    <s v=""/>
    <s v=""/>
    <x v="164"/>
    <n v="2564.79"/>
    <x v="164"/>
    <n v="17"/>
    <s v="12 M+"/>
    <x v="0"/>
    <n v="858"/>
  </r>
  <r>
    <x v="5"/>
    <x v="191"/>
    <x v="0"/>
    <x v="181"/>
    <x v="0"/>
    <s v="Tenant_157"/>
    <x v="165"/>
    <n v="104428.2"/>
    <n v="104428.20000000001"/>
    <s v=""/>
    <d v="2023-02-24T00:00:00"/>
    <d v="2026-10-29T00:00:00"/>
    <n v="3763.62"/>
    <n v="3458.8"/>
    <s v="OK"/>
    <s v=""/>
    <s v=""/>
    <x v="165"/>
    <n v="7222.42"/>
    <x v="165"/>
    <n v="8"/>
    <s v="6-12 Monaten"/>
    <x v="0"/>
    <n v="1407"/>
  </r>
  <r>
    <x v="2"/>
    <x v="192"/>
    <x v="0"/>
    <x v="182"/>
    <x v="0"/>
    <s v="Tenant_8"/>
    <x v="166"/>
    <n v="80859.960000000006"/>
    <n v="80859.959999999992"/>
    <s v=""/>
    <d v="2023-01-12T00:00:00"/>
    <d v="2026-07-13T00:00:00"/>
    <n v="1674.47"/>
    <n v="1264.8900000000001"/>
    <s v="OK"/>
    <s v=""/>
    <s v=""/>
    <x v="166"/>
    <n v="2939.36"/>
    <x v="166"/>
    <n v="4"/>
    <s v="3-6 Monaten"/>
    <x v="0"/>
    <n v="1120"/>
  </r>
  <r>
    <x v="1"/>
    <x v="193"/>
    <x v="3"/>
    <x v="183"/>
    <x v="0"/>
    <s v="Tenant_168"/>
    <x v="167"/>
    <n v="60872.639999999999"/>
    <n v="60872.639999999999"/>
    <s v=""/>
    <d v="2021-11-02T00:00:00"/>
    <d v="2025-01-10T00:00:00"/>
    <n v="530.82000000000005"/>
    <n v="729.93"/>
    <s v="OK"/>
    <s v=""/>
    <s v=""/>
    <x v="167"/>
    <n v="1260.75"/>
    <x v="167"/>
    <n v="0"/>
    <s v="0-3 Monaten"/>
    <x v="0"/>
    <n v="406"/>
  </r>
  <r>
    <x v="6"/>
    <x v="194"/>
    <x v="3"/>
    <x v="184"/>
    <x v="0"/>
    <s v="Tenant_89"/>
    <x v="168"/>
    <n v="222738.96"/>
    <n v="222738.96000000002"/>
    <s v=""/>
    <d v="2023-08-02T00:00:00"/>
    <d v="2026-11-14T00:00:00"/>
    <n v="1416.99"/>
    <n v="1997.93"/>
    <s v="OK"/>
    <s v=""/>
    <s v=""/>
    <x v="168"/>
    <n v="3414.92"/>
    <x v="168"/>
    <n v="8"/>
    <s v="6-12 Monaten"/>
    <x v="0"/>
    <n v="1259"/>
  </r>
  <r>
    <x v="2"/>
    <x v="195"/>
    <x v="3"/>
    <x v="185"/>
    <x v="0"/>
    <s v="Tenant_45"/>
    <x v="169"/>
    <n v="64277.279999999999"/>
    <n v="64277.279999999999"/>
    <s v=""/>
    <d v="2023-01-23T00:00:00"/>
    <d v="2027-11-13T00:00:00"/>
    <n v="1494.39"/>
    <n v="1443.45"/>
    <s v="OK"/>
    <s v=""/>
    <s v=""/>
    <x v="169"/>
    <n v="2937.84"/>
    <x v="169"/>
    <n v="20"/>
    <s v="12 M+"/>
    <x v="0"/>
    <n v="583"/>
  </r>
  <r>
    <x v="3"/>
    <x v="196"/>
    <x v="1"/>
    <x v="186"/>
    <x v="0"/>
    <s v="Tenant_111"/>
    <x v="170"/>
    <n v="181680.36"/>
    <n v="181680.36000000002"/>
    <s v=""/>
    <d v="2022-10-25T00:00:00"/>
    <d v="2027-08-26T00:00:00"/>
    <n v="2558.1799999999998"/>
    <n v="740.8"/>
    <s v="OK"/>
    <s v=""/>
    <s v=""/>
    <x v="170"/>
    <n v="3298.9799999999996"/>
    <x v="170"/>
    <n v="18"/>
    <s v="12 M+"/>
    <x v="0"/>
    <n v="1232"/>
  </r>
  <r>
    <x v="3"/>
    <x v="197"/>
    <x v="2"/>
    <x v="187"/>
    <x v="0"/>
    <s v="Tenant_54"/>
    <x v="171"/>
    <n v="61764.36"/>
    <n v="61764.36"/>
    <s v=""/>
    <d v="2021-10-14T00:00:00"/>
    <d v="2026-03-24T00:00:00"/>
    <n v="772.83"/>
    <n v="546.32000000000005"/>
    <s v="OK"/>
    <s v=""/>
    <s v=""/>
    <x v="171"/>
    <n v="1319.15"/>
    <x v="171"/>
    <n v="1"/>
    <s v="0-3 Monaten"/>
    <x v="0"/>
    <n v="566"/>
  </r>
  <r>
    <x v="0"/>
    <x v="198"/>
    <x v="0"/>
    <x v="188"/>
    <x v="1"/>
    <m/>
    <x v="1"/>
    <n v="0"/>
    <n v="0"/>
    <s v=""/>
    <m/>
    <m/>
    <n v="1270.1199999999999"/>
    <n v="1245.8900000000001"/>
    <s v="OK"/>
    <s v=""/>
    <s v="Rent&lt;=0"/>
    <x v="1"/>
    <n v="2516.0100000000002"/>
    <x v="1"/>
    <n v="0"/>
    <s v=""/>
    <x v="28"/>
    <n v="0"/>
  </r>
  <r>
    <x v="6"/>
    <x v="199"/>
    <x v="2"/>
    <x v="189"/>
    <x v="0"/>
    <s v="Tenant_8"/>
    <x v="172"/>
    <n v="19320.599999999999"/>
    <n v="19320.599999999999"/>
    <s v=""/>
    <d v="2022-09-08T00:00:00"/>
    <d v="2025-11-07T00:00:00"/>
    <n v="608.23"/>
    <n v="444.48"/>
    <s v="OK"/>
    <s v=""/>
    <s v=""/>
    <x v="172"/>
    <n v="1052.71"/>
    <x v="172"/>
    <n v="0"/>
    <s v="0-3 Monaten"/>
    <x v="0"/>
    <n v="250"/>
  </r>
  <r>
    <x v="7"/>
    <x v="200"/>
    <x v="0"/>
    <x v="190"/>
    <x v="0"/>
    <s v="Tenant_197"/>
    <x v="173"/>
    <n v="12020.88"/>
    <n v="12020.880000000001"/>
    <s v=""/>
    <d v="2023-10-04T00:00:00"/>
    <d v="2024-09-13T00:00:00"/>
    <n v="196.41"/>
    <n v="292.88"/>
    <s v="OK"/>
    <s v=""/>
    <s v=""/>
    <x v="173"/>
    <n v="489.28999999999996"/>
    <x v="173"/>
    <n v="0"/>
    <s v="0-3 Monaten"/>
    <x v="0"/>
    <n v="155"/>
  </r>
  <r>
    <x v="2"/>
    <x v="201"/>
    <x v="3"/>
    <x v="191"/>
    <x v="0"/>
    <s v="Tenant_115"/>
    <x v="174"/>
    <n v="158717.28"/>
    <n v="158717.28"/>
    <s v=""/>
    <d v="2023-10-30T00:00:00"/>
    <d v="2025-03-08T00:00:00"/>
    <n v="2280.2399999999998"/>
    <n v="2940.48"/>
    <s v="OK"/>
    <s v=""/>
    <s v=""/>
    <x v="174"/>
    <n v="5220.7199999999993"/>
    <x v="174"/>
    <n v="0"/>
    <s v="0-3 Monaten"/>
    <x v="0"/>
    <n v="1417"/>
  </r>
  <r>
    <x v="4"/>
    <x v="202"/>
    <x v="2"/>
    <x v="192"/>
    <x v="0"/>
    <s v="Tenant_143"/>
    <x v="175"/>
    <n v="216470.52"/>
    <n v="216470.52"/>
    <s v=""/>
    <d v="2023-04-29T00:00:00"/>
    <d v="2023-12-09T00:00:00"/>
    <n v="4191.22"/>
    <n v="3151.73"/>
    <s v="OK"/>
    <s v=""/>
    <s v=""/>
    <x v="175"/>
    <n v="7342.9500000000007"/>
    <x v="175"/>
    <n v="0"/>
    <s v="0-3 Monaten"/>
    <x v="0"/>
    <n v="1468"/>
  </r>
  <r>
    <x v="6"/>
    <x v="203"/>
    <x v="0"/>
    <x v="193"/>
    <x v="0"/>
    <s v="Tenant_102"/>
    <x v="176"/>
    <n v="164324.16"/>
    <n v="164324.16"/>
    <s v=""/>
    <d v="2022-08-09T00:00:00"/>
    <d v="2025-08-25T00:00:00"/>
    <n v="2292.62"/>
    <n v="2489.7800000000002"/>
    <s v="OK"/>
    <s v=""/>
    <s v=""/>
    <x v="176"/>
    <n v="4782.3999999999996"/>
    <x v="176"/>
    <n v="0"/>
    <s v="0-3 Monaten"/>
    <x v="0"/>
    <n v="1226"/>
  </r>
  <r>
    <x v="3"/>
    <x v="204"/>
    <x v="0"/>
    <x v="194"/>
    <x v="0"/>
    <s v="Tenant_71"/>
    <x v="177"/>
    <n v="157175.88"/>
    <n v="157175.88"/>
    <s v=""/>
    <d v="2023-06-14T00:00:00"/>
    <d v="2027-09-28T00:00:00"/>
    <n v="2754.83"/>
    <n v="1205.3"/>
    <s v="OK"/>
    <s v=""/>
    <s v=""/>
    <x v="177"/>
    <n v="3960.13"/>
    <x v="177"/>
    <n v="19"/>
    <s v="12 M+"/>
    <x v="0"/>
    <n v="1466"/>
  </r>
  <r>
    <x v="3"/>
    <x v="205"/>
    <x v="1"/>
    <x v="195"/>
    <x v="0"/>
    <s v="Tenant_75"/>
    <x v="178"/>
    <n v="109376.04"/>
    <n v="109376.04000000001"/>
    <s v=""/>
    <d v="2023-01-06T00:00:00"/>
    <d v="2026-03-01T00:00:00"/>
    <n v="1407.73"/>
    <n v="1132.0999999999999"/>
    <s v="OK"/>
    <s v=""/>
    <s v=""/>
    <x v="178"/>
    <n v="2539.83"/>
    <x v="178"/>
    <n v="0"/>
    <s v="0-3 Monaten"/>
    <x v="0"/>
    <n v="850"/>
  </r>
  <r>
    <x v="5"/>
    <x v="206"/>
    <x v="1"/>
    <x v="10"/>
    <x v="0"/>
    <s v="Tenant_199"/>
    <x v="179"/>
    <n v="28530.84"/>
    <n v="28530.840000000004"/>
    <s v=""/>
    <d v="2023-07-15T00:00:00"/>
    <d v="2027-10-17T00:00:00"/>
    <n v="208.64"/>
    <n v="123.53"/>
    <s v="OK"/>
    <s v=""/>
    <s v=""/>
    <x v="179"/>
    <n v="332.16999999999996"/>
    <x v="179"/>
    <n v="19"/>
    <s v="12 M+"/>
    <x v="0"/>
    <n v="174"/>
  </r>
  <r>
    <x v="5"/>
    <x v="207"/>
    <x v="0"/>
    <x v="196"/>
    <x v="1"/>
    <m/>
    <x v="1"/>
    <n v="0"/>
    <n v="0"/>
    <s v=""/>
    <m/>
    <m/>
    <n v="776.76"/>
    <n v="798.21"/>
    <s v="OK"/>
    <s v=""/>
    <s v="Rent&lt;=0"/>
    <x v="1"/>
    <n v="1574.97"/>
    <x v="1"/>
    <n v="0"/>
    <s v=""/>
    <x v="29"/>
    <n v="0"/>
  </r>
  <r>
    <x v="6"/>
    <x v="208"/>
    <x v="1"/>
    <x v="197"/>
    <x v="0"/>
    <s v="Tenant_75"/>
    <x v="180"/>
    <n v="28278.959999999999"/>
    <n v="28278.959999999999"/>
    <s v=""/>
    <d v="2023-07-29T00:00:00"/>
    <d v="2024-12-25T00:00:00"/>
    <n v="277.49"/>
    <n v="293.42"/>
    <s v="OK"/>
    <s v=""/>
    <s v=""/>
    <x v="180"/>
    <n v="570.91000000000008"/>
    <x v="180"/>
    <n v="0"/>
    <s v="0-3 Monaten"/>
    <x v="0"/>
    <n v="143"/>
  </r>
  <r>
    <x v="4"/>
    <x v="209"/>
    <x v="1"/>
    <x v="198"/>
    <x v="0"/>
    <s v="Tenant_94"/>
    <x v="181"/>
    <n v="4900.92"/>
    <n v="4900.92"/>
    <s v=""/>
    <d v="2022-03-29T00:00:00"/>
    <d v="2022-10-11T00:00:00"/>
    <n v="61.87"/>
    <n v="39"/>
    <s v="OK"/>
    <s v=""/>
    <s v=""/>
    <x v="181"/>
    <n v="100.87"/>
    <x v="181"/>
    <n v="0"/>
    <s v="0-3 Monaten"/>
    <x v="0"/>
    <n v="43"/>
  </r>
  <r>
    <x v="2"/>
    <x v="210"/>
    <x v="2"/>
    <x v="199"/>
    <x v="0"/>
    <s v="Tenant_70"/>
    <x v="182"/>
    <n v="16446.72"/>
    <n v="16446.72"/>
    <s v=""/>
    <d v="2021-11-03T00:00:00"/>
    <d v="2025-02-05T00:00:00"/>
    <n v="474.88"/>
    <n v="404.62"/>
    <s v="OK"/>
    <s v=""/>
    <s v=""/>
    <x v="182"/>
    <n v="879.5"/>
    <x v="182"/>
    <n v="0"/>
    <s v="0-3 Monaten"/>
    <x v="0"/>
    <n v="162"/>
  </r>
  <r>
    <x v="7"/>
    <x v="211"/>
    <x v="1"/>
    <x v="53"/>
    <x v="0"/>
    <s v="Tenant_83"/>
    <x v="183"/>
    <n v="46428.24"/>
    <n v="46428.24"/>
    <s v=""/>
    <d v="2021-09-04T00:00:00"/>
    <d v="2024-07-15T00:00:00"/>
    <n v="285.62"/>
    <n v="353.37"/>
    <s v="OK"/>
    <s v=""/>
    <s v=""/>
    <x v="183"/>
    <n v="638.99"/>
    <x v="183"/>
    <n v="0"/>
    <s v="0-3 Monaten"/>
    <x v="0"/>
    <n v="229"/>
  </r>
  <r>
    <x v="7"/>
    <x v="212"/>
    <x v="0"/>
    <x v="200"/>
    <x v="0"/>
    <s v="Tenant_37"/>
    <x v="184"/>
    <n v="45645.84"/>
    <n v="45645.840000000004"/>
    <s v=""/>
    <d v="2023-11-01T00:00:00"/>
    <d v="2026-09-19T00:00:00"/>
    <n v="1071.99"/>
    <n v="248.42"/>
    <s v="OK"/>
    <s v=""/>
    <s v=""/>
    <x v="184"/>
    <n v="1320.41"/>
    <x v="184"/>
    <n v="6"/>
    <s v="3-6 Monaten"/>
    <x v="0"/>
    <n v="377"/>
  </r>
  <r>
    <x v="3"/>
    <x v="213"/>
    <x v="3"/>
    <x v="201"/>
    <x v="0"/>
    <s v="Tenant_27"/>
    <x v="185"/>
    <n v="121843.08"/>
    <n v="121843.08"/>
    <s v=""/>
    <d v="2022-11-07T00:00:00"/>
    <d v="2025-06-30T00:00:00"/>
    <n v="2182.81"/>
    <n v="677.56"/>
    <s v="OK"/>
    <s v=""/>
    <s v=""/>
    <x v="185"/>
    <n v="2860.37"/>
    <x v="185"/>
    <n v="0"/>
    <s v="0-3 Monaten"/>
    <x v="0"/>
    <n v="954"/>
  </r>
  <r>
    <x v="6"/>
    <x v="214"/>
    <x v="2"/>
    <x v="202"/>
    <x v="0"/>
    <s v="Tenant_24"/>
    <x v="186"/>
    <n v="98549.16"/>
    <n v="98549.16"/>
    <s v=""/>
    <d v="2023-08-13T00:00:00"/>
    <d v="2024-03-07T00:00:00"/>
    <n v="800.81"/>
    <n v="1138.6199999999999"/>
    <s v="OK"/>
    <s v=""/>
    <s v=""/>
    <x v="186"/>
    <n v="1939.4299999999998"/>
    <x v="186"/>
    <n v="0"/>
    <s v="0-3 Monaten"/>
    <x v="0"/>
    <n v="767"/>
  </r>
  <r>
    <x v="6"/>
    <x v="215"/>
    <x v="2"/>
    <x v="203"/>
    <x v="0"/>
    <s v="Tenant_175"/>
    <x v="187"/>
    <n v="62350.2"/>
    <n v="62350.200000000004"/>
    <s v=""/>
    <d v="2023-08-02T00:00:00"/>
    <d v="2028-05-13T00:00:00"/>
    <n v="2367.65"/>
    <n v="1574.67"/>
    <s v="OK"/>
    <s v=""/>
    <s v=""/>
    <x v="187"/>
    <n v="3942.32"/>
    <x v="187"/>
    <n v="26"/>
    <s v="12 M+"/>
    <x v="0"/>
    <n v="860"/>
  </r>
  <r>
    <x v="6"/>
    <x v="216"/>
    <x v="0"/>
    <x v="204"/>
    <x v="0"/>
    <s v="Tenant_162"/>
    <x v="188"/>
    <n v="74076.12"/>
    <n v="74076.12"/>
    <s v=""/>
    <d v="2023-09-12T00:00:00"/>
    <d v="2027-01-23T00:00:00"/>
    <n v="1186.49"/>
    <n v="1201.5"/>
    <s v="OK"/>
    <s v=""/>
    <s v=""/>
    <x v="188"/>
    <n v="2387.9899999999998"/>
    <x v="188"/>
    <n v="11"/>
    <s v="6-12 Monaten"/>
    <x v="0"/>
    <n v="651"/>
  </r>
  <r>
    <x v="1"/>
    <x v="217"/>
    <x v="3"/>
    <x v="205"/>
    <x v="0"/>
    <s v="Tenant_146"/>
    <x v="189"/>
    <n v="121178.88"/>
    <n v="121178.88"/>
    <s v=""/>
    <d v="2023-10-18T00:00:00"/>
    <d v="2028-05-27T00:00:00"/>
    <n v="877.49"/>
    <n v="1095.25"/>
    <s v="OK"/>
    <s v=""/>
    <s v=""/>
    <x v="189"/>
    <n v="1972.74"/>
    <x v="189"/>
    <n v="27"/>
    <s v="12 M+"/>
    <x v="0"/>
    <n v="701"/>
  </r>
  <r>
    <x v="2"/>
    <x v="218"/>
    <x v="3"/>
    <x v="206"/>
    <x v="0"/>
    <s v="Tenant_200"/>
    <x v="190"/>
    <n v="213904.08"/>
    <n v="213904.08000000002"/>
    <s v=""/>
    <d v="2022-04-26T00:00:00"/>
    <d v="2024-12-19T00:00:00"/>
    <n v="3381.73"/>
    <n v="1049.68"/>
    <s v="OK"/>
    <s v=""/>
    <s v=""/>
    <x v="190"/>
    <n v="4431.41"/>
    <x v="190"/>
    <n v="0"/>
    <s v="0-3 Monaten"/>
    <x v="0"/>
    <n v="1438"/>
  </r>
  <r>
    <x v="1"/>
    <x v="219"/>
    <x v="3"/>
    <x v="207"/>
    <x v="0"/>
    <s v="Tenant_83"/>
    <x v="191"/>
    <n v="61723.56"/>
    <n v="61723.56"/>
    <s v=""/>
    <d v="2022-03-19T00:00:00"/>
    <d v="2024-05-05T00:00:00"/>
    <n v="2533.9699999999998"/>
    <n v="1538.63"/>
    <s v="OK"/>
    <s v=""/>
    <s v=""/>
    <x v="191"/>
    <n v="4072.6"/>
    <x v="191"/>
    <n v="0"/>
    <s v="0-3 Monaten"/>
    <x v="0"/>
    <n v="848"/>
  </r>
  <r>
    <x v="2"/>
    <x v="220"/>
    <x v="0"/>
    <x v="208"/>
    <x v="0"/>
    <s v="Tenant_86"/>
    <x v="192"/>
    <n v="68741.64"/>
    <n v="68741.64"/>
    <s v=""/>
    <d v="2021-11-05T00:00:00"/>
    <d v="2023-01-22T00:00:00"/>
    <n v="975.59"/>
    <n v="1182.75"/>
    <s v="OK"/>
    <s v=""/>
    <s v=""/>
    <x v="192"/>
    <n v="2158.34"/>
    <x v="192"/>
    <n v="0"/>
    <s v="0-3 Monaten"/>
    <x v="0"/>
    <n v="485"/>
  </r>
  <r>
    <x v="3"/>
    <x v="221"/>
    <x v="2"/>
    <x v="209"/>
    <x v="0"/>
    <s v="Tenant_42"/>
    <x v="193"/>
    <n v="25458"/>
    <n v="25458"/>
    <s v=""/>
    <d v="2022-02-28T00:00:00"/>
    <d v="2023-05-19T00:00:00"/>
    <n v="334.11"/>
    <n v="190.1"/>
    <s v="OK"/>
    <s v=""/>
    <s v=""/>
    <x v="193"/>
    <n v="524.21"/>
    <x v="193"/>
    <n v="0"/>
    <s v="0-3 Monaten"/>
    <x v="0"/>
    <n v="130"/>
  </r>
  <r>
    <x v="6"/>
    <x v="222"/>
    <x v="3"/>
    <x v="192"/>
    <x v="0"/>
    <s v="Tenant_5"/>
    <x v="194"/>
    <n v="231852.6"/>
    <n v="231852.59999999998"/>
    <s v=""/>
    <d v="2023-05-26T00:00:00"/>
    <d v="2026-12-01T00:00:00"/>
    <n v="1474.02"/>
    <n v="1438.13"/>
    <s v="OK"/>
    <s v=""/>
    <s v=""/>
    <x v="194"/>
    <n v="2912.15"/>
    <x v="194"/>
    <n v="9"/>
    <s v="6-12 Monaten"/>
    <x v="0"/>
    <n v="1468"/>
  </r>
  <r>
    <x v="5"/>
    <x v="223"/>
    <x v="0"/>
    <x v="210"/>
    <x v="0"/>
    <s v="Tenant_73"/>
    <x v="195"/>
    <n v="106641.72"/>
    <n v="106641.72"/>
    <s v=""/>
    <d v="2021-05-08T00:00:00"/>
    <d v="2022-02-11T00:00:00"/>
    <n v="2025.1"/>
    <n v="685.1"/>
    <s v="OK"/>
    <s v=""/>
    <s v=""/>
    <x v="195"/>
    <n v="2710.2"/>
    <x v="195"/>
    <n v="0"/>
    <s v="0-3 Monaten"/>
    <x v="0"/>
    <n v="909"/>
  </r>
  <r>
    <x v="0"/>
    <x v="224"/>
    <x v="1"/>
    <x v="211"/>
    <x v="0"/>
    <s v="Tenant_135"/>
    <x v="196"/>
    <n v="219737.28"/>
    <n v="219737.27999999997"/>
    <s v=""/>
    <d v="2023-03-18T00:00:00"/>
    <d v="2024-04-09T00:00:00"/>
    <n v="1672.67"/>
    <n v="1173.54"/>
    <s v="OK"/>
    <s v=""/>
    <s v=""/>
    <x v="196"/>
    <n v="2846.21"/>
    <x v="196"/>
    <n v="0"/>
    <s v="0-3 Monaten"/>
    <x v="0"/>
    <n v="1060"/>
  </r>
  <r>
    <x v="0"/>
    <x v="225"/>
    <x v="1"/>
    <x v="212"/>
    <x v="0"/>
    <s v="Tenant_123"/>
    <x v="197"/>
    <n v="120181.68"/>
    <n v="120181.68"/>
    <s v=""/>
    <d v="2022-06-09T00:00:00"/>
    <d v="2026-07-24T00:00:00"/>
    <n v="1353.55"/>
    <n v="1116.52"/>
    <s v="OK"/>
    <s v=""/>
    <s v=""/>
    <x v="197"/>
    <n v="2470.0699999999997"/>
    <x v="197"/>
    <n v="5"/>
    <s v="3-6 Monaten"/>
    <x v="0"/>
    <n v="971"/>
  </r>
  <r>
    <x v="3"/>
    <x v="226"/>
    <x v="0"/>
    <x v="213"/>
    <x v="0"/>
    <s v="Tenant_51"/>
    <x v="198"/>
    <n v="106404.24"/>
    <n v="106404.24"/>
    <s v=""/>
    <d v="2021-09-04T00:00:00"/>
    <d v="2025-01-20T00:00:00"/>
    <n v="1038.9000000000001"/>
    <n v="1623.66"/>
    <s v="OK"/>
    <s v=""/>
    <s v=""/>
    <x v="198"/>
    <n v="2662.5600000000004"/>
    <x v="198"/>
    <n v="0"/>
    <s v="0-3 Monaten"/>
    <x v="0"/>
    <n v="692"/>
  </r>
  <r>
    <x v="0"/>
    <x v="227"/>
    <x v="1"/>
    <x v="214"/>
    <x v="1"/>
    <m/>
    <x v="1"/>
    <n v="0"/>
    <n v="0"/>
    <s v=""/>
    <m/>
    <m/>
    <n v="1870.48"/>
    <n v="2508.64"/>
    <s v="OK"/>
    <s v=""/>
    <s v="Rent&lt;=0"/>
    <x v="1"/>
    <n v="4379.12"/>
    <x v="1"/>
    <n v="0"/>
    <s v=""/>
    <x v="30"/>
    <n v="0"/>
  </r>
  <r>
    <x v="3"/>
    <x v="228"/>
    <x v="1"/>
    <x v="215"/>
    <x v="0"/>
    <s v="Tenant_154"/>
    <x v="199"/>
    <n v="275406.96000000002"/>
    <n v="275406.96000000002"/>
    <s v=""/>
    <d v="2022-01-17T00:00:00"/>
    <d v="2023-12-11T00:00:00"/>
    <n v="3833.91"/>
    <n v="931.14"/>
    <s v="OK"/>
    <s v=""/>
    <s v=""/>
    <x v="199"/>
    <n v="4765.05"/>
    <x v="199"/>
    <n v="0"/>
    <s v="0-3 Monaten"/>
    <x v="0"/>
    <n v="1317"/>
  </r>
  <r>
    <x v="5"/>
    <x v="229"/>
    <x v="2"/>
    <x v="216"/>
    <x v="0"/>
    <s v="Tenant_175"/>
    <x v="200"/>
    <n v="87337.2"/>
    <n v="87337.200000000012"/>
    <s v=""/>
    <d v="2023-02-18T00:00:00"/>
    <d v="2023-08-24T00:00:00"/>
    <n v="2075.2199999999998"/>
    <n v="1798.75"/>
    <s v="OK"/>
    <s v=""/>
    <s v=""/>
    <x v="200"/>
    <n v="3873.97"/>
    <x v="200"/>
    <n v="0"/>
    <s v="0-3 Monaten"/>
    <x v="0"/>
    <n v="861"/>
  </r>
  <r>
    <x v="1"/>
    <x v="230"/>
    <x v="2"/>
    <x v="217"/>
    <x v="1"/>
    <m/>
    <x v="1"/>
    <n v="0"/>
    <n v="0"/>
    <s v=""/>
    <m/>
    <m/>
    <n v="2583.94"/>
    <n v="1783.89"/>
    <s v="OK"/>
    <s v=""/>
    <s v="Rent&lt;=0"/>
    <x v="1"/>
    <n v="4367.83"/>
    <x v="1"/>
    <n v="0"/>
    <s v=""/>
    <x v="31"/>
    <n v="0"/>
  </r>
  <r>
    <x v="5"/>
    <x v="231"/>
    <x v="2"/>
    <x v="218"/>
    <x v="0"/>
    <s v="Tenant_52"/>
    <x v="201"/>
    <n v="38890.92"/>
    <n v="38890.92"/>
    <s v=""/>
    <d v="2022-02-22T00:00:00"/>
    <d v="2026-07-27T00:00:00"/>
    <n v="680.39"/>
    <n v="564.66999999999996"/>
    <s v="OK"/>
    <s v=""/>
    <s v=""/>
    <x v="201"/>
    <n v="1245.06"/>
    <x v="201"/>
    <n v="5"/>
    <s v="3-6 Monaten"/>
    <x v="0"/>
    <n v="320"/>
  </r>
  <r>
    <x v="0"/>
    <x v="232"/>
    <x v="3"/>
    <x v="219"/>
    <x v="0"/>
    <s v="Tenant_135"/>
    <x v="202"/>
    <n v="84941.28"/>
    <n v="84941.28"/>
    <s v=""/>
    <d v="2021-12-15T00:00:00"/>
    <d v="2026-11-03T00:00:00"/>
    <n v="2236.4899999999998"/>
    <n v="2319.52"/>
    <s v="OK"/>
    <s v=""/>
    <s v=""/>
    <x v="202"/>
    <n v="4556.01"/>
    <x v="202"/>
    <n v="8"/>
    <s v="6-12 Monaten"/>
    <x v="0"/>
    <n v="985"/>
  </r>
  <r>
    <x v="5"/>
    <x v="233"/>
    <x v="2"/>
    <x v="214"/>
    <x v="0"/>
    <s v="Tenant_174"/>
    <x v="203"/>
    <n v="205853.88"/>
    <n v="205853.88"/>
    <s v=""/>
    <d v="2023-06-21T00:00:00"/>
    <d v="2024-11-16T00:00:00"/>
    <n v="2336.5300000000002"/>
    <n v="1047.57"/>
    <s v="OK"/>
    <s v=""/>
    <s v=""/>
    <x v="203"/>
    <n v="3384.1000000000004"/>
    <x v="203"/>
    <n v="0"/>
    <s v="0-3 Monaten"/>
    <x v="0"/>
    <n v="1275"/>
  </r>
  <r>
    <x v="4"/>
    <x v="234"/>
    <x v="1"/>
    <x v="220"/>
    <x v="0"/>
    <s v="Tenant_144"/>
    <x v="204"/>
    <n v="134627.88"/>
    <n v="134627.88"/>
    <s v=""/>
    <d v="2021-11-03T00:00:00"/>
    <d v="2023-08-17T00:00:00"/>
    <n v="1245.32"/>
    <n v="1037.68"/>
    <s v="OK"/>
    <s v=""/>
    <s v=""/>
    <x v="204"/>
    <n v="2283"/>
    <x v="204"/>
    <n v="0"/>
    <s v="0-3 Monaten"/>
    <x v="0"/>
    <n v="667"/>
  </r>
  <r>
    <x v="6"/>
    <x v="235"/>
    <x v="0"/>
    <x v="221"/>
    <x v="0"/>
    <s v="Tenant_37"/>
    <x v="205"/>
    <n v="175099.68"/>
    <n v="175099.68"/>
    <s v=""/>
    <d v="2023-10-19T00:00:00"/>
    <d v="2026-02-11T00:00:00"/>
    <n v="3859.89"/>
    <n v="2761.71"/>
    <s v="OK"/>
    <s v=""/>
    <s v=""/>
    <x v="205"/>
    <n v="6621.6"/>
    <x v="205"/>
    <n v="0"/>
    <s v="0-3 Monaten"/>
    <x v="0"/>
    <n v="1426"/>
  </r>
  <r>
    <x v="3"/>
    <x v="236"/>
    <x v="3"/>
    <x v="222"/>
    <x v="0"/>
    <s v="Tenant_181"/>
    <x v="206"/>
    <n v="170241"/>
    <n v="170241"/>
    <s v=""/>
    <d v="2022-11-01T00:00:00"/>
    <d v="2023-08-11T00:00:00"/>
    <n v="1442.18"/>
    <n v="2416.7600000000002"/>
    <s v="OK"/>
    <s v=""/>
    <s v=""/>
    <x v="206"/>
    <n v="3858.9400000000005"/>
    <x v="206"/>
    <n v="0"/>
    <s v="0-3 Monaten"/>
    <x v="0"/>
    <n v="1205"/>
  </r>
  <r>
    <x v="3"/>
    <x v="237"/>
    <x v="3"/>
    <x v="26"/>
    <x v="1"/>
    <m/>
    <x v="1"/>
    <n v="0"/>
    <n v="0"/>
    <s v=""/>
    <m/>
    <m/>
    <n v="1074.4000000000001"/>
    <n v="732.51"/>
    <s v="OK"/>
    <s v=""/>
    <s v="Rent&lt;=0"/>
    <x v="1"/>
    <n v="1806.91"/>
    <x v="1"/>
    <n v="0"/>
    <s v=""/>
    <x v="6"/>
    <n v="0"/>
  </r>
  <r>
    <x v="2"/>
    <x v="238"/>
    <x v="3"/>
    <x v="170"/>
    <x v="0"/>
    <s v="Tenant_198"/>
    <x v="207"/>
    <n v="142367.64000000001"/>
    <n v="142367.63999999998"/>
    <s v=""/>
    <d v="2023-01-05T00:00:00"/>
    <d v="2023-07-21T00:00:00"/>
    <n v="832.76"/>
    <n v="488.84"/>
    <s v="OK"/>
    <s v=""/>
    <s v=""/>
    <x v="207"/>
    <n v="1321.6"/>
    <x v="207"/>
    <n v="0"/>
    <s v="0-3 Monaten"/>
    <x v="0"/>
    <n v="787"/>
  </r>
  <r>
    <x v="2"/>
    <x v="239"/>
    <x v="1"/>
    <x v="223"/>
    <x v="0"/>
    <s v="Tenant_96"/>
    <x v="208"/>
    <n v="42272.52"/>
    <n v="42272.520000000004"/>
    <s v=""/>
    <d v="2023-03-03T00:00:00"/>
    <d v="2026-05-11T00:00:00"/>
    <n v="338.68"/>
    <n v="122.67"/>
    <s v="OK"/>
    <s v=""/>
    <s v=""/>
    <x v="208"/>
    <n v="461.35"/>
    <x v="208"/>
    <n v="2"/>
    <s v="0-3 Monaten"/>
    <x v="0"/>
    <n v="199"/>
  </r>
  <r>
    <x v="1"/>
    <x v="240"/>
    <x v="2"/>
    <x v="224"/>
    <x v="0"/>
    <s v="Tenant_94"/>
    <x v="209"/>
    <n v="45681.36"/>
    <n v="45681.36"/>
    <s v=""/>
    <d v="2021-08-27T00:00:00"/>
    <d v="2022-09-18T00:00:00"/>
    <n v="804.25"/>
    <n v="686.24"/>
    <s v="OK"/>
    <s v=""/>
    <s v=""/>
    <x v="209"/>
    <n v="1490.49"/>
    <x v="209"/>
    <n v="0"/>
    <s v="0-3 Monaten"/>
    <x v="0"/>
    <n v="578"/>
  </r>
  <r>
    <x v="6"/>
    <x v="241"/>
    <x v="2"/>
    <x v="187"/>
    <x v="0"/>
    <s v="Tenant_29"/>
    <x v="210"/>
    <n v="104737.08"/>
    <n v="104737.08"/>
    <s v=""/>
    <d v="2023-06-17T00:00:00"/>
    <d v="2028-03-16T00:00:00"/>
    <n v="616.99"/>
    <n v="377.36"/>
    <s v="OK"/>
    <s v=""/>
    <s v=""/>
    <x v="210"/>
    <n v="994.35"/>
    <x v="210"/>
    <n v="24"/>
    <s v="12 M+"/>
    <x v="0"/>
    <n v="566"/>
  </r>
  <r>
    <x v="2"/>
    <x v="242"/>
    <x v="1"/>
    <x v="225"/>
    <x v="0"/>
    <s v="Tenant_80"/>
    <x v="211"/>
    <n v="133213.44"/>
    <n v="133213.44"/>
    <s v=""/>
    <d v="2023-05-14T00:00:00"/>
    <d v="2026-02-18T00:00:00"/>
    <n v="1431.69"/>
    <n v="1029.93"/>
    <s v="OK"/>
    <s v=""/>
    <s v=""/>
    <x v="211"/>
    <n v="2461.62"/>
    <x v="211"/>
    <n v="0"/>
    <s v="0-3 Monaten"/>
    <x v="0"/>
    <n v="623"/>
  </r>
  <r>
    <x v="0"/>
    <x v="243"/>
    <x v="0"/>
    <x v="226"/>
    <x v="0"/>
    <s v="Tenant_168"/>
    <x v="212"/>
    <n v="248210.16"/>
    <n v="248210.16"/>
    <s v=""/>
    <d v="2023-11-10T00:00:00"/>
    <d v="2028-09-18T00:00:00"/>
    <n v="3247.84"/>
    <n v="1009.17"/>
    <s v="OK"/>
    <s v=""/>
    <s v=""/>
    <x v="212"/>
    <n v="4257.01"/>
    <x v="212"/>
    <n v="30"/>
    <s v="12 M+"/>
    <x v="0"/>
    <n v="1421"/>
  </r>
  <r>
    <x v="6"/>
    <x v="244"/>
    <x v="2"/>
    <x v="227"/>
    <x v="0"/>
    <s v="Tenant_102"/>
    <x v="213"/>
    <n v="123043.56"/>
    <n v="123043.56"/>
    <s v=""/>
    <d v="2022-06-12T00:00:00"/>
    <d v="2026-06-28T00:00:00"/>
    <n v="2159.2399999999998"/>
    <n v="450.28"/>
    <s v="OK"/>
    <s v=""/>
    <s v=""/>
    <x v="213"/>
    <n v="2609.5199999999995"/>
    <x v="213"/>
    <n v="4"/>
    <s v="3-6 Monaten"/>
    <x v="0"/>
    <n v="895"/>
  </r>
  <r>
    <x v="3"/>
    <x v="245"/>
    <x v="2"/>
    <x v="228"/>
    <x v="0"/>
    <s v="Tenant_117"/>
    <x v="214"/>
    <n v="161629.68"/>
    <n v="161629.68"/>
    <s v=""/>
    <d v="2021-04-26T00:00:00"/>
    <d v="2022-09-20T00:00:00"/>
    <n v="4164.13"/>
    <n v="3240.89"/>
    <s v="OK"/>
    <s v=""/>
    <s v=""/>
    <x v="214"/>
    <n v="7405.02"/>
    <x v="214"/>
    <n v="0"/>
    <s v="0-3 Monaten"/>
    <x v="0"/>
    <n v="1448"/>
  </r>
  <r>
    <x v="6"/>
    <x v="246"/>
    <x v="1"/>
    <x v="229"/>
    <x v="0"/>
    <s v="Tenant_156"/>
    <x v="215"/>
    <n v="62321.760000000002"/>
    <n v="62321.759999999995"/>
    <s v=""/>
    <d v="2023-09-02T00:00:00"/>
    <d v="2028-01-07T00:00:00"/>
    <n v="815.6"/>
    <n v="642.96"/>
    <s v="OK"/>
    <s v=""/>
    <s v=""/>
    <x v="215"/>
    <n v="1458.56"/>
    <x v="215"/>
    <n v="22"/>
    <s v="12 M+"/>
    <x v="0"/>
    <n v="291"/>
  </r>
  <r>
    <x v="4"/>
    <x v="247"/>
    <x v="1"/>
    <x v="230"/>
    <x v="0"/>
    <s v="Tenant_71"/>
    <x v="216"/>
    <n v="158086.92000000001"/>
    <n v="158086.91999999998"/>
    <s v=""/>
    <d v="2023-12-16T00:00:00"/>
    <d v="2028-10-04T00:00:00"/>
    <n v="1546.6"/>
    <n v="2354.67"/>
    <s v="OK"/>
    <s v=""/>
    <s v=""/>
    <x v="216"/>
    <n v="3901.27"/>
    <x v="216"/>
    <n v="31"/>
    <s v="12 M+"/>
    <x v="0"/>
    <n v="1284"/>
  </r>
  <r>
    <x v="0"/>
    <x v="248"/>
    <x v="2"/>
    <x v="231"/>
    <x v="1"/>
    <m/>
    <x v="1"/>
    <n v="0"/>
    <n v="0"/>
    <s v=""/>
    <m/>
    <m/>
    <n v="305.48"/>
    <n v="77.94"/>
    <s v="OK"/>
    <s v=""/>
    <s v="Rent&lt;=0"/>
    <x v="1"/>
    <n v="383.42"/>
    <x v="1"/>
    <n v="0"/>
    <s v=""/>
    <x v="32"/>
    <n v="0"/>
  </r>
  <r>
    <x v="4"/>
    <x v="249"/>
    <x v="0"/>
    <x v="232"/>
    <x v="0"/>
    <s v="Tenant_18"/>
    <x v="217"/>
    <n v="164729.28"/>
    <n v="164729.28"/>
    <s v=""/>
    <d v="2021-07-25T00:00:00"/>
    <d v="2023-05-19T00:00:00"/>
    <n v="2644.35"/>
    <n v="3270.93"/>
    <s v="OK"/>
    <s v=""/>
    <s v=""/>
    <x v="217"/>
    <n v="5915.28"/>
    <x v="217"/>
    <n v="0"/>
    <s v="0-3 Monaten"/>
    <x v="0"/>
    <n v="1319"/>
  </r>
  <r>
    <x v="1"/>
    <x v="250"/>
    <x v="3"/>
    <x v="233"/>
    <x v="0"/>
    <s v="Tenant_84"/>
    <x v="218"/>
    <n v="141729.96"/>
    <n v="141729.96"/>
    <s v=""/>
    <d v="2021-10-17T00:00:00"/>
    <d v="2024-03-29T00:00:00"/>
    <n v="3069.43"/>
    <n v="821.43"/>
    <s v="OK"/>
    <s v=""/>
    <s v=""/>
    <x v="218"/>
    <n v="3890.8599999999997"/>
    <x v="218"/>
    <n v="0"/>
    <s v="0-3 Monaten"/>
    <x v="0"/>
    <n v="1182"/>
  </r>
  <r>
    <x v="1"/>
    <x v="251"/>
    <x v="3"/>
    <x v="234"/>
    <x v="0"/>
    <s v="Tenant_101"/>
    <x v="219"/>
    <n v="114977.76"/>
    <n v="114977.76"/>
    <s v=""/>
    <d v="2023-05-16T00:00:00"/>
    <d v="2026-01-29T00:00:00"/>
    <n v="1371.59"/>
    <n v="773.13"/>
    <s v="OK"/>
    <s v=""/>
    <s v=""/>
    <x v="219"/>
    <n v="2144.7199999999998"/>
    <x v="219"/>
    <n v="0"/>
    <s v="0-3 Monaten"/>
    <x v="0"/>
    <n v="663"/>
  </r>
  <r>
    <x v="0"/>
    <x v="252"/>
    <x v="2"/>
    <x v="235"/>
    <x v="0"/>
    <s v="Tenant_73"/>
    <x v="220"/>
    <n v="145485.6"/>
    <n v="145485.59999999998"/>
    <s v=""/>
    <d v="2022-05-27T00:00:00"/>
    <d v="2025-12-10T00:00:00"/>
    <n v="2341.34"/>
    <n v="2169.87"/>
    <s v="OK"/>
    <s v=""/>
    <s v=""/>
    <x v="220"/>
    <n v="4511.21"/>
    <x v="220"/>
    <n v="0"/>
    <s v="0-3 Monaten"/>
    <x v="0"/>
    <n v="1125"/>
  </r>
  <r>
    <x v="4"/>
    <x v="253"/>
    <x v="2"/>
    <x v="236"/>
    <x v="0"/>
    <s v="Tenant_87"/>
    <x v="221"/>
    <n v="144338.88"/>
    <n v="144338.88"/>
    <s v=""/>
    <d v="2022-01-15T00:00:00"/>
    <d v="2025-07-18T00:00:00"/>
    <n v="2394.36"/>
    <n v="1357.48"/>
    <s v="OK"/>
    <s v=""/>
    <s v=""/>
    <x v="221"/>
    <n v="3751.84"/>
    <x v="221"/>
    <n v="0"/>
    <s v="0-3 Monaten"/>
    <x v="0"/>
    <n v="868"/>
  </r>
  <r>
    <x v="3"/>
    <x v="254"/>
    <x v="1"/>
    <x v="237"/>
    <x v="0"/>
    <s v="Tenant_77"/>
    <x v="222"/>
    <n v="133907.04"/>
    <n v="133907.04"/>
    <s v=""/>
    <d v="2022-02-26T00:00:00"/>
    <d v="2025-03-31T00:00:00"/>
    <n v="1380.35"/>
    <n v="1312.52"/>
    <s v="OK"/>
    <s v=""/>
    <s v=""/>
    <x v="222"/>
    <n v="2692.87"/>
    <x v="222"/>
    <n v="0"/>
    <s v="0-3 Monaten"/>
    <x v="0"/>
    <n v="1211"/>
  </r>
  <r>
    <x v="4"/>
    <x v="255"/>
    <x v="0"/>
    <x v="238"/>
    <x v="0"/>
    <s v="Tenant_147"/>
    <x v="223"/>
    <n v="256530.12"/>
    <n v="256530.12"/>
    <s v=""/>
    <d v="2022-07-17T00:00:00"/>
    <d v="2025-01-25T00:00:00"/>
    <n v="1798.49"/>
    <n v="1707.22"/>
    <s v="OK"/>
    <s v=""/>
    <s v=""/>
    <x v="223"/>
    <n v="3505.71"/>
    <x v="223"/>
    <n v="0"/>
    <s v="0-3 Monaten"/>
    <x v="0"/>
    <n v="1306"/>
  </r>
  <r>
    <x v="1"/>
    <x v="256"/>
    <x v="1"/>
    <x v="98"/>
    <x v="0"/>
    <s v="Tenant_97"/>
    <x v="224"/>
    <n v="111139.8"/>
    <n v="111139.79999999999"/>
    <s v=""/>
    <d v="2023-05-23T00:00:00"/>
    <d v="2027-11-30T00:00:00"/>
    <n v="1869.29"/>
    <n v="1399.89"/>
    <s v="OK"/>
    <s v=""/>
    <s v=""/>
    <x v="224"/>
    <n v="3269.1800000000003"/>
    <x v="224"/>
    <n v="21"/>
    <s v="12 M+"/>
    <x v="0"/>
    <n v="1065"/>
  </r>
  <r>
    <x v="6"/>
    <x v="257"/>
    <x v="1"/>
    <x v="239"/>
    <x v="0"/>
    <s v="Tenant_121"/>
    <x v="225"/>
    <n v="113166.36"/>
    <n v="113166.36000000002"/>
    <s v=""/>
    <d v="2021-06-15T00:00:00"/>
    <d v="2024-05-26T00:00:00"/>
    <n v="1647.28"/>
    <n v="1135.04"/>
    <s v="OK"/>
    <s v=""/>
    <s v=""/>
    <x v="225"/>
    <n v="2782.3199999999997"/>
    <x v="225"/>
    <n v="0"/>
    <s v="0-3 Monaten"/>
    <x v="0"/>
    <n v="606"/>
  </r>
  <r>
    <x v="4"/>
    <x v="258"/>
    <x v="0"/>
    <x v="123"/>
    <x v="0"/>
    <s v="Tenant_148"/>
    <x v="226"/>
    <n v="166100.64000000001"/>
    <n v="166100.63999999998"/>
    <s v=""/>
    <d v="2023-06-12T00:00:00"/>
    <d v="2025-04-22T00:00:00"/>
    <n v="1464.11"/>
    <n v="2822.58"/>
    <s v="OK"/>
    <s v=""/>
    <s v=""/>
    <x v="226"/>
    <n v="4286.6899999999996"/>
    <x v="226"/>
    <n v="0"/>
    <s v="0-3 Monaten"/>
    <x v="0"/>
    <n v="1292"/>
  </r>
  <r>
    <x v="5"/>
    <x v="259"/>
    <x v="0"/>
    <x v="240"/>
    <x v="0"/>
    <s v="Tenant_153"/>
    <x v="227"/>
    <n v="138838.92000000001"/>
    <n v="138838.91999999998"/>
    <s v=""/>
    <d v="2021-05-29T00:00:00"/>
    <d v="2024-10-26T00:00:00"/>
    <n v="1021.83"/>
    <n v="795.58"/>
    <s v="OK"/>
    <s v=""/>
    <s v=""/>
    <x v="227"/>
    <n v="1817.41"/>
    <x v="227"/>
    <n v="0"/>
    <s v="0-3 Monaten"/>
    <x v="0"/>
    <n v="737"/>
  </r>
  <r>
    <x v="3"/>
    <x v="260"/>
    <x v="1"/>
    <x v="241"/>
    <x v="0"/>
    <s v="Tenant_176"/>
    <x v="228"/>
    <n v="88823.4"/>
    <n v="88823.4"/>
    <s v=""/>
    <d v="2022-05-14T00:00:00"/>
    <d v="2023-04-18T00:00:00"/>
    <n v="2443.35"/>
    <n v="757.45"/>
    <s v="OK"/>
    <s v=""/>
    <s v=""/>
    <x v="228"/>
    <n v="3200.8"/>
    <x v="228"/>
    <n v="0"/>
    <s v="0-3 Monaten"/>
    <x v="0"/>
    <n v="932"/>
  </r>
  <r>
    <x v="5"/>
    <x v="261"/>
    <x v="2"/>
    <x v="242"/>
    <x v="0"/>
    <s v="Tenant_102"/>
    <x v="229"/>
    <n v="148909.56"/>
    <n v="148909.56"/>
    <s v=""/>
    <d v="2023-03-29T00:00:00"/>
    <d v="2025-02-12T00:00:00"/>
    <n v="1980.97"/>
    <n v="1518.78"/>
    <s v="OK"/>
    <s v=""/>
    <s v=""/>
    <x v="229"/>
    <n v="3499.75"/>
    <x v="229"/>
    <n v="0"/>
    <s v="0-3 Monaten"/>
    <x v="0"/>
    <n v="907"/>
  </r>
  <r>
    <x v="1"/>
    <x v="262"/>
    <x v="2"/>
    <x v="243"/>
    <x v="0"/>
    <s v="Tenant_41"/>
    <x v="230"/>
    <n v="168570.12"/>
    <n v="168570.12"/>
    <s v=""/>
    <d v="2021-06-09T00:00:00"/>
    <d v="2021-12-07T00:00:00"/>
    <n v="3340.25"/>
    <n v="1271.97"/>
    <s v="OK"/>
    <s v=""/>
    <s v=""/>
    <x v="230"/>
    <n v="4612.22"/>
    <x v="230"/>
    <n v="0"/>
    <s v="0-3 Monaten"/>
    <x v="0"/>
    <n v="1243"/>
  </r>
  <r>
    <x v="0"/>
    <x v="263"/>
    <x v="3"/>
    <x v="244"/>
    <x v="0"/>
    <s v="Tenant_15"/>
    <x v="231"/>
    <n v="173201.28"/>
    <n v="173201.28"/>
    <s v=""/>
    <d v="2021-08-05T00:00:00"/>
    <d v="2022-08-14T00:00:00"/>
    <n v="3482.79"/>
    <n v="1141.3900000000001"/>
    <s v="OK"/>
    <s v=""/>
    <s v=""/>
    <x v="231"/>
    <n v="4624.18"/>
    <x v="231"/>
    <n v="0"/>
    <s v="0-3 Monaten"/>
    <x v="0"/>
    <n v="1219"/>
  </r>
  <r>
    <x v="2"/>
    <x v="264"/>
    <x v="2"/>
    <x v="245"/>
    <x v="0"/>
    <s v="Tenant_27"/>
    <x v="232"/>
    <n v="131726.76"/>
    <n v="131726.76"/>
    <s v=""/>
    <d v="2021-08-28T00:00:00"/>
    <d v="2023-06-27T00:00:00"/>
    <n v="1740.74"/>
    <n v="2055.2399999999998"/>
    <s v="OK"/>
    <s v=""/>
    <s v=""/>
    <x v="232"/>
    <n v="3795.9799999999996"/>
    <x v="232"/>
    <n v="0"/>
    <s v="0-3 Monaten"/>
    <x v="0"/>
    <n v="1121"/>
  </r>
  <r>
    <x v="3"/>
    <x v="265"/>
    <x v="0"/>
    <x v="246"/>
    <x v="0"/>
    <s v="Tenant_92"/>
    <x v="233"/>
    <n v="94434.6"/>
    <n v="94434.6"/>
    <s v=""/>
    <d v="2022-05-05T00:00:00"/>
    <d v="2023-02-17T00:00:00"/>
    <n v="1300.73"/>
    <n v="686.34"/>
    <s v="OK"/>
    <s v=""/>
    <s v=""/>
    <x v="233"/>
    <n v="1987.0700000000002"/>
    <x v="233"/>
    <n v="0"/>
    <s v="0-3 Monaten"/>
    <x v="0"/>
    <n v="816"/>
  </r>
  <r>
    <x v="0"/>
    <x v="266"/>
    <x v="3"/>
    <x v="247"/>
    <x v="0"/>
    <s v="Tenant_121"/>
    <x v="234"/>
    <n v="75355.8"/>
    <n v="75355.799999999988"/>
    <s v=""/>
    <d v="2021-09-13T00:00:00"/>
    <d v="2024-10-22T00:00:00"/>
    <n v="2301.5"/>
    <n v="877.18"/>
    <s v="OK"/>
    <s v=""/>
    <s v=""/>
    <x v="234"/>
    <n v="3178.68"/>
    <x v="234"/>
    <n v="0"/>
    <s v="0-3 Monaten"/>
    <x v="0"/>
    <n v="831"/>
  </r>
  <r>
    <x v="2"/>
    <x v="267"/>
    <x v="0"/>
    <x v="248"/>
    <x v="1"/>
    <m/>
    <x v="1"/>
    <n v="0"/>
    <n v="0"/>
    <s v=""/>
    <m/>
    <m/>
    <n v="4308.04"/>
    <n v="3570.43"/>
    <s v="OK"/>
    <s v=""/>
    <s v="Rent&lt;=0"/>
    <x v="1"/>
    <n v="7878.4699999999993"/>
    <x v="1"/>
    <n v="0"/>
    <s v=""/>
    <x v="33"/>
    <n v="0"/>
  </r>
  <r>
    <x v="3"/>
    <x v="268"/>
    <x v="2"/>
    <x v="249"/>
    <x v="0"/>
    <s v="Tenant_28"/>
    <x v="235"/>
    <n v="73794.600000000006"/>
    <n v="73794.600000000006"/>
    <s v=""/>
    <d v="2022-05-17T00:00:00"/>
    <d v="2023-01-27T00:00:00"/>
    <n v="1081.3699999999999"/>
    <n v="1367.92"/>
    <s v="OK"/>
    <s v=""/>
    <s v=""/>
    <x v="235"/>
    <n v="2449.29"/>
    <x v="235"/>
    <n v="0"/>
    <s v="0-3 Monaten"/>
    <x v="0"/>
    <n v="784"/>
  </r>
  <r>
    <x v="3"/>
    <x v="269"/>
    <x v="0"/>
    <x v="250"/>
    <x v="0"/>
    <s v="Tenant_93"/>
    <x v="236"/>
    <n v="96871.8"/>
    <n v="96871.799999999988"/>
    <s v=""/>
    <d v="2023-06-01T00:00:00"/>
    <d v="2026-05-28T00:00:00"/>
    <n v="1473.89"/>
    <n v="1159.49"/>
    <s v="OK"/>
    <s v=""/>
    <s v=""/>
    <x v="236"/>
    <n v="2633.38"/>
    <x v="236"/>
    <n v="3"/>
    <s v="0-3 Monaten"/>
    <x v="0"/>
    <n v="709"/>
  </r>
  <r>
    <x v="7"/>
    <x v="270"/>
    <x v="3"/>
    <x v="251"/>
    <x v="0"/>
    <s v="Tenant_186"/>
    <x v="237"/>
    <n v="31536.48"/>
    <n v="31536.48"/>
    <s v=""/>
    <d v="2022-01-22T00:00:00"/>
    <d v="2024-10-06T00:00:00"/>
    <n v="350.7"/>
    <n v="400.82"/>
    <s v="OK"/>
    <s v=""/>
    <s v=""/>
    <x v="237"/>
    <n v="751.52"/>
    <x v="237"/>
    <n v="0"/>
    <s v="0-3 Monaten"/>
    <x v="0"/>
    <n v="288"/>
  </r>
  <r>
    <x v="1"/>
    <x v="271"/>
    <x v="2"/>
    <x v="252"/>
    <x v="0"/>
    <s v="Tenant_29"/>
    <x v="238"/>
    <n v="210881.4"/>
    <n v="210881.40000000002"/>
    <s v=""/>
    <d v="2022-06-03T00:00:00"/>
    <d v="2023-09-09T00:00:00"/>
    <n v="1344.37"/>
    <n v="2963.51"/>
    <s v="OK"/>
    <s v=""/>
    <s v=""/>
    <x v="238"/>
    <n v="4307.88"/>
    <x v="238"/>
    <n v="0"/>
    <s v="0-3 Monaten"/>
    <x v="0"/>
    <n v="1258"/>
  </r>
  <r>
    <x v="1"/>
    <x v="272"/>
    <x v="0"/>
    <x v="253"/>
    <x v="0"/>
    <s v="Tenant_85"/>
    <x v="239"/>
    <n v="159365.64000000001"/>
    <n v="159365.63999999998"/>
    <s v=""/>
    <d v="2021-04-19T00:00:00"/>
    <d v="2023-12-17T00:00:00"/>
    <n v="1730.5"/>
    <n v="2733.89"/>
    <s v="OK"/>
    <s v=""/>
    <s v=""/>
    <x v="239"/>
    <n v="4464.3899999999994"/>
    <x v="239"/>
    <n v="0"/>
    <s v="0-3 Monaten"/>
    <x v="0"/>
    <n v="1187"/>
  </r>
  <r>
    <x v="1"/>
    <x v="273"/>
    <x v="2"/>
    <x v="254"/>
    <x v="0"/>
    <s v="Tenant_45"/>
    <x v="240"/>
    <n v="125795.76"/>
    <n v="125795.76"/>
    <s v=""/>
    <d v="2022-10-27T00:00:00"/>
    <d v="2023-07-07T00:00:00"/>
    <n v="1449.54"/>
    <n v="556.03"/>
    <s v="OK"/>
    <s v=""/>
    <s v=""/>
    <x v="240"/>
    <n v="2005.57"/>
    <x v="240"/>
    <n v="0"/>
    <s v="0-3 Monaten"/>
    <x v="0"/>
    <n v="923"/>
  </r>
  <r>
    <x v="7"/>
    <x v="274"/>
    <x v="1"/>
    <x v="255"/>
    <x v="0"/>
    <s v="Tenant_192"/>
    <x v="241"/>
    <n v="246380.04"/>
    <n v="246380.03999999998"/>
    <s v=""/>
    <d v="2023-11-05T00:00:00"/>
    <d v="2026-11-28T00:00:00"/>
    <n v="2347.3200000000002"/>
    <n v="2848.92"/>
    <s v="OK"/>
    <s v=""/>
    <s v=""/>
    <x v="241"/>
    <n v="5196.24"/>
    <x v="241"/>
    <n v="9"/>
    <s v="6-12 Monaten"/>
    <x v="0"/>
    <n v="1238"/>
  </r>
  <r>
    <x v="3"/>
    <x v="275"/>
    <x v="1"/>
    <x v="256"/>
    <x v="0"/>
    <s v="Tenant_86"/>
    <x v="242"/>
    <n v="185831.88"/>
    <n v="185831.88"/>
    <s v=""/>
    <d v="2023-03-10T00:00:00"/>
    <d v="2023-10-03T00:00:00"/>
    <n v="1888.16"/>
    <n v="1453"/>
    <s v="OK"/>
    <s v=""/>
    <s v=""/>
    <x v="242"/>
    <n v="3341.16"/>
    <x v="242"/>
    <n v="0"/>
    <s v="0-3 Monaten"/>
    <x v="0"/>
    <n v="976"/>
  </r>
  <r>
    <x v="0"/>
    <x v="276"/>
    <x v="0"/>
    <x v="257"/>
    <x v="0"/>
    <s v="Tenant_14"/>
    <x v="243"/>
    <n v="13659.48"/>
    <n v="13659.48"/>
    <s v=""/>
    <d v="2023-03-09T00:00:00"/>
    <d v="2026-09-21T00:00:00"/>
    <n v="295"/>
    <n v="67.510000000000005"/>
    <s v="OK"/>
    <s v=""/>
    <s v=""/>
    <x v="243"/>
    <n v="362.51"/>
    <x v="243"/>
    <n v="7"/>
    <s v="6-12 Monaten"/>
    <x v="0"/>
    <n v="106"/>
  </r>
  <r>
    <x v="0"/>
    <x v="277"/>
    <x v="0"/>
    <x v="258"/>
    <x v="0"/>
    <s v="Tenant_51"/>
    <x v="244"/>
    <n v="78313.8"/>
    <n v="78313.799999999988"/>
    <s v=""/>
    <d v="2023-11-02T00:00:00"/>
    <d v="2026-03-28T00:00:00"/>
    <n v="492.15"/>
    <n v="487.89"/>
    <s v="OK"/>
    <s v=""/>
    <s v=""/>
    <x v="244"/>
    <n v="980.04"/>
    <x v="244"/>
    <n v="1"/>
    <s v="0-3 Monaten"/>
    <x v="0"/>
    <n v="488"/>
  </r>
  <r>
    <x v="0"/>
    <x v="278"/>
    <x v="2"/>
    <x v="259"/>
    <x v="0"/>
    <s v="Tenant_105"/>
    <x v="245"/>
    <n v="14151.24"/>
    <n v="14151.24"/>
    <s v=""/>
    <d v="2022-03-22T00:00:00"/>
    <d v="2023-12-01T00:00:00"/>
    <n v="142.53"/>
    <n v="73.38"/>
    <s v="OK"/>
    <s v=""/>
    <s v=""/>
    <x v="245"/>
    <n v="215.91"/>
    <x v="245"/>
    <n v="0"/>
    <s v="0-3 Monaten"/>
    <x v="0"/>
    <n v="81"/>
  </r>
  <r>
    <x v="1"/>
    <x v="279"/>
    <x v="2"/>
    <x v="186"/>
    <x v="0"/>
    <s v="Tenant_122"/>
    <x v="246"/>
    <n v="102745.32"/>
    <n v="102745.32"/>
    <s v=""/>
    <d v="2022-12-28T00:00:00"/>
    <d v="2024-01-22T00:00:00"/>
    <n v="2195.6999999999998"/>
    <n v="836.15"/>
    <s v="OK"/>
    <s v=""/>
    <s v=""/>
    <x v="246"/>
    <n v="3031.85"/>
    <x v="246"/>
    <n v="0"/>
    <s v="0-3 Monaten"/>
    <x v="0"/>
    <n v="1232"/>
  </r>
  <r>
    <x v="5"/>
    <x v="280"/>
    <x v="0"/>
    <x v="260"/>
    <x v="0"/>
    <s v="Tenant_19"/>
    <x v="247"/>
    <n v="94805.88"/>
    <n v="94805.88"/>
    <s v=""/>
    <d v="2022-07-03T00:00:00"/>
    <d v="2025-03-15T00:00:00"/>
    <n v="1837.08"/>
    <n v="625.22"/>
    <s v="OK"/>
    <s v=""/>
    <s v=""/>
    <x v="247"/>
    <n v="2462.3000000000002"/>
    <x v="247"/>
    <n v="0"/>
    <s v="0-3 Monaten"/>
    <x v="0"/>
    <n v="980"/>
  </r>
  <r>
    <x v="7"/>
    <x v="281"/>
    <x v="1"/>
    <x v="261"/>
    <x v="0"/>
    <s v="Tenant_157"/>
    <x v="248"/>
    <n v="37981.56"/>
    <n v="37981.56"/>
    <s v=""/>
    <d v="2021-07-29T00:00:00"/>
    <d v="2024-09-06T00:00:00"/>
    <n v="506.81"/>
    <n v="279.74"/>
    <s v="OK"/>
    <s v=""/>
    <s v=""/>
    <x v="248"/>
    <n v="786.55"/>
    <x v="248"/>
    <n v="0"/>
    <s v="0-3 Monaten"/>
    <x v="0"/>
    <n v="331"/>
  </r>
  <r>
    <x v="4"/>
    <x v="282"/>
    <x v="1"/>
    <x v="262"/>
    <x v="1"/>
    <m/>
    <x v="1"/>
    <n v="0"/>
    <n v="0"/>
    <s v=""/>
    <m/>
    <m/>
    <n v="2858.59"/>
    <n v="1129.1500000000001"/>
    <s v="OK"/>
    <s v=""/>
    <s v="Rent&lt;=0"/>
    <x v="1"/>
    <n v="3987.7400000000002"/>
    <x v="1"/>
    <n v="0"/>
    <s v=""/>
    <x v="34"/>
    <n v="0"/>
  </r>
  <r>
    <x v="4"/>
    <x v="283"/>
    <x v="0"/>
    <x v="263"/>
    <x v="0"/>
    <s v="Tenant_28"/>
    <x v="249"/>
    <n v="165454.79999999999"/>
    <n v="165454.79999999999"/>
    <s v=""/>
    <d v="2023-08-04T00:00:00"/>
    <d v="2027-02-22T00:00:00"/>
    <n v="2390.36"/>
    <n v="862.57"/>
    <s v="OK"/>
    <s v=""/>
    <s v=""/>
    <x v="249"/>
    <n v="3252.9300000000003"/>
    <x v="249"/>
    <n v="12"/>
    <s v="6-12 Monaten"/>
    <x v="0"/>
    <n v="1210"/>
  </r>
  <r>
    <x v="1"/>
    <x v="284"/>
    <x v="1"/>
    <x v="264"/>
    <x v="0"/>
    <s v="Tenant_184"/>
    <x v="250"/>
    <n v="94221.84"/>
    <n v="94221.84"/>
    <s v=""/>
    <d v="2022-06-16T00:00:00"/>
    <d v="2024-05-12T00:00:00"/>
    <n v="747.16"/>
    <n v="304.94"/>
    <s v="OK"/>
    <s v=""/>
    <s v=""/>
    <x v="250"/>
    <n v="1052.0999999999999"/>
    <x v="250"/>
    <n v="0"/>
    <s v="0-3 Monaten"/>
    <x v="0"/>
    <n v="571"/>
  </r>
  <r>
    <x v="2"/>
    <x v="285"/>
    <x v="2"/>
    <x v="265"/>
    <x v="0"/>
    <s v="Tenant_121"/>
    <x v="251"/>
    <n v="109211.52"/>
    <n v="109211.51999999999"/>
    <s v=""/>
    <d v="2021-04-06T00:00:00"/>
    <d v="2025-08-05T00:00:00"/>
    <n v="1356.3"/>
    <n v="2238.13"/>
    <s v="OK"/>
    <s v=""/>
    <s v=""/>
    <x v="251"/>
    <n v="3594.4300000000003"/>
    <x v="251"/>
    <n v="0"/>
    <s v="0-3 Monaten"/>
    <x v="0"/>
    <n v="926"/>
  </r>
  <r>
    <x v="6"/>
    <x v="286"/>
    <x v="3"/>
    <x v="266"/>
    <x v="0"/>
    <s v="Tenant_12"/>
    <x v="252"/>
    <n v="7653.36"/>
    <n v="7653.36"/>
    <s v=""/>
    <d v="2023-02-10T00:00:00"/>
    <d v="2025-05-05T00:00:00"/>
    <n v="97.67"/>
    <n v="68.25"/>
    <s v="OK"/>
    <s v=""/>
    <s v=""/>
    <x v="252"/>
    <n v="165.92000000000002"/>
    <x v="252"/>
    <n v="0"/>
    <s v="0-3 Monaten"/>
    <x v="0"/>
    <n v="49"/>
  </r>
  <r>
    <x v="1"/>
    <x v="287"/>
    <x v="3"/>
    <x v="267"/>
    <x v="0"/>
    <s v="Tenant_173"/>
    <x v="253"/>
    <n v="215939.88"/>
    <n v="215939.88"/>
    <s v=""/>
    <d v="2023-06-11T00:00:00"/>
    <d v="2027-06-24T00:00:00"/>
    <n v="1778.99"/>
    <n v="1874.36"/>
    <s v="OK"/>
    <s v=""/>
    <s v=""/>
    <x v="253"/>
    <n v="3653.35"/>
    <x v="253"/>
    <n v="16"/>
    <s v="12 M+"/>
    <x v="0"/>
    <n v="1020"/>
  </r>
  <r>
    <x v="3"/>
    <x v="288"/>
    <x v="2"/>
    <x v="268"/>
    <x v="0"/>
    <s v="Tenant_65"/>
    <x v="254"/>
    <n v="94051.08"/>
    <n v="94051.08"/>
    <s v=""/>
    <d v="2021-05-31T00:00:00"/>
    <d v="2022-05-10T00:00:00"/>
    <n v="746.48"/>
    <n v="1693.19"/>
    <s v="OK"/>
    <s v=""/>
    <s v=""/>
    <x v="254"/>
    <n v="2439.67"/>
    <x v="254"/>
    <n v="0"/>
    <s v="0-3 Monaten"/>
    <x v="0"/>
    <n v="733"/>
  </r>
  <r>
    <x v="5"/>
    <x v="289"/>
    <x v="3"/>
    <x v="269"/>
    <x v="0"/>
    <s v="Tenant_88"/>
    <x v="255"/>
    <n v="13719.96"/>
    <n v="13719.96"/>
    <s v=""/>
    <d v="2023-08-20T00:00:00"/>
    <d v="2024-07-04T00:00:00"/>
    <n v="72.27"/>
    <n v="120.22"/>
    <s v="OK"/>
    <s v=""/>
    <s v=""/>
    <x v="255"/>
    <n v="192.49"/>
    <x v="255"/>
    <n v="0"/>
    <s v="0-3 Monaten"/>
    <x v="0"/>
    <n v="72"/>
  </r>
  <r>
    <x v="3"/>
    <x v="290"/>
    <x v="3"/>
    <x v="270"/>
    <x v="0"/>
    <s v="Tenant_135"/>
    <x v="256"/>
    <n v="50827.44"/>
    <n v="50827.44"/>
    <s v=""/>
    <d v="2022-07-27T00:00:00"/>
    <d v="2024-09-25T00:00:00"/>
    <n v="915.81"/>
    <n v="314.49"/>
    <s v="OK"/>
    <s v=""/>
    <s v=""/>
    <x v="256"/>
    <n v="1230.3"/>
    <x v="256"/>
    <n v="0"/>
    <s v="0-3 Monaten"/>
    <x v="0"/>
    <n v="500"/>
  </r>
  <r>
    <x v="7"/>
    <x v="291"/>
    <x v="3"/>
    <x v="271"/>
    <x v="0"/>
    <s v="Tenant_110"/>
    <x v="257"/>
    <n v="98407.2"/>
    <n v="98407.200000000012"/>
    <s v=""/>
    <d v="2021-11-26T00:00:00"/>
    <d v="2023-03-25T00:00:00"/>
    <n v="2740.96"/>
    <n v="1278.76"/>
    <s v="OK"/>
    <s v=""/>
    <s v=""/>
    <x v="257"/>
    <n v="4019.7200000000003"/>
    <x v="257"/>
    <n v="0"/>
    <s v="0-3 Monaten"/>
    <x v="0"/>
    <n v="1067"/>
  </r>
  <r>
    <x v="5"/>
    <x v="292"/>
    <x v="3"/>
    <x v="272"/>
    <x v="0"/>
    <s v="Tenant_138"/>
    <x v="258"/>
    <n v="40561.32"/>
    <n v="40561.32"/>
    <s v=""/>
    <d v="2021-05-30T00:00:00"/>
    <d v="2024-03-01T00:00:00"/>
    <n v="350.54"/>
    <n v="375.9"/>
    <s v="OK"/>
    <s v=""/>
    <s v=""/>
    <x v="258"/>
    <n v="726.44"/>
    <x v="258"/>
    <n v="0"/>
    <s v="0-3 Monaten"/>
    <x v="0"/>
    <n v="317"/>
  </r>
  <r>
    <x v="1"/>
    <x v="293"/>
    <x v="2"/>
    <x v="181"/>
    <x v="0"/>
    <s v="Tenant_170"/>
    <x v="259"/>
    <n v="123482.16"/>
    <n v="123482.16"/>
    <s v=""/>
    <d v="2023-01-08T00:00:00"/>
    <d v="2025-05-05T00:00:00"/>
    <n v="2528.39"/>
    <n v="1708.29"/>
    <s v="OK"/>
    <s v=""/>
    <s v=""/>
    <x v="259"/>
    <n v="4236.68"/>
    <x v="259"/>
    <n v="0"/>
    <s v="0-3 Monaten"/>
    <x v="0"/>
    <n v="1407"/>
  </r>
  <r>
    <x v="2"/>
    <x v="294"/>
    <x v="3"/>
    <x v="273"/>
    <x v="0"/>
    <s v="Tenant_89"/>
    <x v="260"/>
    <n v="34342.68"/>
    <n v="34342.68"/>
    <s v=""/>
    <d v="2023-06-02T00:00:00"/>
    <d v="2025-06-30T00:00:00"/>
    <n v="673.52"/>
    <n v="304.17"/>
    <s v="OK"/>
    <s v=""/>
    <s v=""/>
    <x v="260"/>
    <n v="977.69"/>
    <x v="260"/>
    <n v="0"/>
    <s v="0-3 Monaten"/>
    <x v="0"/>
    <n v="230"/>
  </r>
  <r>
    <x v="1"/>
    <x v="295"/>
    <x v="2"/>
    <x v="32"/>
    <x v="0"/>
    <s v="Tenant_55"/>
    <x v="261"/>
    <n v="136357.92000000001"/>
    <n v="136357.91999999998"/>
    <s v=""/>
    <d v="2023-12-27T00:00:00"/>
    <d v="2028-06-13T00:00:00"/>
    <n v="2253.48"/>
    <n v="1776.11"/>
    <s v="OK"/>
    <s v=""/>
    <s v=""/>
    <x v="261"/>
    <n v="4029.59"/>
    <x v="261"/>
    <n v="27"/>
    <s v="12 M+"/>
    <x v="0"/>
    <n v="1143"/>
  </r>
  <r>
    <x v="6"/>
    <x v="296"/>
    <x v="2"/>
    <x v="274"/>
    <x v="0"/>
    <s v="Tenant_47"/>
    <x v="262"/>
    <n v="108441.72"/>
    <n v="108441.72"/>
    <s v=""/>
    <d v="2022-05-31T00:00:00"/>
    <d v="2025-11-11T00:00:00"/>
    <n v="1682.9"/>
    <n v="345.02"/>
    <s v="OK"/>
    <s v=""/>
    <s v=""/>
    <x v="262"/>
    <n v="2027.92"/>
    <x v="262"/>
    <n v="0"/>
    <s v="0-3 Monaten"/>
    <x v="0"/>
    <n v="610"/>
  </r>
  <r>
    <x v="4"/>
    <x v="297"/>
    <x v="3"/>
    <x v="275"/>
    <x v="1"/>
    <m/>
    <x v="1"/>
    <n v="0"/>
    <n v="0"/>
    <s v=""/>
    <m/>
    <m/>
    <n v="1144.53"/>
    <n v="447.46"/>
    <s v="OK"/>
    <s v=""/>
    <s v="Rent&lt;=0"/>
    <x v="1"/>
    <n v="1591.99"/>
    <x v="1"/>
    <n v="0"/>
    <s v=""/>
    <x v="35"/>
    <n v="0"/>
  </r>
  <r>
    <x v="1"/>
    <x v="298"/>
    <x v="1"/>
    <x v="276"/>
    <x v="0"/>
    <s v="Tenant_82"/>
    <x v="263"/>
    <n v="137145.96"/>
    <n v="137145.96"/>
    <s v=""/>
    <d v="2023-01-25T00:00:00"/>
    <d v="2024-08-16T00:00:00"/>
    <n v="4077.01"/>
    <n v="3088.13"/>
    <s v="OK"/>
    <s v=""/>
    <s v=""/>
    <x v="263"/>
    <n v="7165.14"/>
    <x v="263"/>
    <n v="0"/>
    <s v="0-3 Monaten"/>
    <x v="0"/>
    <n v="1390"/>
  </r>
  <r>
    <x v="5"/>
    <x v="299"/>
    <x v="0"/>
    <x v="277"/>
    <x v="0"/>
    <s v="Tenant_112"/>
    <x v="264"/>
    <n v="151578.48000000001"/>
    <n v="151578.48000000001"/>
    <s v=""/>
    <d v="2021-08-28T00:00:00"/>
    <d v="2025-12-22T00:00:00"/>
    <n v="2931.08"/>
    <n v="1674.42"/>
    <s v="OK"/>
    <s v=""/>
    <s v=""/>
    <x v="264"/>
    <n v="4605.5"/>
    <x v="264"/>
    <n v="0"/>
    <s v="0-3 Monaten"/>
    <x v="0"/>
    <n v="1322"/>
  </r>
  <r>
    <x v="2"/>
    <x v="300"/>
    <x v="1"/>
    <x v="16"/>
    <x v="0"/>
    <s v="Tenant_200"/>
    <x v="265"/>
    <n v="54297.120000000003"/>
    <n v="54297.120000000003"/>
    <s v=""/>
    <d v="2022-03-31T00:00:00"/>
    <d v="2025-03-06T00:00:00"/>
    <n v="875.91"/>
    <n v="662.07"/>
    <s v="OK"/>
    <s v=""/>
    <s v=""/>
    <x v="265"/>
    <n v="1537.98"/>
    <x v="265"/>
    <n v="0"/>
    <s v="0-3 Monaten"/>
    <x v="0"/>
    <n v="417"/>
  </r>
  <r>
    <x v="0"/>
    <x v="301"/>
    <x v="1"/>
    <x v="278"/>
    <x v="0"/>
    <s v="Tenant_102"/>
    <x v="266"/>
    <n v="70539.48"/>
    <n v="70539.48"/>
    <s v=""/>
    <d v="2022-07-01T00:00:00"/>
    <d v="2026-11-13T00:00:00"/>
    <n v="1360.8"/>
    <n v="1326.67"/>
    <s v="OK"/>
    <s v=""/>
    <s v=""/>
    <x v="266"/>
    <n v="2687.4700000000003"/>
    <x v="266"/>
    <n v="8"/>
    <s v="6-12 Monaten"/>
    <x v="0"/>
    <n v="957"/>
  </r>
  <r>
    <x v="7"/>
    <x v="302"/>
    <x v="3"/>
    <x v="279"/>
    <x v="0"/>
    <s v="Tenant_2"/>
    <x v="267"/>
    <n v="186799.2"/>
    <n v="186799.2"/>
    <s v=""/>
    <d v="2023-02-03T00:00:00"/>
    <d v="2027-12-23T00:00:00"/>
    <n v="1984.63"/>
    <n v="893.09"/>
    <s v="OK"/>
    <s v=""/>
    <s v=""/>
    <x v="267"/>
    <n v="2877.7200000000003"/>
    <x v="267"/>
    <n v="22"/>
    <s v="12 M+"/>
    <x v="0"/>
    <n v="904"/>
  </r>
  <r>
    <x v="1"/>
    <x v="303"/>
    <x v="2"/>
    <x v="280"/>
    <x v="0"/>
    <s v="Tenant_24"/>
    <x v="268"/>
    <n v="140653.44"/>
    <n v="140653.44"/>
    <s v=""/>
    <d v="2022-08-13T00:00:00"/>
    <d v="2024-03-30T00:00:00"/>
    <n v="1707.82"/>
    <n v="2582.69"/>
    <s v="OK"/>
    <s v=""/>
    <s v=""/>
    <x v="268"/>
    <n v="4290.51"/>
    <x v="268"/>
    <n v="0"/>
    <s v="0-3 Monaten"/>
    <x v="0"/>
    <n v="1055"/>
  </r>
  <r>
    <x v="7"/>
    <x v="304"/>
    <x v="2"/>
    <x v="281"/>
    <x v="0"/>
    <s v="Tenant_74"/>
    <x v="269"/>
    <n v="265534.44"/>
    <n v="265534.44"/>
    <s v=""/>
    <d v="2023-10-17T00:00:00"/>
    <d v="2024-05-17T00:00:00"/>
    <n v="2467.16"/>
    <n v="2862.67"/>
    <s v="OK"/>
    <s v=""/>
    <s v=""/>
    <x v="269"/>
    <n v="5329.83"/>
    <x v="269"/>
    <n v="0"/>
    <s v="0-3 Monaten"/>
    <x v="0"/>
    <n v="1309"/>
  </r>
  <r>
    <x v="6"/>
    <x v="305"/>
    <x v="2"/>
    <x v="282"/>
    <x v="0"/>
    <s v="Tenant_82"/>
    <x v="270"/>
    <n v="30400.32"/>
    <n v="30400.32"/>
    <s v=""/>
    <d v="2023-11-25T00:00:00"/>
    <d v="2028-03-05T00:00:00"/>
    <n v="250.98"/>
    <n v="161.71"/>
    <s v="OK"/>
    <s v=""/>
    <s v=""/>
    <x v="270"/>
    <n v="412.69"/>
    <x v="270"/>
    <n v="24"/>
    <s v="12 M+"/>
    <x v="0"/>
    <n v="144"/>
  </r>
  <r>
    <x v="5"/>
    <x v="306"/>
    <x v="3"/>
    <x v="283"/>
    <x v="0"/>
    <s v="Tenant_12"/>
    <x v="271"/>
    <n v="207567.48"/>
    <n v="207567.48"/>
    <s v=""/>
    <d v="2021-04-11T00:00:00"/>
    <d v="2022-09-29T00:00:00"/>
    <n v="1762.79"/>
    <n v="1191.1400000000001"/>
    <s v="OK"/>
    <s v=""/>
    <s v=""/>
    <x v="271"/>
    <n v="2953.9300000000003"/>
    <x v="271"/>
    <n v="0"/>
    <s v="0-3 Monaten"/>
    <x v="0"/>
    <n v="1223"/>
  </r>
  <r>
    <x v="4"/>
    <x v="307"/>
    <x v="3"/>
    <x v="284"/>
    <x v="0"/>
    <s v="Tenant_152"/>
    <x v="272"/>
    <n v="90415.08"/>
    <n v="90415.08"/>
    <s v=""/>
    <d v="2022-08-05T00:00:00"/>
    <d v="2023-04-08T00:00:00"/>
    <n v="2394.37"/>
    <n v="1256.72"/>
    <s v="OK"/>
    <s v=""/>
    <s v=""/>
    <x v="272"/>
    <n v="3651.09"/>
    <x v="272"/>
    <n v="0"/>
    <s v="0-3 Monaten"/>
    <x v="0"/>
    <n v="906"/>
  </r>
  <r>
    <x v="7"/>
    <x v="308"/>
    <x v="0"/>
    <x v="46"/>
    <x v="0"/>
    <s v="Tenant_193"/>
    <x v="273"/>
    <n v="242872.08"/>
    <n v="242872.08000000002"/>
    <s v=""/>
    <d v="2023-08-30T00:00:00"/>
    <d v="2025-11-10T00:00:00"/>
    <n v="2088.81"/>
    <n v="848.51"/>
    <s v="OK"/>
    <s v=""/>
    <s v=""/>
    <x v="273"/>
    <n v="2937.3199999999997"/>
    <x v="273"/>
    <n v="0"/>
    <s v="0-3 Monaten"/>
    <x v="0"/>
    <n v="1449"/>
  </r>
  <r>
    <x v="6"/>
    <x v="309"/>
    <x v="1"/>
    <x v="285"/>
    <x v="1"/>
    <m/>
    <x v="1"/>
    <n v="0"/>
    <n v="0"/>
    <s v=""/>
    <m/>
    <m/>
    <n v="2051.5500000000002"/>
    <n v="1360.92"/>
    <s v="OK"/>
    <s v=""/>
    <s v="Rent&lt;=0"/>
    <x v="1"/>
    <n v="3412.4700000000003"/>
    <x v="1"/>
    <n v="0"/>
    <s v=""/>
    <x v="36"/>
    <n v="0"/>
  </r>
  <r>
    <x v="6"/>
    <x v="310"/>
    <x v="1"/>
    <x v="52"/>
    <x v="0"/>
    <s v="Tenant_69"/>
    <x v="274"/>
    <n v="24585.119999999999"/>
    <n v="24585.120000000003"/>
    <s v=""/>
    <d v="2023-12-28T00:00:00"/>
    <d v="2026-06-02T00:00:00"/>
    <n v="177.34"/>
    <n v="118.93"/>
    <s v="OK"/>
    <s v=""/>
    <s v=""/>
    <x v="274"/>
    <n v="296.27"/>
    <x v="274"/>
    <n v="3"/>
    <s v="0-3 Monaten"/>
    <x v="0"/>
    <n v="124"/>
  </r>
  <r>
    <x v="3"/>
    <x v="311"/>
    <x v="0"/>
    <x v="286"/>
    <x v="0"/>
    <s v="Tenant_127"/>
    <x v="275"/>
    <n v="83346.84"/>
    <n v="83346.84"/>
    <s v=""/>
    <d v="2021-12-17T00:00:00"/>
    <d v="2023-06-15T00:00:00"/>
    <n v="921.15"/>
    <n v="1439.39"/>
    <s v="OK"/>
    <s v=""/>
    <s v=""/>
    <x v="275"/>
    <n v="2360.54"/>
    <x v="275"/>
    <n v="0"/>
    <s v="0-3 Monaten"/>
    <x v="0"/>
    <n v="611"/>
  </r>
  <r>
    <x v="3"/>
    <x v="312"/>
    <x v="0"/>
    <x v="287"/>
    <x v="0"/>
    <s v="Tenant_132"/>
    <x v="276"/>
    <n v="67077"/>
    <n v="67077"/>
    <s v=""/>
    <d v="2021-07-13T00:00:00"/>
    <d v="2026-01-29T00:00:00"/>
    <n v="1153.04"/>
    <n v="764.44"/>
    <s v="OK"/>
    <s v=""/>
    <s v=""/>
    <x v="276"/>
    <n v="1917.48"/>
    <x v="276"/>
    <n v="0"/>
    <s v="0-3 Monaten"/>
    <x v="0"/>
    <n v="845"/>
  </r>
  <r>
    <x v="1"/>
    <x v="313"/>
    <x v="1"/>
    <x v="288"/>
    <x v="0"/>
    <s v="Tenant_85"/>
    <x v="277"/>
    <n v="156418.79999999999"/>
    <n v="156418.79999999999"/>
    <s v=""/>
    <d v="2021-06-16T00:00:00"/>
    <d v="2024-09-27T00:00:00"/>
    <n v="1519.95"/>
    <n v="512.58000000000004"/>
    <s v="OK"/>
    <s v=""/>
    <s v=""/>
    <x v="277"/>
    <n v="2032.5300000000002"/>
    <x v="277"/>
    <n v="0"/>
    <s v="0-3 Monaten"/>
    <x v="0"/>
    <n v="796"/>
  </r>
  <r>
    <x v="6"/>
    <x v="314"/>
    <x v="1"/>
    <x v="289"/>
    <x v="0"/>
    <s v="Tenant_57"/>
    <x v="278"/>
    <n v="310832.52"/>
    <n v="310832.52"/>
    <s v=""/>
    <d v="2022-02-11T00:00:00"/>
    <d v="2025-06-29T00:00:00"/>
    <n v="2605.59"/>
    <n v="1384.98"/>
    <s v="OK"/>
    <s v=""/>
    <s v=""/>
    <x v="278"/>
    <n v="3990.57"/>
    <x v="278"/>
    <n v="0"/>
    <s v="0-3 Monaten"/>
    <x v="0"/>
    <n v="1498"/>
  </r>
  <r>
    <x v="6"/>
    <x v="315"/>
    <x v="2"/>
    <x v="290"/>
    <x v="1"/>
    <m/>
    <x v="1"/>
    <n v="0"/>
    <n v="0"/>
    <s v=""/>
    <m/>
    <m/>
    <n v="3914.07"/>
    <n v="3140.88"/>
    <s v="OK"/>
    <s v=""/>
    <s v="Rent&lt;=0"/>
    <x v="1"/>
    <n v="7054.9500000000007"/>
    <x v="1"/>
    <n v="0"/>
    <s v=""/>
    <x v="37"/>
    <n v="0"/>
  </r>
  <r>
    <x v="0"/>
    <x v="316"/>
    <x v="0"/>
    <x v="291"/>
    <x v="0"/>
    <s v="Tenant_55"/>
    <x v="279"/>
    <n v="88372.56"/>
    <n v="88372.56"/>
    <s v=""/>
    <d v="2022-10-29T00:00:00"/>
    <d v="2026-03-07T00:00:00"/>
    <n v="2733.88"/>
    <n v="2505.89"/>
    <s v="OK"/>
    <s v=""/>
    <s v=""/>
    <x v="279"/>
    <n v="5239.7700000000004"/>
    <x v="279"/>
    <n v="0"/>
    <s v="0-3 Monaten"/>
    <x v="0"/>
    <n v="1071"/>
  </r>
  <r>
    <x v="0"/>
    <x v="317"/>
    <x v="1"/>
    <x v="292"/>
    <x v="0"/>
    <s v="Tenant_182"/>
    <x v="280"/>
    <n v="102767.52"/>
    <n v="102767.51999999999"/>
    <s v=""/>
    <d v="2023-06-18T00:00:00"/>
    <d v="2027-08-27T00:00:00"/>
    <n v="1237.04"/>
    <n v="1760.96"/>
    <s v="OK"/>
    <s v=""/>
    <s v=""/>
    <x v="280"/>
    <n v="2998"/>
    <x v="280"/>
    <n v="18"/>
    <s v="12 M+"/>
    <x v="0"/>
    <n v="776"/>
  </r>
  <r>
    <x v="3"/>
    <x v="318"/>
    <x v="2"/>
    <x v="293"/>
    <x v="0"/>
    <s v="Tenant_90"/>
    <x v="281"/>
    <n v="55287.839999999997"/>
    <n v="55287.839999999997"/>
    <s v=""/>
    <d v="2023-10-24T00:00:00"/>
    <d v="2028-01-19T00:00:00"/>
    <n v="564.84"/>
    <n v="323.02999999999997"/>
    <s v="OK"/>
    <s v=""/>
    <s v=""/>
    <x v="281"/>
    <n v="887.87"/>
    <x v="281"/>
    <n v="22"/>
    <s v="12 M+"/>
    <x v="0"/>
    <n v="315"/>
  </r>
  <r>
    <x v="1"/>
    <x v="319"/>
    <x v="0"/>
    <x v="294"/>
    <x v="0"/>
    <s v="Tenant_148"/>
    <x v="282"/>
    <n v="40353.24"/>
    <n v="40353.24"/>
    <s v=""/>
    <d v="2022-10-02T00:00:00"/>
    <d v="2023-08-03T00:00:00"/>
    <n v="643.52"/>
    <n v="560.03"/>
    <s v="OK"/>
    <s v=""/>
    <s v=""/>
    <x v="282"/>
    <n v="1203.55"/>
    <x v="282"/>
    <n v="0"/>
    <s v="0-3 Monaten"/>
    <x v="0"/>
    <n v="399"/>
  </r>
  <r>
    <x v="4"/>
    <x v="320"/>
    <x v="2"/>
    <x v="295"/>
    <x v="0"/>
    <s v="Tenant_174"/>
    <x v="283"/>
    <n v="220533.96"/>
    <n v="220533.96000000002"/>
    <s v=""/>
    <d v="2022-11-16T00:00:00"/>
    <d v="2023-06-27T00:00:00"/>
    <n v="1076.99"/>
    <n v="1385.93"/>
    <s v="OK"/>
    <s v=""/>
    <s v=""/>
    <x v="283"/>
    <n v="2462.92"/>
    <x v="283"/>
    <n v="0"/>
    <s v="0-3 Monaten"/>
    <x v="0"/>
    <n v="1039"/>
  </r>
  <r>
    <x v="2"/>
    <x v="321"/>
    <x v="1"/>
    <x v="296"/>
    <x v="0"/>
    <s v="Tenant_36"/>
    <x v="284"/>
    <n v="119926.44"/>
    <n v="119926.44"/>
    <s v=""/>
    <d v="2021-10-17T00:00:00"/>
    <d v="2022-09-12T00:00:00"/>
    <n v="1377.37"/>
    <n v="1169.5999999999999"/>
    <s v="OK"/>
    <s v=""/>
    <s v=""/>
    <x v="284"/>
    <n v="2546.9699999999998"/>
    <x v="284"/>
    <n v="0"/>
    <s v="0-3 Monaten"/>
    <x v="0"/>
    <n v="735"/>
  </r>
  <r>
    <x v="1"/>
    <x v="322"/>
    <x v="0"/>
    <x v="103"/>
    <x v="1"/>
    <m/>
    <x v="1"/>
    <n v="0"/>
    <n v="0"/>
    <s v=""/>
    <m/>
    <m/>
    <n v="289.79000000000002"/>
    <n v="96.66"/>
    <s v="OK"/>
    <s v=""/>
    <s v="Rent&lt;=0"/>
    <x v="1"/>
    <n v="386.45000000000005"/>
    <x v="1"/>
    <n v="0"/>
    <s v=""/>
    <x v="38"/>
    <n v="0"/>
  </r>
  <r>
    <x v="5"/>
    <x v="323"/>
    <x v="3"/>
    <x v="297"/>
    <x v="0"/>
    <s v="Tenant_50"/>
    <x v="285"/>
    <n v="237076.32"/>
    <n v="237076.32"/>
    <s v=""/>
    <d v="2023-12-09T00:00:00"/>
    <d v="2028-07-01T00:00:00"/>
    <n v="2102.14"/>
    <n v="1143.9100000000001"/>
    <s v="OK"/>
    <s v=""/>
    <s v=""/>
    <x v="285"/>
    <n v="3246.05"/>
    <x v="285"/>
    <n v="28"/>
    <s v="12 M+"/>
    <x v="0"/>
    <n v="1150"/>
  </r>
  <r>
    <x v="3"/>
    <x v="324"/>
    <x v="3"/>
    <x v="298"/>
    <x v="0"/>
    <s v="Tenant_142"/>
    <x v="286"/>
    <n v="277966.08000000002"/>
    <n v="277966.08000000002"/>
    <s v=""/>
    <d v="2023-07-26T00:00:00"/>
    <d v="2027-02-22T00:00:00"/>
    <n v="2315.8000000000002"/>
    <n v="1647.38"/>
    <s v="OK"/>
    <s v=""/>
    <s v=""/>
    <x v="286"/>
    <n v="3963.1800000000003"/>
    <x v="286"/>
    <n v="12"/>
    <s v="6-12 Monaten"/>
    <x v="0"/>
    <n v="1389"/>
  </r>
  <r>
    <x v="4"/>
    <x v="325"/>
    <x v="0"/>
    <x v="299"/>
    <x v="0"/>
    <s v="Tenant_70"/>
    <x v="287"/>
    <n v="50557.32"/>
    <n v="50557.319999999992"/>
    <s v=""/>
    <d v="2022-03-21T00:00:00"/>
    <d v="2024-05-03T00:00:00"/>
    <n v="596.69000000000005"/>
    <n v="489.53"/>
    <s v="OK"/>
    <s v=""/>
    <s v=""/>
    <x v="287"/>
    <n v="1086.22"/>
    <x v="287"/>
    <n v="0"/>
    <s v="0-3 Monaten"/>
    <x v="0"/>
    <n v="509"/>
  </r>
  <r>
    <x v="7"/>
    <x v="326"/>
    <x v="2"/>
    <x v="255"/>
    <x v="1"/>
    <m/>
    <x v="1"/>
    <n v="0"/>
    <n v="0"/>
    <s v=""/>
    <m/>
    <m/>
    <n v="2115.77"/>
    <n v="901.27"/>
    <s v="OK"/>
    <s v=""/>
    <s v="Rent&lt;=0"/>
    <x v="1"/>
    <n v="3017.04"/>
    <x v="1"/>
    <n v="0"/>
    <s v=""/>
    <x v="39"/>
    <n v="0"/>
  </r>
  <r>
    <x v="3"/>
    <x v="327"/>
    <x v="2"/>
    <x v="300"/>
    <x v="1"/>
    <m/>
    <x v="1"/>
    <n v="0"/>
    <n v="0"/>
    <s v=""/>
    <m/>
    <m/>
    <n v="2848.41"/>
    <n v="948.51"/>
    <s v="OK"/>
    <s v=""/>
    <s v="Rent&lt;=0"/>
    <x v="1"/>
    <n v="3796.92"/>
    <x v="1"/>
    <n v="0"/>
    <s v=""/>
    <x v="40"/>
    <n v="0"/>
  </r>
  <r>
    <x v="7"/>
    <x v="328"/>
    <x v="2"/>
    <x v="301"/>
    <x v="0"/>
    <s v="Tenant_189"/>
    <x v="288"/>
    <n v="302529.36"/>
    <n v="302529.36"/>
    <s v=""/>
    <d v="2023-06-26T00:00:00"/>
    <d v="2025-03-10T00:00:00"/>
    <n v="1870.39"/>
    <n v="3527.01"/>
    <s v="OK"/>
    <s v=""/>
    <s v=""/>
    <x v="288"/>
    <n v="5397.4000000000005"/>
    <x v="288"/>
    <n v="0"/>
    <s v="0-3 Monaten"/>
    <x v="0"/>
    <n v="1470"/>
  </r>
  <r>
    <x v="3"/>
    <x v="329"/>
    <x v="1"/>
    <x v="302"/>
    <x v="0"/>
    <s v="Tenant_186"/>
    <x v="289"/>
    <n v="189477.24"/>
    <n v="189477.24"/>
    <s v=""/>
    <d v="2023-03-25T00:00:00"/>
    <d v="2024-10-23T00:00:00"/>
    <n v="1692.7"/>
    <n v="1630.76"/>
    <s v="OK"/>
    <s v=""/>
    <s v=""/>
    <x v="289"/>
    <n v="3323.46"/>
    <x v="289"/>
    <n v="0"/>
    <s v="0-3 Monaten"/>
    <x v="0"/>
    <n v="917"/>
  </r>
  <r>
    <x v="0"/>
    <x v="330"/>
    <x v="0"/>
    <x v="303"/>
    <x v="0"/>
    <s v="Tenant_64"/>
    <x v="290"/>
    <n v="36838.080000000002"/>
    <n v="36838.080000000002"/>
    <s v=""/>
    <d v="2022-06-22T00:00:00"/>
    <d v="2026-06-19T00:00:00"/>
    <n v="476.68"/>
    <n v="362.13"/>
    <s v="OK"/>
    <s v=""/>
    <s v=""/>
    <x v="290"/>
    <n v="838.81"/>
    <x v="290"/>
    <n v="3"/>
    <s v="0-3 Monaten"/>
    <x v="0"/>
    <n v="221"/>
  </r>
  <r>
    <x v="1"/>
    <x v="331"/>
    <x v="1"/>
    <x v="304"/>
    <x v="0"/>
    <s v="Tenant_28"/>
    <x v="291"/>
    <n v="47266.44"/>
    <n v="47266.44"/>
    <s v=""/>
    <d v="2022-05-03T00:00:00"/>
    <d v="2023-02-04T00:00:00"/>
    <n v="1143.69"/>
    <n v="741.89"/>
    <s v="OK"/>
    <s v=""/>
    <s v=""/>
    <x v="291"/>
    <n v="1885.58"/>
    <x v="291"/>
    <n v="0"/>
    <s v="0-3 Monaten"/>
    <x v="0"/>
    <n v="393"/>
  </r>
  <r>
    <x v="3"/>
    <x v="332"/>
    <x v="1"/>
    <x v="280"/>
    <x v="0"/>
    <s v="Tenant_104"/>
    <x v="292"/>
    <n v="173535.12"/>
    <n v="173535.12"/>
    <s v=""/>
    <d v="2023-04-16T00:00:00"/>
    <d v="2028-01-07T00:00:00"/>
    <n v="3014.05"/>
    <n v="2348.25"/>
    <s v="OK"/>
    <s v=""/>
    <s v=""/>
    <x v="292"/>
    <n v="5362.3"/>
    <x v="292"/>
    <n v="22"/>
    <s v="12 M+"/>
    <x v="0"/>
    <n v="1055"/>
  </r>
  <r>
    <x v="6"/>
    <x v="333"/>
    <x v="0"/>
    <x v="305"/>
    <x v="0"/>
    <s v="Tenant_11"/>
    <x v="293"/>
    <n v="101735.03999999999"/>
    <n v="101735.04000000001"/>
    <s v=""/>
    <d v="2022-09-08T00:00:00"/>
    <d v="2025-09-02T00:00:00"/>
    <n v="3743.76"/>
    <n v="2650.27"/>
    <s v="OK"/>
    <s v=""/>
    <s v=""/>
    <x v="293"/>
    <n v="6394.0300000000007"/>
    <x v="293"/>
    <n v="0"/>
    <s v="0-3 Monaten"/>
    <x v="0"/>
    <n v="1297"/>
  </r>
  <r>
    <x v="4"/>
    <x v="334"/>
    <x v="1"/>
    <x v="306"/>
    <x v="0"/>
    <s v="Tenant_176"/>
    <x v="294"/>
    <n v="170335.32"/>
    <n v="170335.32"/>
    <s v=""/>
    <d v="2021-05-15T00:00:00"/>
    <d v="2025-05-29T00:00:00"/>
    <n v="2674.58"/>
    <n v="1193.1300000000001"/>
    <s v="OK"/>
    <s v=""/>
    <s v=""/>
    <x v="294"/>
    <n v="3867.71"/>
    <x v="294"/>
    <n v="0"/>
    <s v="0-3 Monaten"/>
    <x v="0"/>
    <n v="901"/>
  </r>
  <r>
    <x v="1"/>
    <x v="335"/>
    <x v="2"/>
    <x v="307"/>
    <x v="1"/>
    <m/>
    <x v="1"/>
    <n v="0"/>
    <n v="0"/>
    <s v=""/>
    <m/>
    <m/>
    <n v="1484.76"/>
    <n v="2212.84"/>
    <s v="OK"/>
    <s v=""/>
    <s v="Rent&lt;=0"/>
    <x v="1"/>
    <n v="3697.6000000000004"/>
    <x v="1"/>
    <n v="0"/>
    <s v=""/>
    <x v="41"/>
    <n v="0"/>
  </r>
  <r>
    <x v="2"/>
    <x v="336"/>
    <x v="3"/>
    <x v="71"/>
    <x v="0"/>
    <s v="Tenant_93"/>
    <x v="295"/>
    <n v="81259.08"/>
    <n v="81259.08"/>
    <s v=""/>
    <d v="2021-08-16T00:00:00"/>
    <d v="2024-12-02T00:00:00"/>
    <n v="1834.65"/>
    <n v="1915.06"/>
    <s v="OK"/>
    <s v=""/>
    <s v=""/>
    <x v="295"/>
    <n v="3749.71"/>
    <x v="295"/>
    <n v="0"/>
    <s v="0-3 Monaten"/>
    <x v="0"/>
    <n v="927"/>
  </r>
  <r>
    <x v="3"/>
    <x v="337"/>
    <x v="0"/>
    <x v="308"/>
    <x v="0"/>
    <s v="Tenant_26"/>
    <x v="296"/>
    <n v="107058.24000000001"/>
    <n v="107058.24000000001"/>
    <s v=""/>
    <d v="2021-11-17T00:00:00"/>
    <d v="2022-12-28T00:00:00"/>
    <n v="1130.2"/>
    <n v="555.63"/>
    <s v="OK"/>
    <s v=""/>
    <s v=""/>
    <x v="296"/>
    <n v="1685.83"/>
    <x v="296"/>
    <n v="0"/>
    <s v="0-3 Monaten"/>
    <x v="0"/>
    <n v="572"/>
  </r>
  <r>
    <x v="6"/>
    <x v="338"/>
    <x v="3"/>
    <x v="309"/>
    <x v="0"/>
    <s v="Tenant_154"/>
    <x v="297"/>
    <n v="183130.2"/>
    <n v="183130.2"/>
    <s v=""/>
    <d v="2022-07-03T00:00:00"/>
    <d v="2025-04-29T00:00:00"/>
    <n v="4050.3"/>
    <n v="2859.92"/>
    <s v="OK"/>
    <s v=""/>
    <s v=""/>
    <x v="297"/>
    <n v="6910.22"/>
    <x v="297"/>
    <n v="0"/>
    <s v="0-3 Monaten"/>
    <x v="0"/>
    <n v="1388"/>
  </r>
  <r>
    <x v="5"/>
    <x v="339"/>
    <x v="1"/>
    <x v="259"/>
    <x v="0"/>
    <s v="Tenant_73"/>
    <x v="298"/>
    <n v="9004.92"/>
    <n v="9004.92"/>
    <s v=""/>
    <d v="2021-06-13T00:00:00"/>
    <d v="2022-01-20T00:00:00"/>
    <n v="154.77000000000001"/>
    <n v="66.69"/>
    <s v="OK"/>
    <s v=""/>
    <s v=""/>
    <x v="298"/>
    <n v="221.46"/>
    <x v="298"/>
    <n v="0"/>
    <s v="0-3 Monaten"/>
    <x v="0"/>
    <n v="81"/>
  </r>
  <r>
    <x v="1"/>
    <x v="340"/>
    <x v="0"/>
    <x v="310"/>
    <x v="0"/>
    <s v="Tenant_21"/>
    <x v="299"/>
    <n v="35651.519999999997"/>
    <n v="35651.520000000004"/>
    <s v=""/>
    <d v="2022-09-29T00:00:00"/>
    <d v="2026-08-18T00:00:00"/>
    <n v="314.29000000000002"/>
    <n v="490.96"/>
    <s v="OK"/>
    <s v=""/>
    <s v=""/>
    <x v="299"/>
    <n v="805.25"/>
    <x v="299"/>
    <n v="5"/>
    <s v="3-6 Monaten"/>
    <x v="0"/>
    <n v="279"/>
  </r>
  <r>
    <x v="3"/>
    <x v="341"/>
    <x v="1"/>
    <x v="311"/>
    <x v="1"/>
    <m/>
    <x v="1"/>
    <n v="0"/>
    <n v="0"/>
    <s v=""/>
    <m/>
    <m/>
    <n v="1503.84"/>
    <n v="1525.24"/>
    <s v="OK"/>
    <s v=""/>
    <s v="Rent&lt;=0"/>
    <x v="1"/>
    <n v="3029.08"/>
    <x v="1"/>
    <n v="0"/>
    <s v=""/>
    <x v="42"/>
    <n v="0"/>
  </r>
  <r>
    <x v="7"/>
    <x v="342"/>
    <x v="1"/>
    <x v="312"/>
    <x v="0"/>
    <s v="Tenant_32"/>
    <x v="300"/>
    <n v="11661.12"/>
    <n v="11661.119999999999"/>
    <s v=""/>
    <d v="2023-03-11T00:00:00"/>
    <d v="2026-01-21T00:00:00"/>
    <n v="209.69"/>
    <n v="105.28"/>
    <s v="OK"/>
    <s v=""/>
    <s v=""/>
    <x v="300"/>
    <n v="314.97000000000003"/>
    <x v="300"/>
    <n v="0"/>
    <s v="0-3 Monaten"/>
    <x v="0"/>
    <n v="137"/>
  </r>
  <r>
    <x v="7"/>
    <x v="343"/>
    <x v="0"/>
    <x v="313"/>
    <x v="0"/>
    <s v="Tenant_26"/>
    <x v="301"/>
    <n v="6715.2"/>
    <n v="6715.2000000000007"/>
    <s v=""/>
    <d v="2022-06-22T00:00:00"/>
    <d v="2027-04-27T00:00:00"/>
    <n v="179.71"/>
    <n v="49.55"/>
    <s v="OK"/>
    <s v=""/>
    <s v=""/>
    <x v="301"/>
    <n v="229.26"/>
    <x v="301"/>
    <n v="14"/>
    <s v="12 M+"/>
    <x v="0"/>
    <n v="64"/>
  </r>
  <r>
    <x v="3"/>
    <x v="344"/>
    <x v="3"/>
    <x v="314"/>
    <x v="0"/>
    <s v="Tenant_57"/>
    <x v="302"/>
    <n v="7079.16"/>
    <n v="7079.16"/>
    <s v=""/>
    <d v="2023-09-05T00:00:00"/>
    <d v="2025-08-05T00:00:00"/>
    <n v="125.8"/>
    <n v="169.73"/>
    <s v="OK"/>
    <s v=""/>
    <s v=""/>
    <x v="302"/>
    <n v="295.52999999999997"/>
    <x v="302"/>
    <n v="0"/>
    <s v="0-3 Monaten"/>
    <x v="0"/>
    <n v="91"/>
  </r>
  <r>
    <x v="3"/>
    <x v="345"/>
    <x v="3"/>
    <x v="315"/>
    <x v="0"/>
    <s v="Tenant_104"/>
    <x v="303"/>
    <n v="31452.36"/>
    <n v="31452.36"/>
    <s v=""/>
    <d v="2022-12-06T00:00:00"/>
    <d v="2025-08-15T00:00:00"/>
    <n v="400.67"/>
    <n v="330.05"/>
    <s v="OK"/>
    <s v=""/>
    <s v=""/>
    <x v="303"/>
    <n v="730.72"/>
    <x v="303"/>
    <n v="0"/>
    <s v="0-3 Monaten"/>
    <x v="0"/>
    <n v="185"/>
  </r>
  <r>
    <x v="6"/>
    <x v="346"/>
    <x v="1"/>
    <x v="283"/>
    <x v="0"/>
    <s v="Tenant_112"/>
    <x v="304"/>
    <n v="120579.24"/>
    <n v="120579.24"/>
    <s v=""/>
    <d v="2023-12-09T00:00:00"/>
    <d v="2026-05-05T00:00:00"/>
    <n v="2010.74"/>
    <n v="1576.53"/>
    <s v="OK"/>
    <s v=""/>
    <s v=""/>
    <x v="304"/>
    <n v="3587.27"/>
    <x v="304"/>
    <n v="2"/>
    <s v="0-3 Monaten"/>
    <x v="0"/>
    <n v="1223"/>
  </r>
  <r>
    <x v="3"/>
    <x v="347"/>
    <x v="2"/>
    <x v="316"/>
    <x v="0"/>
    <s v="Tenant_28"/>
    <x v="305"/>
    <n v="73989.72"/>
    <n v="73989.72"/>
    <s v=""/>
    <d v="2021-07-24T00:00:00"/>
    <d v="2025-02-23T00:00:00"/>
    <n v="1070.72"/>
    <n v="751.91"/>
    <s v="OK"/>
    <s v=""/>
    <s v=""/>
    <x v="305"/>
    <n v="1822.63"/>
    <x v="305"/>
    <n v="0"/>
    <s v="0-3 Monaten"/>
    <x v="0"/>
    <n v="369"/>
  </r>
  <r>
    <x v="2"/>
    <x v="348"/>
    <x v="3"/>
    <x v="317"/>
    <x v="0"/>
    <s v="Tenant_104"/>
    <x v="306"/>
    <n v="93802.92"/>
    <n v="93802.92"/>
    <s v=""/>
    <d v="2023-03-15T00:00:00"/>
    <d v="2027-12-03T00:00:00"/>
    <n v="3178.47"/>
    <n v="1589.54"/>
    <s v="OK"/>
    <s v=""/>
    <s v=""/>
    <x v="306"/>
    <n v="4768.01"/>
    <x v="306"/>
    <n v="21"/>
    <s v="12 M+"/>
    <x v="0"/>
    <n v="1085"/>
  </r>
  <r>
    <x v="1"/>
    <x v="349"/>
    <x v="3"/>
    <x v="318"/>
    <x v="0"/>
    <s v="Tenant_97"/>
    <x v="307"/>
    <n v="123166.2"/>
    <n v="123166.20000000001"/>
    <s v=""/>
    <d v="2023-11-25T00:00:00"/>
    <d v="2027-11-15T00:00:00"/>
    <n v="3763.07"/>
    <n v="2404.23"/>
    <s v="OK"/>
    <s v=""/>
    <s v=""/>
    <x v="307"/>
    <n v="6167.3"/>
    <x v="307"/>
    <n v="20"/>
    <s v="12 M+"/>
    <x v="0"/>
    <n v="1321"/>
  </r>
  <r>
    <x v="0"/>
    <x v="350"/>
    <x v="0"/>
    <x v="319"/>
    <x v="0"/>
    <s v="Tenant_93"/>
    <x v="308"/>
    <n v="117827.4"/>
    <n v="117827.40000000001"/>
    <s v=""/>
    <d v="2021-07-01T00:00:00"/>
    <d v="2023-12-09T00:00:00"/>
    <n v="2362.4"/>
    <n v="710.91"/>
    <s v="OK"/>
    <s v=""/>
    <s v=""/>
    <x v="308"/>
    <n v="3073.31"/>
    <x v="308"/>
    <n v="0"/>
    <s v="0-3 Monaten"/>
    <x v="0"/>
    <n v="941"/>
  </r>
  <r>
    <x v="0"/>
    <x v="351"/>
    <x v="1"/>
    <x v="320"/>
    <x v="0"/>
    <s v="Tenant_89"/>
    <x v="309"/>
    <n v="120358.2"/>
    <n v="120358.20000000001"/>
    <s v=""/>
    <d v="2023-03-10T00:00:00"/>
    <d v="2025-02-22T00:00:00"/>
    <n v="1830.99"/>
    <n v="1982.45"/>
    <s v="OK"/>
    <s v=""/>
    <s v=""/>
    <x v="309"/>
    <n v="3813.44"/>
    <x v="309"/>
    <n v="0"/>
    <s v="0-3 Monaten"/>
    <x v="0"/>
    <n v="1087"/>
  </r>
  <r>
    <x v="5"/>
    <x v="352"/>
    <x v="1"/>
    <x v="321"/>
    <x v="1"/>
    <m/>
    <x v="1"/>
    <n v="0"/>
    <n v="0"/>
    <s v=""/>
    <m/>
    <m/>
    <n v="1540.43"/>
    <n v="385.23"/>
    <s v="OK"/>
    <s v=""/>
    <s v="Rent&lt;=0"/>
    <x v="1"/>
    <n v="1925.66"/>
    <x v="1"/>
    <n v="0"/>
    <s v=""/>
    <x v="43"/>
    <n v="0"/>
  </r>
  <r>
    <x v="7"/>
    <x v="353"/>
    <x v="3"/>
    <x v="322"/>
    <x v="0"/>
    <s v="Tenant_120"/>
    <x v="310"/>
    <n v="98185.56"/>
    <n v="98185.56"/>
    <s v=""/>
    <d v="2023-05-28T00:00:00"/>
    <d v="2024-01-15T00:00:00"/>
    <n v="1647.31"/>
    <n v="1249.67"/>
    <s v="OK"/>
    <s v=""/>
    <s v=""/>
    <x v="310"/>
    <n v="2896.98"/>
    <x v="310"/>
    <n v="0"/>
    <s v="0-3 Monaten"/>
    <x v="0"/>
    <n v="620"/>
  </r>
  <r>
    <x v="1"/>
    <x v="354"/>
    <x v="1"/>
    <x v="323"/>
    <x v="0"/>
    <s v="Tenant_92"/>
    <x v="311"/>
    <n v="61631.64"/>
    <n v="61631.64"/>
    <s v=""/>
    <d v="2022-10-11T00:00:00"/>
    <d v="2027-06-11T00:00:00"/>
    <n v="672.99"/>
    <n v="1112.6199999999999"/>
    <s v="OK"/>
    <s v=""/>
    <s v=""/>
    <x v="311"/>
    <n v="1785.61"/>
    <x v="311"/>
    <n v="15"/>
    <s v="12 M+"/>
    <x v="0"/>
    <n v="463"/>
  </r>
  <r>
    <x v="4"/>
    <x v="355"/>
    <x v="1"/>
    <x v="228"/>
    <x v="0"/>
    <s v="Tenant_20"/>
    <x v="312"/>
    <n v="113843.16"/>
    <n v="113843.16"/>
    <s v=""/>
    <d v="2021-10-01T00:00:00"/>
    <d v="2024-07-26T00:00:00"/>
    <n v="2150.16"/>
    <n v="2884.89"/>
    <s v="OK"/>
    <s v=""/>
    <s v=""/>
    <x v="312"/>
    <n v="5035.0499999999993"/>
    <x v="312"/>
    <n v="0"/>
    <s v="0-3 Monaten"/>
    <x v="0"/>
    <n v="1448"/>
  </r>
  <r>
    <x v="5"/>
    <x v="356"/>
    <x v="2"/>
    <x v="114"/>
    <x v="0"/>
    <s v="Tenant_115"/>
    <x v="313"/>
    <n v="75474.240000000005"/>
    <n v="75474.240000000005"/>
    <s v=""/>
    <d v="2021-07-04T00:00:00"/>
    <d v="2023-09-30T00:00:00"/>
    <n v="2493.27"/>
    <n v="1612.55"/>
    <s v="OK"/>
    <s v=""/>
    <s v=""/>
    <x v="313"/>
    <n v="4105.82"/>
    <x v="313"/>
    <n v="0"/>
    <s v="0-3 Monaten"/>
    <x v="0"/>
    <n v="933"/>
  </r>
  <r>
    <x v="1"/>
    <x v="357"/>
    <x v="3"/>
    <x v="324"/>
    <x v="0"/>
    <s v="Tenant_70"/>
    <x v="314"/>
    <n v="24951.119999999999"/>
    <n v="24951.120000000003"/>
    <s v=""/>
    <d v="2022-06-16T00:00:00"/>
    <d v="2023-05-27T00:00:00"/>
    <n v="406.43"/>
    <n v="138.79"/>
    <s v="OK"/>
    <s v=""/>
    <s v=""/>
    <x v="314"/>
    <n v="545.22"/>
    <x v="314"/>
    <n v="0"/>
    <s v="0-3 Monaten"/>
    <x v="0"/>
    <n v="152"/>
  </r>
  <r>
    <x v="2"/>
    <x v="358"/>
    <x v="1"/>
    <x v="325"/>
    <x v="0"/>
    <s v="Tenant_105"/>
    <x v="315"/>
    <n v="88122.12"/>
    <n v="88122.12"/>
    <s v=""/>
    <d v="2021-11-24T00:00:00"/>
    <d v="2026-11-13T00:00:00"/>
    <n v="2070.8200000000002"/>
    <n v="1492.42"/>
    <s v="OK"/>
    <s v=""/>
    <s v=""/>
    <x v="315"/>
    <n v="3563.2400000000002"/>
    <x v="315"/>
    <n v="8"/>
    <s v="6-12 Monaten"/>
    <x v="0"/>
    <n v="1041"/>
  </r>
  <r>
    <x v="2"/>
    <x v="359"/>
    <x v="1"/>
    <x v="326"/>
    <x v="1"/>
    <m/>
    <x v="1"/>
    <n v="0"/>
    <n v="0"/>
    <s v=""/>
    <m/>
    <m/>
    <n v="2467.21"/>
    <n v="1476.81"/>
    <s v="OK"/>
    <s v=""/>
    <s v="Rent&lt;=0"/>
    <x v="1"/>
    <n v="3944.02"/>
    <x v="1"/>
    <n v="0"/>
    <s v=""/>
    <x v="44"/>
    <n v="0"/>
  </r>
  <r>
    <x v="6"/>
    <x v="360"/>
    <x v="2"/>
    <x v="133"/>
    <x v="0"/>
    <s v="Tenant_123"/>
    <x v="316"/>
    <n v="102518.88"/>
    <n v="102518.88"/>
    <s v=""/>
    <d v="2022-02-15T00:00:00"/>
    <d v="2023-01-04T00:00:00"/>
    <n v="2448.21"/>
    <n v="1317.98"/>
    <s v="OK"/>
    <s v=""/>
    <s v=""/>
    <x v="316"/>
    <n v="3766.19"/>
    <x v="316"/>
    <n v="0"/>
    <s v="0-3 Monaten"/>
    <x v="0"/>
    <n v="1024"/>
  </r>
  <r>
    <x v="7"/>
    <x v="361"/>
    <x v="1"/>
    <x v="7"/>
    <x v="0"/>
    <s v="Tenant_25"/>
    <x v="317"/>
    <n v="38953.08"/>
    <n v="38953.08"/>
    <s v=""/>
    <d v="2022-11-03T00:00:00"/>
    <d v="2023-11-09T00:00:00"/>
    <n v="955.23"/>
    <n v="174.29"/>
    <s v="OK"/>
    <s v=""/>
    <s v=""/>
    <x v="317"/>
    <n v="1129.52"/>
    <x v="317"/>
    <n v="0"/>
    <s v="0-3 Monaten"/>
    <x v="0"/>
    <n v="319"/>
  </r>
  <r>
    <x v="3"/>
    <x v="362"/>
    <x v="2"/>
    <x v="32"/>
    <x v="0"/>
    <s v="Tenant_43"/>
    <x v="318"/>
    <n v="132574.32"/>
    <n v="132574.32"/>
    <s v=""/>
    <d v="2022-12-27T00:00:00"/>
    <d v="2027-04-09T00:00:00"/>
    <n v="3122.53"/>
    <n v="847.72"/>
    <s v="OK"/>
    <s v=""/>
    <s v=""/>
    <x v="318"/>
    <n v="3970.25"/>
    <x v="318"/>
    <n v="13"/>
    <s v="12 M+"/>
    <x v="0"/>
    <n v="1143"/>
  </r>
  <r>
    <x v="2"/>
    <x v="363"/>
    <x v="2"/>
    <x v="327"/>
    <x v="0"/>
    <s v="Tenant_154"/>
    <x v="319"/>
    <n v="154427.88"/>
    <n v="154427.88"/>
    <s v=""/>
    <d v="2021-04-12T00:00:00"/>
    <d v="2024-08-26T00:00:00"/>
    <n v="3288.02"/>
    <n v="1583.73"/>
    <s v="OK"/>
    <s v=""/>
    <s v=""/>
    <x v="319"/>
    <n v="4871.75"/>
    <x v="319"/>
    <n v="0"/>
    <s v="0-3 Monaten"/>
    <x v="0"/>
    <n v="1250"/>
  </r>
  <r>
    <x v="7"/>
    <x v="364"/>
    <x v="2"/>
    <x v="328"/>
    <x v="0"/>
    <s v="Tenant_114"/>
    <x v="320"/>
    <n v="197379.12"/>
    <n v="197379.12"/>
    <s v=""/>
    <d v="2022-09-30T00:00:00"/>
    <d v="2023-06-22T00:00:00"/>
    <n v="2042.61"/>
    <n v="2948.07"/>
    <s v="OK"/>
    <s v=""/>
    <s v=""/>
    <x v="320"/>
    <n v="4990.68"/>
    <x v="320"/>
    <n v="0"/>
    <s v="0-3 Monaten"/>
    <x v="0"/>
    <n v="1227"/>
  </r>
  <r>
    <x v="4"/>
    <x v="365"/>
    <x v="3"/>
    <x v="329"/>
    <x v="0"/>
    <s v="Tenant_128"/>
    <x v="321"/>
    <n v="148981.44"/>
    <n v="148981.44"/>
    <s v=""/>
    <d v="2021-12-18T00:00:00"/>
    <d v="2026-03-13T00:00:00"/>
    <n v="1916.39"/>
    <n v="1262.4100000000001"/>
    <s v="OK"/>
    <s v=""/>
    <s v=""/>
    <x v="321"/>
    <n v="3178.8"/>
    <x v="321"/>
    <n v="0"/>
    <s v="0-3 Monaten"/>
    <x v="0"/>
    <n v="832"/>
  </r>
  <r>
    <x v="1"/>
    <x v="366"/>
    <x v="3"/>
    <x v="244"/>
    <x v="0"/>
    <s v="Tenant_190"/>
    <x v="322"/>
    <n v="117566.04"/>
    <n v="117566.04000000001"/>
    <s v=""/>
    <d v="2023-09-07T00:00:00"/>
    <d v="2027-11-17T00:00:00"/>
    <n v="1507.86"/>
    <n v="834.32"/>
    <s v="OK"/>
    <s v=""/>
    <s v=""/>
    <x v="322"/>
    <n v="2342.1799999999998"/>
    <x v="322"/>
    <n v="20"/>
    <s v="12 M+"/>
    <x v="0"/>
    <n v="1219"/>
  </r>
  <r>
    <x v="0"/>
    <x v="367"/>
    <x v="0"/>
    <x v="330"/>
    <x v="0"/>
    <s v="Tenant_75"/>
    <x v="323"/>
    <n v="50133.72"/>
    <n v="50133.72"/>
    <s v=""/>
    <d v="2022-11-30T00:00:00"/>
    <d v="2023-11-20T00:00:00"/>
    <n v="672.99"/>
    <n v="503.8"/>
    <s v="OK"/>
    <s v=""/>
    <s v=""/>
    <x v="323"/>
    <n v="1176.79"/>
    <x v="323"/>
    <n v="0"/>
    <s v="0-3 Monaten"/>
    <x v="0"/>
    <n v="461"/>
  </r>
  <r>
    <x v="0"/>
    <x v="368"/>
    <x v="2"/>
    <x v="331"/>
    <x v="0"/>
    <s v="Tenant_110"/>
    <x v="324"/>
    <n v="130714.08"/>
    <n v="130714.08"/>
    <s v=""/>
    <d v="2021-04-14T00:00:00"/>
    <d v="2023-10-09T00:00:00"/>
    <n v="1699.62"/>
    <n v="546.44000000000005"/>
    <s v="OK"/>
    <s v=""/>
    <s v=""/>
    <x v="324"/>
    <n v="2246.06"/>
    <x v="324"/>
    <n v="0"/>
    <s v="0-3 Monaten"/>
    <x v="0"/>
    <n v="616"/>
  </r>
  <r>
    <x v="3"/>
    <x v="369"/>
    <x v="1"/>
    <x v="332"/>
    <x v="0"/>
    <s v="Tenant_118"/>
    <x v="325"/>
    <n v="259601.16"/>
    <n v="259601.16"/>
    <s v=""/>
    <d v="2021-04-27T00:00:00"/>
    <d v="2022-07-14T00:00:00"/>
    <n v="3081.01"/>
    <n v="1098.1300000000001"/>
    <s v="OK"/>
    <s v=""/>
    <s v=""/>
    <x v="325"/>
    <n v="4179.1400000000003"/>
    <x v="325"/>
    <n v="0"/>
    <s v="0-3 Monaten"/>
    <x v="0"/>
    <n v="1261"/>
  </r>
  <r>
    <x v="6"/>
    <x v="370"/>
    <x v="1"/>
    <x v="333"/>
    <x v="0"/>
    <s v="Tenant_71"/>
    <x v="326"/>
    <n v="44578.32"/>
    <n v="44578.32"/>
    <s v=""/>
    <d v="2022-06-09T00:00:00"/>
    <d v="2026-08-30T00:00:00"/>
    <n v="640.04"/>
    <n v="542.4"/>
    <s v="OK"/>
    <s v=""/>
    <s v=""/>
    <x v="326"/>
    <n v="1182.44"/>
    <x v="326"/>
    <n v="6"/>
    <s v="3-6 Monaten"/>
    <x v="0"/>
    <n v="363"/>
  </r>
  <r>
    <x v="5"/>
    <x v="371"/>
    <x v="0"/>
    <x v="334"/>
    <x v="1"/>
    <m/>
    <x v="1"/>
    <n v="0"/>
    <n v="0"/>
    <s v=""/>
    <m/>
    <m/>
    <n v="875.42"/>
    <n v="778.91"/>
    <s v="OK"/>
    <s v=""/>
    <s v="Rent&lt;=0"/>
    <x v="1"/>
    <n v="1654.33"/>
    <x v="1"/>
    <n v="0"/>
    <s v=""/>
    <x v="45"/>
    <n v="0"/>
  </r>
  <r>
    <x v="4"/>
    <x v="372"/>
    <x v="3"/>
    <x v="335"/>
    <x v="0"/>
    <s v="Tenant_89"/>
    <x v="327"/>
    <n v="183025.56"/>
    <n v="183025.56"/>
    <s v=""/>
    <d v="2022-05-11T00:00:00"/>
    <d v="2024-03-09T00:00:00"/>
    <n v="1769.91"/>
    <n v="2306.02"/>
    <s v="OK"/>
    <s v=""/>
    <s v=""/>
    <x v="327"/>
    <n v="4075.9300000000003"/>
    <x v="327"/>
    <n v="0"/>
    <s v="0-3 Monaten"/>
    <x v="0"/>
    <n v="1117"/>
  </r>
  <r>
    <x v="0"/>
    <x v="373"/>
    <x v="1"/>
    <x v="336"/>
    <x v="0"/>
    <s v="Tenant_66"/>
    <x v="328"/>
    <n v="87099.48"/>
    <n v="87099.48"/>
    <s v=""/>
    <d v="2022-12-23T00:00:00"/>
    <d v="2023-11-19T00:00:00"/>
    <n v="2053.69"/>
    <n v="1646.9"/>
    <s v="OK"/>
    <s v=""/>
    <s v=""/>
    <x v="328"/>
    <n v="3700.59"/>
    <x v="328"/>
    <n v="0"/>
    <s v="0-3 Monaten"/>
    <x v="0"/>
    <n v="979"/>
  </r>
  <r>
    <x v="0"/>
    <x v="374"/>
    <x v="3"/>
    <x v="337"/>
    <x v="0"/>
    <s v="Tenant_124"/>
    <x v="329"/>
    <n v="30111.84"/>
    <n v="30111.840000000004"/>
    <s v=""/>
    <d v="2023-03-16T00:00:00"/>
    <d v="2024-06-26T00:00:00"/>
    <n v="352.8"/>
    <n v="152.69999999999999"/>
    <s v="OK"/>
    <s v=""/>
    <s v=""/>
    <x v="329"/>
    <n v="505.5"/>
    <x v="329"/>
    <n v="0"/>
    <s v="0-3 Monaten"/>
    <x v="0"/>
    <n v="275"/>
  </r>
  <r>
    <x v="7"/>
    <x v="375"/>
    <x v="2"/>
    <x v="338"/>
    <x v="1"/>
    <m/>
    <x v="1"/>
    <n v="0"/>
    <n v="0"/>
    <s v=""/>
    <m/>
    <m/>
    <n v="2184.6"/>
    <n v="1100.49"/>
    <s v="OK"/>
    <s v=""/>
    <s v="Rent&lt;=0"/>
    <x v="1"/>
    <n v="3285.09"/>
    <x v="1"/>
    <n v="0"/>
    <s v=""/>
    <x v="46"/>
    <n v="0"/>
  </r>
  <r>
    <x v="4"/>
    <x v="376"/>
    <x v="1"/>
    <x v="339"/>
    <x v="0"/>
    <s v="Tenant_99"/>
    <x v="330"/>
    <n v="80687.039999999994"/>
    <n v="80687.040000000008"/>
    <s v=""/>
    <d v="2021-07-22T00:00:00"/>
    <d v="2022-05-21T00:00:00"/>
    <n v="1477.33"/>
    <n v="712.95"/>
    <s v="OK"/>
    <s v=""/>
    <s v=""/>
    <x v="330"/>
    <n v="2190.2799999999997"/>
    <x v="330"/>
    <n v="0"/>
    <s v="0-3 Monaten"/>
    <x v="0"/>
    <n v="648"/>
  </r>
  <r>
    <x v="5"/>
    <x v="377"/>
    <x v="1"/>
    <x v="340"/>
    <x v="0"/>
    <s v="Tenant_69"/>
    <x v="331"/>
    <n v="136547.04"/>
    <n v="136547.04"/>
    <s v=""/>
    <d v="2023-05-04T00:00:00"/>
    <d v="2028-03-14T00:00:00"/>
    <n v="2623.38"/>
    <n v="729.16"/>
    <s v="OK"/>
    <s v=""/>
    <s v=""/>
    <x v="331"/>
    <n v="3352.54"/>
    <x v="331"/>
    <n v="24"/>
    <s v="12 M+"/>
    <x v="0"/>
    <n v="991"/>
  </r>
  <r>
    <x v="4"/>
    <x v="378"/>
    <x v="2"/>
    <x v="341"/>
    <x v="0"/>
    <s v="Tenant_194"/>
    <x v="332"/>
    <n v="190890.96"/>
    <n v="190890.96"/>
    <s v=""/>
    <d v="2021-10-30T00:00:00"/>
    <d v="2024-09-18T00:00:00"/>
    <n v="2736.27"/>
    <n v="1899.78"/>
    <s v="OK"/>
    <s v=""/>
    <s v=""/>
    <x v="332"/>
    <n v="4636.05"/>
    <x v="332"/>
    <n v="0"/>
    <s v="0-3 Monaten"/>
    <x v="0"/>
    <n v="1036"/>
  </r>
  <r>
    <x v="4"/>
    <x v="379"/>
    <x v="1"/>
    <x v="303"/>
    <x v="0"/>
    <s v="Tenant_170"/>
    <x v="333"/>
    <n v="20562.36"/>
    <n v="20562.36"/>
    <s v=""/>
    <d v="2021-06-27T00:00:00"/>
    <d v="2022-06-18T00:00:00"/>
    <n v="463.43"/>
    <n v="426.15"/>
    <s v="OK"/>
    <s v=""/>
    <s v=""/>
    <x v="333"/>
    <n v="889.57999999999993"/>
    <x v="333"/>
    <n v="0"/>
    <s v="0-3 Monaten"/>
    <x v="0"/>
    <n v="221"/>
  </r>
  <r>
    <x v="6"/>
    <x v="380"/>
    <x v="0"/>
    <x v="237"/>
    <x v="0"/>
    <s v="Tenant_181"/>
    <x v="334"/>
    <n v="151715.51999999999"/>
    <n v="151715.51999999999"/>
    <s v=""/>
    <d v="2023-05-02T00:00:00"/>
    <d v="2026-02-22T00:00:00"/>
    <n v="3413.35"/>
    <n v="1754.03"/>
    <s v="OK"/>
    <s v=""/>
    <s v=""/>
    <x v="334"/>
    <n v="5167.38"/>
    <x v="334"/>
    <n v="0"/>
    <s v="0-3 Monaten"/>
    <x v="0"/>
    <n v="1211"/>
  </r>
  <r>
    <x v="6"/>
    <x v="381"/>
    <x v="3"/>
    <x v="342"/>
    <x v="0"/>
    <s v="Tenant_117"/>
    <x v="335"/>
    <n v="75582.960000000006"/>
    <n v="75582.959999999992"/>
    <s v=""/>
    <d v="2021-10-27T00:00:00"/>
    <d v="2026-01-05T00:00:00"/>
    <n v="1419.73"/>
    <n v="862.77"/>
    <s v="OK"/>
    <s v=""/>
    <s v=""/>
    <x v="335"/>
    <n v="2282.5"/>
    <x v="335"/>
    <n v="0"/>
    <s v="0-3 Monaten"/>
    <x v="0"/>
    <n v="507"/>
  </r>
  <r>
    <x v="1"/>
    <x v="382"/>
    <x v="2"/>
    <x v="343"/>
    <x v="0"/>
    <s v="Tenant_37"/>
    <x v="336"/>
    <n v="121531.92"/>
    <n v="121531.92"/>
    <s v=""/>
    <d v="2021-06-27T00:00:00"/>
    <d v="2023-08-29T00:00:00"/>
    <n v="902.63"/>
    <n v="1419.42"/>
    <s v="OK"/>
    <s v=""/>
    <s v=""/>
    <x v="336"/>
    <n v="2322.0500000000002"/>
    <x v="336"/>
    <n v="0"/>
    <s v="0-3 Monaten"/>
    <x v="0"/>
    <n v="605"/>
  </r>
  <r>
    <x v="0"/>
    <x v="383"/>
    <x v="0"/>
    <x v="344"/>
    <x v="0"/>
    <s v="Tenant_98"/>
    <x v="337"/>
    <n v="218341.44"/>
    <n v="218341.44"/>
    <s v=""/>
    <d v="2022-09-09T00:00:00"/>
    <d v="2023-05-03T00:00:00"/>
    <n v="2522.12"/>
    <n v="2328.67"/>
    <s v="OK"/>
    <s v=""/>
    <s v=""/>
    <x v="337"/>
    <n v="4850.79"/>
    <x v="337"/>
    <n v="0"/>
    <s v="0-3 Monaten"/>
    <x v="0"/>
    <n v="1015"/>
  </r>
  <r>
    <x v="3"/>
    <x v="384"/>
    <x v="0"/>
    <x v="171"/>
    <x v="1"/>
    <m/>
    <x v="1"/>
    <n v="0"/>
    <n v="0"/>
    <s v=""/>
    <m/>
    <m/>
    <n v="2165.9499999999998"/>
    <n v="1552.78"/>
    <s v="OK"/>
    <s v=""/>
    <s v="Rent&lt;=0"/>
    <x v="1"/>
    <n v="3718.7299999999996"/>
    <x v="1"/>
    <n v="0"/>
    <s v=""/>
    <x v="47"/>
    <n v="0"/>
  </r>
  <r>
    <x v="1"/>
    <x v="385"/>
    <x v="2"/>
    <x v="345"/>
    <x v="0"/>
    <s v="Tenant_137"/>
    <x v="338"/>
    <n v="106776.6"/>
    <n v="106776.59999999999"/>
    <s v=""/>
    <d v="2023-03-07T00:00:00"/>
    <d v="2023-09-24T00:00:00"/>
    <n v="1339.22"/>
    <n v="1480.32"/>
    <s v="OK"/>
    <s v=""/>
    <s v=""/>
    <x v="338"/>
    <n v="2819.54"/>
    <x v="338"/>
    <n v="0"/>
    <s v="0-3 Monaten"/>
    <x v="0"/>
    <n v="683"/>
  </r>
  <r>
    <x v="1"/>
    <x v="386"/>
    <x v="0"/>
    <x v="346"/>
    <x v="0"/>
    <s v="Tenant_108"/>
    <x v="339"/>
    <n v="137829.84"/>
    <n v="137829.84"/>
    <s v=""/>
    <d v="2023-11-11T00:00:00"/>
    <d v="2027-08-25T00:00:00"/>
    <n v="1229.3699999999999"/>
    <n v="432.69"/>
    <s v="OK"/>
    <s v=""/>
    <s v=""/>
    <x v="339"/>
    <n v="1662.06"/>
    <x v="339"/>
    <n v="18"/>
    <s v="12 M+"/>
    <x v="0"/>
    <n v="727"/>
  </r>
  <r>
    <x v="6"/>
    <x v="387"/>
    <x v="0"/>
    <x v="52"/>
    <x v="0"/>
    <s v="Tenant_172"/>
    <x v="340"/>
    <n v="17483.28"/>
    <n v="17483.28"/>
    <s v=""/>
    <d v="2023-01-03T00:00:00"/>
    <d v="2025-12-20T00:00:00"/>
    <n v="356.44"/>
    <n v="212.92"/>
    <s v="OK"/>
    <s v=""/>
    <s v=""/>
    <x v="340"/>
    <n v="569.36"/>
    <x v="340"/>
    <n v="0"/>
    <s v="0-3 Monaten"/>
    <x v="0"/>
    <n v="124"/>
  </r>
  <r>
    <x v="5"/>
    <x v="388"/>
    <x v="1"/>
    <x v="347"/>
    <x v="0"/>
    <s v="Tenant_27"/>
    <x v="341"/>
    <n v="5952.6"/>
    <n v="5952.6"/>
    <s v=""/>
    <d v="2022-11-19T00:00:00"/>
    <d v="2023-07-17T00:00:00"/>
    <n v="116.56"/>
    <n v="118.53"/>
    <s v="OK"/>
    <s v=""/>
    <s v=""/>
    <x v="341"/>
    <n v="235.09"/>
    <x v="341"/>
    <n v="0"/>
    <s v="0-3 Monaten"/>
    <x v="0"/>
    <n v="65"/>
  </r>
  <r>
    <x v="1"/>
    <x v="389"/>
    <x v="0"/>
    <x v="175"/>
    <x v="0"/>
    <s v="Tenant_25"/>
    <x v="342"/>
    <n v="184099.68"/>
    <n v="184099.68"/>
    <s v=""/>
    <d v="2021-11-08T00:00:00"/>
    <d v="2022-11-15T00:00:00"/>
    <n v="2438.33"/>
    <n v="1536.72"/>
    <s v="OK"/>
    <s v=""/>
    <s v=""/>
    <x v="342"/>
    <n v="3975.05"/>
    <x v="342"/>
    <n v="0"/>
    <s v="0-3 Monaten"/>
    <x v="0"/>
    <n v="915"/>
  </r>
  <r>
    <x v="1"/>
    <x v="390"/>
    <x v="0"/>
    <x v="348"/>
    <x v="0"/>
    <s v="Tenant_94"/>
    <x v="343"/>
    <n v="24449.16"/>
    <n v="24449.16"/>
    <s v=""/>
    <d v="2022-01-09T00:00:00"/>
    <d v="2025-08-13T00:00:00"/>
    <n v="796.35"/>
    <n v="293.64"/>
    <s v="OK"/>
    <s v=""/>
    <s v=""/>
    <x v="343"/>
    <n v="1089.99"/>
    <x v="343"/>
    <n v="0"/>
    <s v="0-3 Monaten"/>
    <x v="0"/>
    <n v="280"/>
  </r>
  <r>
    <x v="7"/>
    <x v="391"/>
    <x v="0"/>
    <x v="349"/>
    <x v="0"/>
    <s v="Tenant_148"/>
    <x v="344"/>
    <n v="132471.12"/>
    <n v="132471.12"/>
    <s v=""/>
    <d v="2021-11-10T00:00:00"/>
    <d v="2025-03-16T00:00:00"/>
    <n v="2126.4499999999998"/>
    <n v="2547.92"/>
    <s v="OK"/>
    <s v=""/>
    <s v=""/>
    <x v="344"/>
    <n v="4674.37"/>
    <x v="344"/>
    <n v="0"/>
    <s v="0-3 Monaten"/>
    <x v="0"/>
    <n v="1414"/>
  </r>
  <r>
    <x v="2"/>
    <x v="392"/>
    <x v="1"/>
    <x v="350"/>
    <x v="0"/>
    <s v="Tenant_193"/>
    <x v="345"/>
    <n v="222157.44"/>
    <n v="222157.44"/>
    <s v=""/>
    <d v="2022-12-03T00:00:00"/>
    <d v="2027-09-10T00:00:00"/>
    <n v="3245.04"/>
    <n v="2014.59"/>
    <s v="OK"/>
    <s v=""/>
    <s v=""/>
    <x v="345"/>
    <n v="5259.63"/>
    <x v="345"/>
    <n v="18"/>
    <s v="12 M+"/>
    <x v="0"/>
    <n v="1304"/>
  </r>
  <r>
    <x v="6"/>
    <x v="393"/>
    <x v="2"/>
    <x v="351"/>
    <x v="0"/>
    <s v="Tenant_31"/>
    <x v="346"/>
    <n v="38511.360000000001"/>
    <n v="38511.360000000001"/>
    <s v=""/>
    <d v="2021-12-22T00:00:00"/>
    <d v="2022-06-21T00:00:00"/>
    <n v="692.25"/>
    <n v="426.96"/>
    <s v="OK"/>
    <s v=""/>
    <s v=""/>
    <x v="346"/>
    <n v="1119.21"/>
    <x v="346"/>
    <n v="0"/>
    <s v="0-3 Monaten"/>
    <x v="0"/>
    <n v="329"/>
  </r>
  <r>
    <x v="7"/>
    <x v="394"/>
    <x v="2"/>
    <x v="352"/>
    <x v="1"/>
    <m/>
    <x v="1"/>
    <n v="0"/>
    <n v="0"/>
    <s v=""/>
    <m/>
    <m/>
    <n v="2208.75"/>
    <n v="2265.89"/>
    <s v="OK"/>
    <s v=""/>
    <s v="Rent&lt;=0"/>
    <x v="1"/>
    <n v="4474.6399999999994"/>
    <x v="1"/>
    <n v="0"/>
    <s v=""/>
    <x v="48"/>
    <n v="0"/>
  </r>
  <r>
    <x v="0"/>
    <x v="395"/>
    <x v="0"/>
    <x v="353"/>
    <x v="0"/>
    <s v="Tenant_128"/>
    <x v="347"/>
    <n v="211447.2"/>
    <n v="211447.19999999998"/>
    <s v=""/>
    <d v="2023-09-08T00:00:00"/>
    <d v="2026-05-26T00:00:00"/>
    <n v="2721.49"/>
    <n v="951.69"/>
    <s v="OK"/>
    <s v=""/>
    <s v=""/>
    <x v="347"/>
    <n v="3673.18"/>
    <x v="347"/>
    <n v="3"/>
    <s v="0-3 Monaten"/>
    <x v="0"/>
    <n v="1444"/>
  </r>
  <r>
    <x v="2"/>
    <x v="396"/>
    <x v="0"/>
    <x v="137"/>
    <x v="0"/>
    <s v="Tenant_112"/>
    <x v="348"/>
    <n v="84276.96"/>
    <n v="84276.959999999992"/>
    <s v=""/>
    <d v="2021-04-08T00:00:00"/>
    <d v="2021-11-22T00:00:00"/>
    <n v="869.38"/>
    <n v="832.99"/>
    <s v="OK"/>
    <s v=""/>
    <s v=""/>
    <x v="348"/>
    <n v="1702.37"/>
    <x v="348"/>
    <n v="0"/>
    <s v="0-3 Monaten"/>
    <x v="0"/>
    <n v="404"/>
  </r>
  <r>
    <x v="0"/>
    <x v="397"/>
    <x v="2"/>
    <x v="354"/>
    <x v="0"/>
    <s v="Tenant_56"/>
    <x v="349"/>
    <n v="95230.92"/>
    <n v="95230.92"/>
    <s v=""/>
    <d v="2022-05-27T00:00:00"/>
    <d v="2025-07-25T00:00:00"/>
    <n v="2132.3000000000002"/>
    <n v="787.62"/>
    <s v="OK"/>
    <s v=""/>
    <s v=""/>
    <x v="349"/>
    <n v="2919.92"/>
    <x v="349"/>
    <n v="0"/>
    <s v="0-3 Monaten"/>
    <x v="0"/>
    <n v="743"/>
  </r>
  <r>
    <x v="0"/>
    <x v="398"/>
    <x v="3"/>
    <x v="355"/>
    <x v="0"/>
    <s v="Tenant_122"/>
    <x v="350"/>
    <n v="9092.76"/>
    <n v="9092.76"/>
    <s v=""/>
    <d v="2022-08-31T00:00:00"/>
    <d v="2024-08-29T00:00:00"/>
    <n v="98.16"/>
    <n v="117.62"/>
    <s v="OK"/>
    <s v=""/>
    <s v=""/>
    <x v="350"/>
    <n v="215.78"/>
    <x v="350"/>
    <n v="0"/>
    <s v="0-3 Monaten"/>
    <x v="0"/>
    <n v="57"/>
  </r>
  <r>
    <x v="0"/>
    <x v="399"/>
    <x v="0"/>
    <x v="356"/>
    <x v="0"/>
    <s v="Tenant_197"/>
    <x v="351"/>
    <n v="37664.879999999997"/>
    <n v="37664.879999999997"/>
    <s v=""/>
    <d v="2021-08-04T00:00:00"/>
    <d v="2024-08-16T00:00:00"/>
    <n v="1160.05"/>
    <n v="408.36"/>
    <s v="OK"/>
    <s v=""/>
    <s v=""/>
    <x v="351"/>
    <n v="1568.4099999999999"/>
    <x v="351"/>
    <n v="0"/>
    <s v="0-3 Monaten"/>
    <x v="0"/>
    <n v="490"/>
  </r>
  <r>
    <x v="5"/>
    <x v="400"/>
    <x v="2"/>
    <x v="48"/>
    <x v="0"/>
    <s v="Tenant_111"/>
    <x v="352"/>
    <n v="42215.28"/>
    <n v="42215.28"/>
    <s v=""/>
    <d v="2023-07-10T00:00:00"/>
    <d v="2024-10-29T00:00:00"/>
    <n v="462.67"/>
    <n v="205.46"/>
    <s v="OK"/>
    <s v=""/>
    <s v=""/>
    <x v="352"/>
    <n v="668.13"/>
    <x v="352"/>
    <n v="0"/>
    <s v="0-3 Monaten"/>
    <x v="0"/>
    <n v="324"/>
  </r>
  <r>
    <x v="5"/>
    <x v="401"/>
    <x v="0"/>
    <x v="357"/>
    <x v="0"/>
    <s v="Tenant_130"/>
    <x v="353"/>
    <n v="163590.12"/>
    <n v="163590.12"/>
    <s v=""/>
    <d v="2022-10-30T00:00:00"/>
    <d v="2024-10-09T00:00:00"/>
    <n v="2104.35"/>
    <n v="1176.17"/>
    <s v="OK"/>
    <s v=""/>
    <s v=""/>
    <x v="353"/>
    <n v="3280.52"/>
    <x v="353"/>
    <n v="0"/>
    <s v="0-3 Monaten"/>
    <x v="0"/>
    <n v="1043"/>
  </r>
  <r>
    <x v="7"/>
    <x v="402"/>
    <x v="3"/>
    <x v="358"/>
    <x v="0"/>
    <s v="Tenant_2"/>
    <x v="354"/>
    <n v="115051.44"/>
    <n v="115051.44"/>
    <s v=""/>
    <d v="2023-07-07T00:00:00"/>
    <d v="2026-08-28T00:00:00"/>
    <n v="1292.1199999999999"/>
    <n v="1226.02"/>
    <s v="OK"/>
    <s v=""/>
    <s v=""/>
    <x v="354"/>
    <n v="2518.14"/>
    <x v="354"/>
    <n v="6"/>
    <s v="3-6 Monaten"/>
    <x v="0"/>
    <n v="1118"/>
  </r>
  <r>
    <x v="7"/>
    <x v="403"/>
    <x v="2"/>
    <x v="335"/>
    <x v="0"/>
    <s v="Tenant_130"/>
    <x v="355"/>
    <n v="223199.52"/>
    <n v="223199.52"/>
    <s v=""/>
    <d v="2021-04-07T00:00:00"/>
    <d v="2025-03-10T00:00:00"/>
    <n v="2771.6"/>
    <n v="673.87"/>
    <s v="OK"/>
    <s v=""/>
    <s v=""/>
    <x v="355"/>
    <n v="3445.47"/>
    <x v="355"/>
    <n v="0"/>
    <s v="0-3 Monaten"/>
    <x v="0"/>
    <n v="1117"/>
  </r>
  <r>
    <x v="4"/>
    <x v="404"/>
    <x v="1"/>
    <x v="359"/>
    <x v="0"/>
    <s v="Tenant_10"/>
    <x v="356"/>
    <n v="63946.2"/>
    <n v="63946.200000000004"/>
    <s v=""/>
    <d v="2021-12-03T00:00:00"/>
    <d v="2024-03-05T00:00:00"/>
    <n v="771.45"/>
    <n v="983.42"/>
    <s v="OK"/>
    <s v=""/>
    <s v=""/>
    <x v="356"/>
    <n v="1754.87"/>
    <x v="356"/>
    <n v="0"/>
    <s v="0-3 Monaten"/>
    <x v="0"/>
    <n v="474"/>
  </r>
  <r>
    <x v="2"/>
    <x v="405"/>
    <x v="2"/>
    <x v="228"/>
    <x v="0"/>
    <s v="Tenant_145"/>
    <x v="357"/>
    <n v="269326.92"/>
    <n v="269326.92"/>
    <s v=""/>
    <d v="2022-10-20T00:00:00"/>
    <d v="2026-05-23T00:00:00"/>
    <n v="1618.67"/>
    <n v="1179.8599999999999"/>
    <s v="OK"/>
    <s v=""/>
    <s v=""/>
    <x v="357"/>
    <n v="2798.5299999999997"/>
    <x v="357"/>
    <n v="3"/>
    <s v="0-3 Monaten"/>
    <x v="0"/>
    <n v="1448"/>
  </r>
  <r>
    <x v="1"/>
    <x v="406"/>
    <x v="0"/>
    <x v="360"/>
    <x v="0"/>
    <s v="Tenant_100"/>
    <x v="358"/>
    <n v="58384.08"/>
    <n v="58384.08"/>
    <s v=""/>
    <d v="2023-10-02T00:00:00"/>
    <d v="2026-01-25T00:00:00"/>
    <n v="530.16"/>
    <n v="662.08"/>
    <s v="OK"/>
    <s v=""/>
    <s v=""/>
    <x v="358"/>
    <n v="1192.24"/>
    <x v="358"/>
    <n v="0"/>
    <s v="0-3 Monaten"/>
    <x v="0"/>
    <n v="405"/>
  </r>
  <r>
    <x v="3"/>
    <x v="407"/>
    <x v="0"/>
    <x v="361"/>
    <x v="0"/>
    <s v="Tenant_7"/>
    <x v="359"/>
    <n v="107959.56"/>
    <n v="107959.56"/>
    <s v=""/>
    <d v="2022-08-22T00:00:00"/>
    <d v="2025-05-23T00:00:00"/>
    <n v="903.14"/>
    <n v="1453.27"/>
    <s v="OK"/>
    <s v=""/>
    <s v=""/>
    <x v="359"/>
    <n v="2356.41"/>
    <x v="359"/>
    <n v="0"/>
    <s v="0-3 Monaten"/>
    <x v="0"/>
    <n v="694"/>
  </r>
  <r>
    <x v="7"/>
    <x v="408"/>
    <x v="1"/>
    <x v="362"/>
    <x v="1"/>
    <m/>
    <x v="1"/>
    <n v="0"/>
    <n v="0"/>
    <s v=""/>
    <m/>
    <m/>
    <n v="2049.29"/>
    <n v="1699.71"/>
    <s v="OK"/>
    <s v=""/>
    <s v="Rent&lt;=0"/>
    <x v="1"/>
    <n v="3749"/>
    <x v="1"/>
    <n v="0"/>
    <s v=""/>
    <x v="49"/>
    <n v="0"/>
  </r>
  <r>
    <x v="5"/>
    <x v="409"/>
    <x v="0"/>
    <x v="363"/>
    <x v="0"/>
    <s v="Tenant_58"/>
    <x v="360"/>
    <n v="50711.4"/>
    <n v="50711.399999999994"/>
    <s v=""/>
    <d v="2022-12-16T00:00:00"/>
    <d v="2026-12-13T00:00:00"/>
    <n v="1122.8699999999999"/>
    <n v="1251.68"/>
    <s v="OK"/>
    <s v=""/>
    <s v=""/>
    <x v="360"/>
    <n v="2374.5500000000002"/>
    <x v="360"/>
    <n v="9"/>
    <s v="6-12 Monaten"/>
    <x v="0"/>
    <n v="537"/>
  </r>
  <r>
    <x v="0"/>
    <x v="410"/>
    <x v="3"/>
    <x v="364"/>
    <x v="0"/>
    <s v="Tenant_133"/>
    <x v="361"/>
    <n v="123692.64"/>
    <n v="123692.63999999998"/>
    <s v=""/>
    <d v="2021-06-27T00:00:00"/>
    <d v="2024-03-23T00:00:00"/>
    <n v="945.49"/>
    <n v="730.73"/>
    <s v="OK"/>
    <s v=""/>
    <s v=""/>
    <x v="361"/>
    <n v="1676.22"/>
    <x v="361"/>
    <n v="0"/>
    <s v="0-3 Monaten"/>
    <x v="0"/>
    <n v="786"/>
  </r>
  <r>
    <x v="7"/>
    <x v="411"/>
    <x v="0"/>
    <x v="365"/>
    <x v="0"/>
    <s v="Tenant_144"/>
    <x v="362"/>
    <n v="195806.4"/>
    <n v="195806.40000000002"/>
    <s v=""/>
    <d v="2022-07-02T00:00:00"/>
    <d v="2027-03-19T00:00:00"/>
    <n v="2347.85"/>
    <n v="769.89"/>
    <s v="OK"/>
    <s v=""/>
    <s v=""/>
    <x v="362"/>
    <n v="3117.74"/>
    <x v="362"/>
    <n v="12"/>
    <s v="6-12 Monaten"/>
    <x v="0"/>
    <n v="1005"/>
  </r>
  <r>
    <x v="1"/>
    <x v="412"/>
    <x v="0"/>
    <x v="366"/>
    <x v="0"/>
    <s v="Tenant_47"/>
    <x v="363"/>
    <n v="262694.28000000003"/>
    <n v="262694.27999999997"/>
    <s v=""/>
    <d v="2022-07-16T00:00:00"/>
    <d v="2026-08-01T00:00:00"/>
    <n v="1939.56"/>
    <n v="843.81"/>
    <s v="OK"/>
    <s v=""/>
    <s v=""/>
    <x v="363"/>
    <n v="2783.37"/>
    <x v="363"/>
    <n v="5"/>
    <s v="3-6 Monaten"/>
    <x v="0"/>
    <n v="1428"/>
  </r>
  <r>
    <x v="6"/>
    <x v="413"/>
    <x v="1"/>
    <x v="367"/>
    <x v="0"/>
    <s v="Tenant_200"/>
    <x v="364"/>
    <n v="97625.52"/>
    <n v="97625.52"/>
    <s v=""/>
    <d v="2022-01-24T00:00:00"/>
    <d v="2026-11-06T00:00:00"/>
    <n v="719.52"/>
    <n v="525.37"/>
    <s v="OK"/>
    <s v=""/>
    <s v=""/>
    <x v="364"/>
    <n v="1244.8899999999999"/>
    <x v="364"/>
    <n v="8"/>
    <s v="6-12 Monaten"/>
    <x v="0"/>
    <n v="575"/>
  </r>
  <r>
    <x v="4"/>
    <x v="414"/>
    <x v="3"/>
    <x v="368"/>
    <x v="0"/>
    <s v="Tenant_97"/>
    <x v="365"/>
    <n v="161886.48000000001"/>
    <n v="161886.48000000001"/>
    <s v=""/>
    <d v="2022-01-09T00:00:00"/>
    <d v="2024-08-29T00:00:00"/>
    <n v="1816.2"/>
    <n v="1664.72"/>
    <s v="OK"/>
    <s v=""/>
    <s v=""/>
    <x v="365"/>
    <n v="3480.92"/>
    <x v="365"/>
    <n v="0"/>
    <s v="0-3 Monaten"/>
    <x v="0"/>
    <n v="761"/>
  </r>
  <r>
    <x v="0"/>
    <x v="415"/>
    <x v="2"/>
    <x v="369"/>
    <x v="0"/>
    <s v="Tenant_133"/>
    <x v="366"/>
    <n v="149749.92000000001"/>
    <n v="149749.91999999998"/>
    <s v=""/>
    <d v="2022-10-12T00:00:00"/>
    <d v="2027-10-06T00:00:00"/>
    <n v="1522.32"/>
    <n v="2619.02"/>
    <s v="OK"/>
    <s v=""/>
    <s v=""/>
    <x v="366"/>
    <n v="4141.34"/>
    <x v="366"/>
    <n v="19"/>
    <s v="12 M+"/>
    <x v="0"/>
    <n v="1142"/>
  </r>
  <r>
    <x v="3"/>
    <x v="416"/>
    <x v="2"/>
    <x v="370"/>
    <x v="0"/>
    <s v="Tenant_187"/>
    <x v="367"/>
    <n v="44737.440000000002"/>
    <n v="44737.440000000002"/>
    <s v=""/>
    <d v="2021-07-23T00:00:00"/>
    <d v="2026-06-12T00:00:00"/>
    <n v="1136.1199999999999"/>
    <n v="636.99"/>
    <s v="OK"/>
    <s v=""/>
    <s v=""/>
    <x v="367"/>
    <n v="1773.11"/>
    <x v="367"/>
    <n v="3"/>
    <s v="0-3 Monaten"/>
    <x v="0"/>
    <n v="499"/>
  </r>
  <r>
    <x v="5"/>
    <x v="417"/>
    <x v="0"/>
    <x v="371"/>
    <x v="0"/>
    <s v="Tenant_69"/>
    <x v="368"/>
    <n v="80863.8"/>
    <n v="80863.799999999988"/>
    <s v=""/>
    <d v="2023-04-04T00:00:00"/>
    <d v="2027-07-03T00:00:00"/>
    <n v="2801.66"/>
    <n v="1999.52"/>
    <s v="OK"/>
    <s v=""/>
    <s v=""/>
    <x v="368"/>
    <n v="4801.18"/>
    <x v="368"/>
    <n v="16"/>
    <s v="12 M+"/>
    <x v="0"/>
    <n v="961"/>
  </r>
  <r>
    <x v="5"/>
    <x v="418"/>
    <x v="2"/>
    <x v="372"/>
    <x v="0"/>
    <s v="Tenant_1"/>
    <x v="369"/>
    <n v="95522.16"/>
    <n v="95522.16"/>
    <s v=""/>
    <d v="2021-07-26T00:00:00"/>
    <d v="2024-05-16T00:00:00"/>
    <n v="1445.77"/>
    <n v="1462.86"/>
    <s v="OK"/>
    <s v=""/>
    <s v=""/>
    <x v="369"/>
    <n v="2908.63"/>
    <x v="369"/>
    <n v="0"/>
    <s v="0-3 Monaten"/>
    <x v="0"/>
    <n v="1206"/>
  </r>
  <r>
    <x v="3"/>
    <x v="419"/>
    <x v="0"/>
    <x v="373"/>
    <x v="0"/>
    <s v="Tenant_185"/>
    <x v="370"/>
    <n v="11000.52"/>
    <n v="11000.52"/>
    <s v=""/>
    <d v="2022-01-04T00:00:00"/>
    <d v="2024-12-21T00:00:00"/>
    <n v="244.43"/>
    <n v="189.9"/>
    <s v="OK"/>
    <s v=""/>
    <s v=""/>
    <x v="370"/>
    <n v="434.33000000000004"/>
    <x v="370"/>
    <n v="0"/>
    <s v="0-3 Monaten"/>
    <x v="0"/>
    <n v="85"/>
  </r>
  <r>
    <x v="2"/>
    <x v="420"/>
    <x v="0"/>
    <x v="374"/>
    <x v="1"/>
    <m/>
    <x v="1"/>
    <n v="0"/>
    <n v="0"/>
    <s v=""/>
    <m/>
    <m/>
    <n v="45.25"/>
    <n v="27.92"/>
    <s v="OK"/>
    <s v=""/>
    <s v="Rent&lt;=0"/>
    <x v="1"/>
    <n v="73.17"/>
    <x v="1"/>
    <n v="0"/>
    <s v=""/>
    <x v="50"/>
    <n v="0"/>
  </r>
  <r>
    <x v="1"/>
    <x v="421"/>
    <x v="1"/>
    <x v="375"/>
    <x v="0"/>
    <s v="Tenant_23"/>
    <x v="371"/>
    <n v="145128.95999999999"/>
    <n v="145128.95999999999"/>
    <s v=""/>
    <d v="2021-09-28T00:00:00"/>
    <d v="2024-04-16T00:00:00"/>
    <n v="1410.31"/>
    <n v="475.11"/>
    <s v="OK"/>
    <s v=""/>
    <s v=""/>
    <x v="371"/>
    <n v="1885.42"/>
    <x v="371"/>
    <n v="0"/>
    <s v="0-3 Monaten"/>
    <x v="0"/>
    <n v="780"/>
  </r>
  <r>
    <x v="0"/>
    <x v="422"/>
    <x v="2"/>
    <x v="376"/>
    <x v="0"/>
    <s v="Tenant_125"/>
    <x v="372"/>
    <n v="201838.8"/>
    <n v="201838.80000000002"/>
    <s v=""/>
    <d v="2023-09-23T00:00:00"/>
    <d v="2026-07-26T00:00:00"/>
    <n v="2183.4299999999998"/>
    <n v="1227.79"/>
    <s v="OK"/>
    <s v=""/>
    <s v=""/>
    <x v="372"/>
    <n v="3411.22"/>
    <x v="372"/>
    <n v="5"/>
    <s v="3-6 Monaten"/>
    <x v="0"/>
    <n v="1374"/>
  </r>
  <r>
    <x v="0"/>
    <x v="423"/>
    <x v="2"/>
    <x v="99"/>
    <x v="0"/>
    <s v="Tenant_165"/>
    <x v="373"/>
    <n v="97519.679999999993"/>
    <n v="97519.680000000008"/>
    <s v=""/>
    <d v="2023-01-17T00:00:00"/>
    <d v="2027-02-27T00:00:00"/>
    <n v="1106.69"/>
    <n v="1077.31"/>
    <s v="OK"/>
    <s v=""/>
    <s v=""/>
    <x v="373"/>
    <n v="2184"/>
    <x v="373"/>
    <n v="12"/>
    <s v="6-12 Monaten"/>
    <x v="0"/>
    <n v="721"/>
  </r>
  <r>
    <x v="5"/>
    <x v="424"/>
    <x v="2"/>
    <x v="377"/>
    <x v="1"/>
    <m/>
    <x v="1"/>
    <n v="0"/>
    <n v="0"/>
    <s v=""/>
    <m/>
    <m/>
    <n v="1732.66"/>
    <n v="965.08"/>
    <s v="OK"/>
    <s v=""/>
    <s v="Rent&lt;=0"/>
    <x v="1"/>
    <n v="2697.7400000000002"/>
    <x v="1"/>
    <n v="0"/>
    <s v=""/>
    <x v="51"/>
    <n v="0"/>
  </r>
  <r>
    <x v="3"/>
    <x v="425"/>
    <x v="2"/>
    <x v="378"/>
    <x v="1"/>
    <m/>
    <x v="1"/>
    <n v="0"/>
    <n v="0"/>
    <s v=""/>
    <m/>
    <m/>
    <n v="565.33000000000004"/>
    <n v="603.05999999999995"/>
    <s v="OK"/>
    <s v=""/>
    <s v="Rent&lt;=0"/>
    <x v="1"/>
    <n v="1168.3899999999999"/>
    <x v="1"/>
    <n v="0"/>
    <s v=""/>
    <x v="52"/>
    <n v="0"/>
  </r>
  <r>
    <x v="4"/>
    <x v="426"/>
    <x v="0"/>
    <x v="379"/>
    <x v="0"/>
    <s v="Tenant_120"/>
    <x v="374"/>
    <n v="50761.08"/>
    <n v="50761.08"/>
    <s v=""/>
    <d v="2023-09-24T00:00:00"/>
    <d v="2025-06-14T00:00:00"/>
    <n v="1213.22"/>
    <n v="666.8"/>
    <s v="OK"/>
    <s v=""/>
    <s v=""/>
    <x v="374"/>
    <n v="1880.02"/>
    <x v="374"/>
    <n v="0"/>
    <s v="0-3 Monaten"/>
    <x v="0"/>
    <n v="511"/>
  </r>
  <r>
    <x v="5"/>
    <x v="427"/>
    <x v="2"/>
    <x v="380"/>
    <x v="0"/>
    <s v="Tenant_67"/>
    <x v="375"/>
    <n v="129799.32"/>
    <n v="129799.32"/>
    <s v=""/>
    <d v="2022-11-27T00:00:00"/>
    <d v="2027-11-07T00:00:00"/>
    <n v="1209.26"/>
    <n v="1342.05"/>
    <s v="OK"/>
    <s v=""/>
    <s v=""/>
    <x v="375"/>
    <n v="2551.31"/>
    <x v="375"/>
    <n v="20"/>
    <s v="12 M+"/>
    <x v="0"/>
    <n v="655"/>
  </r>
  <r>
    <x v="7"/>
    <x v="428"/>
    <x v="3"/>
    <x v="381"/>
    <x v="0"/>
    <s v="Tenant_125"/>
    <x v="376"/>
    <n v="99145.44"/>
    <n v="99145.44"/>
    <s v=""/>
    <d v="2021-07-25T00:00:00"/>
    <d v="2024-01-28T00:00:00"/>
    <n v="1813.76"/>
    <n v="866.01"/>
    <s v="OK"/>
    <s v=""/>
    <s v=""/>
    <x v="376"/>
    <n v="2679.77"/>
    <x v="376"/>
    <n v="0"/>
    <s v="0-3 Monaten"/>
    <x v="0"/>
    <n v="823"/>
  </r>
  <r>
    <x v="6"/>
    <x v="429"/>
    <x v="0"/>
    <x v="382"/>
    <x v="0"/>
    <s v="Tenant_111"/>
    <x v="377"/>
    <n v="109246.56"/>
    <n v="109246.56"/>
    <s v=""/>
    <d v="2022-08-20T00:00:00"/>
    <d v="2025-09-06T00:00:00"/>
    <n v="2419.86"/>
    <n v="2680.9"/>
    <s v="OK"/>
    <s v=""/>
    <s v=""/>
    <x v="377"/>
    <n v="5100.76"/>
    <x v="377"/>
    <n v="0"/>
    <s v="0-3 Monaten"/>
    <x v="0"/>
    <n v="1137"/>
  </r>
  <r>
    <x v="1"/>
    <x v="430"/>
    <x v="2"/>
    <x v="53"/>
    <x v="0"/>
    <s v="Tenant_179"/>
    <x v="378"/>
    <n v="42316.44"/>
    <n v="42316.44"/>
    <s v=""/>
    <d v="2022-02-14T00:00:00"/>
    <d v="2023-07-09T00:00:00"/>
    <n v="299.04000000000002"/>
    <n v="210.71"/>
    <s v="OK"/>
    <s v=""/>
    <s v=""/>
    <x v="378"/>
    <n v="509.75"/>
    <x v="378"/>
    <n v="0"/>
    <s v="0-3 Monaten"/>
    <x v="0"/>
    <n v="229"/>
  </r>
  <r>
    <x v="6"/>
    <x v="431"/>
    <x v="0"/>
    <x v="383"/>
    <x v="0"/>
    <s v="Tenant_26"/>
    <x v="379"/>
    <n v="63511.68"/>
    <n v="63511.680000000008"/>
    <s v=""/>
    <d v="2021-06-13T00:00:00"/>
    <d v="2024-04-06T00:00:00"/>
    <n v="1488.48"/>
    <n v="505.41"/>
    <s v="OK"/>
    <s v=""/>
    <s v=""/>
    <x v="379"/>
    <n v="1993.89"/>
    <x v="379"/>
    <n v="0"/>
    <s v="0-3 Monaten"/>
    <x v="0"/>
    <n v="510"/>
  </r>
  <r>
    <x v="2"/>
    <x v="432"/>
    <x v="3"/>
    <x v="384"/>
    <x v="0"/>
    <s v="Tenant_32"/>
    <x v="380"/>
    <n v="170725.44"/>
    <n v="170725.44"/>
    <s v=""/>
    <d v="2021-07-03T00:00:00"/>
    <d v="2025-02-15T00:00:00"/>
    <n v="2285.38"/>
    <n v="1202.79"/>
    <s v="OK"/>
    <s v=""/>
    <s v=""/>
    <x v="380"/>
    <n v="3488.17"/>
    <x v="380"/>
    <n v="0"/>
    <s v="0-3 Monaten"/>
    <x v="0"/>
    <n v="797"/>
  </r>
  <r>
    <x v="2"/>
    <x v="433"/>
    <x v="0"/>
    <x v="385"/>
    <x v="0"/>
    <s v="Tenant_18"/>
    <x v="381"/>
    <n v="81592.92"/>
    <n v="81592.92"/>
    <s v=""/>
    <d v="2021-05-22T00:00:00"/>
    <d v="2025-09-23T00:00:00"/>
    <n v="2033.5"/>
    <n v="1996.25"/>
    <s v="OK"/>
    <s v=""/>
    <s v=""/>
    <x v="381"/>
    <n v="4029.75"/>
    <x v="381"/>
    <n v="0"/>
    <s v="0-3 Monaten"/>
    <x v="0"/>
    <n v="960"/>
  </r>
  <r>
    <x v="2"/>
    <x v="434"/>
    <x v="0"/>
    <x v="256"/>
    <x v="1"/>
    <m/>
    <x v="1"/>
    <n v="0"/>
    <n v="0"/>
    <s v=""/>
    <m/>
    <m/>
    <n v="1094.49"/>
    <n v="494.1"/>
    <s v="OK"/>
    <s v=""/>
    <s v="Rent&lt;=0"/>
    <x v="1"/>
    <n v="1588.5900000000001"/>
    <x v="1"/>
    <n v="0"/>
    <s v=""/>
    <x v="53"/>
    <n v="0"/>
  </r>
  <r>
    <x v="2"/>
    <x v="435"/>
    <x v="2"/>
    <x v="386"/>
    <x v="1"/>
    <m/>
    <x v="1"/>
    <n v="0"/>
    <n v="0"/>
    <s v=""/>
    <m/>
    <m/>
    <n v="2116.4"/>
    <n v="2022.23"/>
    <s v="OK"/>
    <s v=""/>
    <s v="Rent&lt;=0"/>
    <x v="1"/>
    <n v="4138.63"/>
    <x v="1"/>
    <n v="0"/>
    <s v=""/>
    <x v="54"/>
    <n v="0"/>
  </r>
  <r>
    <x v="2"/>
    <x v="436"/>
    <x v="0"/>
    <x v="387"/>
    <x v="1"/>
    <m/>
    <x v="1"/>
    <n v="0"/>
    <n v="0"/>
    <s v=""/>
    <m/>
    <m/>
    <n v="1820.97"/>
    <n v="1542.3"/>
    <s v="OK"/>
    <s v=""/>
    <s v="Rent&lt;=0"/>
    <x v="1"/>
    <n v="3363.27"/>
    <x v="1"/>
    <n v="0"/>
    <s v=""/>
    <x v="55"/>
    <n v="0"/>
  </r>
  <r>
    <x v="3"/>
    <x v="437"/>
    <x v="0"/>
    <x v="99"/>
    <x v="0"/>
    <s v="Tenant_167"/>
    <x v="382"/>
    <n v="95696.4"/>
    <n v="95696.4"/>
    <s v=""/>
    <d v="2022-06-08T00:00:00"/>
    <d v="2025-05-30T00:00:00"/>
    <n v="1213.5899999999999"/>
    <n v="531.24"/>
    <s v="OK"/>
    <s v=""/>
    <s v=""/>
    <x v="382"/>
    <n v="1744.83"/>
    <x v="382"/>
    <n v="0"/>
    <s v="0-3 Monaten"/>
    <x v="0"/>
    <n v="721"/>
  </r>
  <r>
    <x v="6"/>
    <x v="438"/>
    <x v="3"/>
    <x v="388"/>
    <x v="0"/>
    <s v="Tenant_141"/>
    <x v="383"/>
    <n v="29304"/>
    <n v="29304"/>
    <s v=""/>
    <d v="2021-09-14T00:00:00"/>
    <d v="2022-07-04T00:00:00"/>
    <n v="676.61"/>
    <n v="162.53"/>
    <s v="OK"/>
    <s v=""/>
    <s v=""/>
    <x v="383"/>
    <n v="839.14"/>
    <x v="383"/>
    <n v="0"/>
    <s v="0-3 Monaten"/>
    <x v="0"/>
    <n v="253"/>
  </r>
  <r>
    <x v="7"/>
    <x v="439"/>
    <x v="2"/>
    <x v="40"/>
    <x v="0"/>
    <s v="Tenant_176"/>
    <x v="384"/>
    <n v="9581.52"/>
    <n v="9581.52"/>
    <s v=""/>
    <d v="2022-07-19T00:00:00"/>
    <d v="2025-06-03T00:00:00"/>
    <n v="79.010000000000005"/>
    <n v="95.71"/>
    <s v="OK"/>
    <s v=""/>
    <s v=""/>
    <x v="384"/>
    <n v="174.72"/>
    <x v="384"/>
    <n v="0"/>
    <s v="0-3 Monaten"/>
    <x v="0"/>
    <n v="75"/>
  </r>
  <r>
    <x v="7"/>
    <x v="440"/>
    <x v="0"/>
    <x v="389"/>
    <x v="0"/>
    <s v="Tenant_79"/>
    <x v="385"/>
    <n v="213879.84"/>
    <n v="213879.84"/>
    <s v=""/>
    <d v="2023-02-16T00:00:00"/>
    <d v="2025-04-16T00:00:00"/>
    <n v="1084.42"/>
    <n v="1108.29"/>
    <s v="OK"/>
    <s v=""/>
    <s v=""/>
    <x v="385"/>
    <n v="2192.71"/>
    <x v="385"/>
    <n v="0"/>
    <s v="0-3 Monaten"/>
    <x v="0"/>
    <n v="1037"/>
  </r>
  <r>
    <x v="7"/>
    <x v="441"/>
    <x v="2"/>
    <x v="390"/>
    <x v="0"/>
    <s v="Tenant_45"/>
    <x v="386"/>
    <n v="65442.720000000001"/>
    <n v="65442.720000000001"/>
    <s v=""/>
    <d v="2023-02-20T00:00:00"/>
    <d v="2027-11-04T00:00:00"/>
    <n v="2122.9499999999998"/>
    <n v="1792.54"/>
    <s v="OK"/>
    <s v=""/>
    <s v=""/>
    <x v="386"/>
    <n v="3915.49"/>
    <x v="386"/>
    <n v="20"/>
    <s v="12 M+"/>
    <x v="0"/>
    <n v="728"/>
  </r>
  <r>
    <x v="4"/>
    <x v="442"/>
    <x v="3"/>
    <x v="391"/>
    <x v="1"/>
    <m/>
    <x v="1"/>
    <n v="0"/>
    <n v="0"/>
    <s v=""/>
    <m/>
    <m/>
    <n v="668.25"/>
    <n v="500.43"/>
    <s v="OK"/>
    <s v=""/>
    <s v="Rent&lt;=0"/>
    <x v="1"/>
    <n v="1168.68"/>
    <x v="1"/>
    <n v="0"/>
    <s v=""/>
    <x v="56"/>
    <n v="0"/>
  </r>
  <r>
    <x v="0"/>
    <x v="443"/>
    <x v="2"/>
    <x v="392"/>
    <x v="0"/>
    <s v="Tenant_199"/>
    <x v="387"/>
    <n v="271586.28000000003"/>
    <n v="271586.27999999997"/>
    <s v=""/>
    <d v="2023-10-05T00:00:00"/>
    <d v="2027-06-16T00:00:00"/>
    <n v="3001.53"/>
    <n v="2305.9299999999998"/>
    <s v="OK"/>
    <s v=""/>
    <s v=""/>
    <x v="387"/>
    <n v="5307.46"/>
    <x v="387"/>
    <n v="15"/>
    <s v="12 M+"/>
    <x v="0"/>
    <n v="1475"/>
  </r>
  <r>
    <x v="4"/>
    <x v="444"/>
    <x v="0"/>
    <x v="393"/>
    <x v="0"/>
    <s v="Tenant_43"/>
    <x v="388"/>
    <n v="43570.32"/>
    <n v="43570.32"/>
    <s v=""/>
    <d v="2023-07-10T00:00:00"/>
    <d v="2025-12-02T00:00:00"/>
    <n v="574.75"/>
    <n v="309.58"/>
    <s v="OK"/>
    <s v=""/>
    <s v=""/>
    <x v="388"/>
    <n v="884.32999999999993"/>
    <x v="388"/>
    <n v="0"/>
    <s v="0-3 Monaten"/>
    <x v="0"/>
    <n v="355"/>
  </r>
  <r>
    <x v="6"/>
    <x v="445"/>
    <x v="0"/>
    <x v="394"/>
    <x v="0"/>
    <s v="Tenant_144"/>
    <x v="389"/>
    <n v="179510.04"/>
    <n v="179510.04"/>
    <s v=""/>
    <d v="2023-12-16T00:00:00"/>
    <d v="2027-09-15T00:00:00"/>
    <n v="2741.85"/>
    <n v="1601.84"/>
    <s v="OK"/>
    <s v=""/>
    <s v=""/>
    <x v="389"/>
    <n v="4343.6899999999996"/>
    <x v="389"/>
    <n v="18"/>
    <s v="12 M+"/>
    <x v="0"/>
    <n v="1053"/>
  </r>
  <r>
    <x v="2"/>
    <x v="446"/>
    <x v="3"/>
    <x v="312"/>
    <x v="0"/>
    <s v="Tenant_127"/>
    <x v="390"/>
    <n v="13270.08"/>
    <n v="13270.079999999998"/>
    <s v=""/>
    <d v="2021-04-22T00:00:00"/>
    <d v="2025-10-18T00:00:00"/>
    <n v="344.7"/>
    <n v="235.24"/>
    <s v="OK"/>
    <s v=""/>
    <s v=""/>
    <x v="390"/>
    <n v="579.94000000000005"/>
    <x v="390"/>
    <n v="0"/>
    <s v="0-3 Monaten"/>
    <x v="0"/>
    <n v="137"/>
  </r>
  <r>
    <x v="7"/>
    <x v="447"/>
    <x v="2"/>
    <x v="381"/>
    <x v="1"/>
    <m/>
    <x v="1"/>
    <n v="0"/>
    <n v="0"/>
    <s v=""/>
    <m/>
    <m/>
    <n v="1620.6"/>
    <n v="445.72"/>
    <s v="OK"/>
    <s v=""/>
    <s v="Rent&lt;=0"/>
    <x v="1"/>
    <n v="2066.3199999999997"/>
    <x v="1"/>
    <n v="0"/>
    <s v=""/>
    <x v="57"/>
    <n v="0"/>
  </r>
  <r>
    <x v="2"/>
    <x v="448"/>
    <x v="0"/>
    <x v="395"/>
    <x v="1"/>
    <m/>
    <x v="1"/>
    <n v="0"/>
    <n v="0"/>
    <s v=""/>
    <m/>
    <m/>
    <n v="911"/>
    <n v="1393.96"/>
    <s v="OK"/>
    <s v=""/>
    <s v="Rent&lt;=0"/>
    <x v="1"/>
    <n v="2304.96"/>
    <x v="1"/>
    <n v="0"/>
    <s v=""/>
    <x v="58"/>
    <n v="0"/>
  </r>
  <r>
    <x v="4"/>
    <x v="449"/>
    <x v="3"/>
    <x v="396"/>
    <x v="1"/>
    <m/>
    <x v="1"/>
    <n v="0"/>
    <n v="0"/>
    <s v=""/>
    <m/>
    <m/>
    <n v="1197.58"/>
    <n v="2187.56"/>
    <s v="OK"/>
    <s v=""/>
    <s v="Rent&lt;=0"/>
    <x v="1"/>
    <n v="3385.14"/>
    <x v="1"/>
    <n v="0"/>
    <s v=""/>
    <x v="59"/>
    <n v="0"/>
  </r>
  <r>
    <x v="1"/>
    <x v="450"/>
    <x v="2"/>
    <x v="397"/>
    <x v="0"/>
    <s v="Tenant_158"/>
    <x v="391"/>
    <n v="49135.8"/>
    <n v="49135.8"/>
    <s v=""/>
    <d v="2022-03-05T00:00:00"/>
    <d v="2022-10-29T00:00:00"/>
    <n v="721.65"/>
    <n v="314.47000000000003"/>
    <s v="OK"/>
    <s v=""/>
    <s v=""/>
    <x v="391"/>
    <n v="1036.1199999999999"/>
    <x v="391"/>
    <n v="0"/>
    <s v="0-3 Monaten"/>
    <x v="0"/>
    <n v="245"/>
  </r>
  <r>
    <x v="6"/>
    <x v="451"/>
    <x v="1"/>
    <x v="398"/>
    <x v="0"/>
    <s v="Tenant_77"/>
    <x v="392"/>
    <n v="68802"/>
    <n v="68802"/>
    <s v=""/>
    <d v="2022-02-04T00:00:00"/>
    <d v="2023-10-18T00:00:00"/>
    <n v="1282.1199999999999"/>
    <n v="1624.64"/>
    <s v="OK"/>
    <s v=""/>
    <s v=""/>
    <x v="392"/>
    <n v="2906.76"/>
    <x v="392"/>
    <n v="0"/>
    <s v="0-3 Monaten"/>
    <x v="0"/>
    <n v="661"/>
  </r>
  <r>
    <x v="7"/>
    <x v="452"/>
    <x v="2"/>
    <x v="399"/>
    <x v="1"/>
    <m/>
    <x v="1"/>
    <n v="0"/>
    <n v="0"/>
    <s v=""/>
    <m/>
    <m/>
    <n v="1391.72"/>
    <n v="1840.7"/>
    <s v="OK"/>
    <s v=""/>
    <s v="Rent&lt;=0"/>
    <x v="1"/>
    <n v="3232.42"/>
    <x v="1"/>
    <n v="0"/>
    <s v=""/>
    <x v="60"/>
    <n v="0"/>
  </r>
  <r>
    <x v="3"/>
    <x v="453"/>
    <x v="3"/>
    <x v="400"/>
    <x v="1"/>
    <m/>
    <x v="1"/>
    <n v="0"/>
    <n v="0"/>
    <s v=""/>
    <m/>
    <m/>
    <n v="299.39"/>
    <n v="327.54000000000002"/>
    <s v="OK"/>
    <s v=""/>
    <s v="Rent&lt;=0"/>
    <x v="1"/>
    <n v="626.93000000000006"/>
    <x v="1"/>
    <n v="0"/>
    <s v=""/>
    <x v="61"/>
    <n v="0"/>
  </r>
  <r>
    <x v="7"/>
    <x v="454"/>
    <x v="1"/>
    <x v="401"/>
    <x v="0"/>
    <s v="Tenant_22"/>
    <x v="393"/>
    <n v="182802"/>
    <n v="182802"/>
    <s v=""/>
    <d v="2022-10-13T00:00:00"/>
    <d v="2025-10-31T00:00:00"/>
    <n v="2363.21"/>
    <n v="3643.21"/>
    <s v="OK"/>
    <s v=""/>
    <s v=""/>
    <x v="393"/>
    <n v="6006.42"/>
    <x v="393"/>
    <n v="0"/>
    <s v="0-3 Monaten"/>
    <x v="0"/>
    <n v="1488"/>
  </r>
  <r>
    <x v="7"/>
    <x v="455"/>
    <x v="0"/>
    <x v="402"/>
    <x v="1"/>
    <m/>
    <x v="1"/>
    <n v="0"/>
    <n v="0"/>
    <s v=""/>
    <m/>
    <m/>
    <n v="445.01"/>
    <n v="627.15"/>
    <s v="OK"/>
    <s v=""/>
    <s v="Rent&lt;=0"/>
    <x v="1"/>
    <n v="1072.1599999999999"/>
    <x v="1"/>
    <n v="0"/>
    <s v=""/>
    <x v="62"/>
    <n v="0"/>
  </r>
  <r>
    <x v="3"/>
    <x v="456"/>
    <x v="3"/>
    <x v="394"/>
    <x v="0"/>
    <s v="Tenant_28"/>
    <x v="394"/>
    <n v="180420.36"/>
    <n v="180420.36000000002"/>
    <s v=""/>
    <d v="2022-09-13T00:00:00"/>
    <d v="2026-02-27T00:00:00"/>
    <n v="2785.38"/>
    <n v="540.88"/>
    <s v="OK"/>
    <s v=""/>
    <s v=""/>
    <x v="394"/>
    <n v="3326.26"/>
    <x v="394"/>
    <n v="0"/>
    <s v="0-3 Monaten"/>
    <x v="0"/>
    <n v="1053"/>
  </r>
  <r>
    <x v="5"/>
    <x v="457"/>
    <x v="3"/>
    <x v="403"/>
    <x v="0"/>
    <s v="Tenant_121"/>
    <x v="395"/>
    <n v="179070.72"/>
    <n v="179070.72"/>
    <s v=""/>
    <d v="2023-08-17T00:00:00"/>
    <d v="2027-04-14T00:00:00"/>
    <n v="2506.4"/>
    <n v="1418.52"/>
    <s v="OK"/>
    <s v=""/>
    <s v=""/>
    <x v="395"/>
    <n v="3924.92"/>
    <x v="395"/>
    <n v="13"/>
    <s v="12 M+"/>
    <x v="0"/>
    <n v="1416"/>
  </r>
  <r>
    <x v="4"/>
    <x v="458"/>
    <x v="0"/>
    <x v="404"/>
    <x v="1"/>
    <m/>
    <x v="1"/>
    <n v="0"/>
    <n v="0"/>
    <s v=""/>
    <m/>
    <m/>
    <n v="851.61"/>
    <n v="447.14"/>
    <s v="OK"/>
    <s v=""/>
    <s v="Rent&lt;=0"/>
    <x v="1"/>
    <n v="1298.75"/>
    <x v="1"/>
    <n v="0"/>
    <s v=""/>
    <x v="63"/>
    <n v="0"/>
  </r>
  <r>
    <x v="7"/>
    <x v="459"/>
    <x v="0"/>
    <x v="405"/>
    <x v="1"/>
    <m/>
    <x v="1"/>
    <n v="0"/>
    <n v="0"/>
    <s v=""/>
    <m/>
    <m/>
    <n v="1456.09"/>
    <n v="2333.91"/>
    <s v="OK"/>
    <s v=""/>
    <s v="Rent&lt;=0"/>
    <x v="1"/>
    <n v="3790"/>
    <x v="1"/>
    <n v="0"/>
    <s v=""/>
    <x v="64"/>
    <n v="0"/>
  </r>
  <r>
    <x v="7"/>
    <x v="460"/>
    <x v="0"/>
    <x v="406"/>
    <x v="0"/>
    <s v="Tenant_91"/>
    <x v="396"/>
    <n v="67071.72"/>
    <n v="67071.72"/>
    <s v=""/>
    <d v="2022-06-26T00:00:00"/>
    <d v="2027-06-14T00:00:00"/>
    <n v="793.42"/>
    <n v="626.48"/>
    <s v="OK"/>
    <s v=""/>
    <s v=""/>
    <x v="396"/>
    <n v="1419.9"/>
    <x v="396"/>
    <n v="15"/>
    <s v="12 M+"/>
    <x v="0"/>
    <n v="460"/>
  </r>
  <r>
    <x v="3"/>
    <x v="461"/>
    <x v="3"/>
    <x v="407"/>
    <x v="0"/>
    <s v="Tenant_28"/>
    <x v="397"/>
    <n v="141287.64000000001"/>
    <n v="141287.63999999998"/>
    <s v=""/>
    <d v="2021-11-30T00:00:00"/>
    <d v="2026-01-06T00:00:00"/>
    <n v="3380.37"/>
    <n v="788.56"/>
    <s v="OK"/>
    <s v=""/>
    <s v=""/>
    <x v="397"/>
    <n v="4168.93"/>
    <x v="397"/>
    <n v="0"/>
    <s v="0-3 Monaten"/>
    <x v="0"/>
    <n v="1179"/>
  </r>
  <r>
    <x v="6"/>
    <x v="462"/>
    <x v="3"/>
    <x v="408"/>
    <x v="0"/>
    <s v="Tenant_42"/>
    <x v="398"/>
    <n v="3526.08"/>
    <n v="3526.08"/>
    <s v=""/>
    <d v="2021-07-19T00:00:00"/>
    <d v="2022-11-24T00:00:00"/>
    <n v="61.13"/>
    <n v="46.13"/>
    <s v="OK"/>
    <s v=""/>
    <s v=""/>
    <x v="398"/>
    <n v="107.26"/>
    <x v="398"/>
    <n v="0"/>
    <s v="0-3 Monaten"/>
    <x v="0"/>
    <n v="46"/>
  </r>
  <r>
    <x v="0"/>
    <x v="463"/>
    <x v="3"/>
    <x v="409"/>
    <x v="0"/>
    <s v="Tenant_188"/>
    <x v="399"/>
    <n v="110749.32"/>
    <n v="110749.32"/>
    <s v=""/>
    <d v="2023-02-20T00:00:00"/>
    <d v="2028-02-12T00:00:00"/>
    <n v="1698.09"/>
    <n v="505.19"/>
    <s v="OK"/>
    <s v=""/>
    <s v=""/>
    <x v="399"/>
    <n v="2203.2799999999997"/>
    <x v="399"/>
    <n v="23"/>
    <s v="12 M+"/>
    <x v="0"/>
    <n v="705"/>
  </r>
  <r>
    <x v="0"/>
    <x v="464"/>
    <x v="2"/>
    <x v="410"/>
    <x v="0"/>
    <s v="Tenant_175"/>
    <x v="400"/>
    <n v="136126.44"/>
    <n v="136126.44"/>
    <s v=""/>
    <d v="2023-02-02T00:00:00"/>
    <d v="2027-06-02T00:00:00"/>
    <n v="3297.84"/>
    <n v="2564.13"/>
    <s v="OK"/>
    <s v=""/>
    <s v=""/>
    <x v="400"/>
    <n v="5861.97"/>
    <x v="400"/>
    <n v="15"/>
    <s v="12 M+"/>
    <x v="0"/>
    <n v="1239"/>
  </r>
  <r>
    <x v="1"/>
    <x v="465"/>
    <x v="2"/>
    <x v="411"/>
    <x v="0"/>
    <s v="Tenant_100"/>
    <x v="401"/>
    <n v="63740.52"/>
    <n v="63740.520000000004"/>
    <s v=""/>
    <d v="2023-01-22T00:00:00"/>
    <d v="2026-10-11T00:00:00"/>
    <n v="698.24"/>
    <n v="413.22"/>
    <s v="OK"/>
    <s v=""/>
    <s v=""/>
    <x v="401"/>
    <n v="1111.46"/>
    <x v="401"/>
    <n v="7"/>
    <s v="6-12 Monaten"/>
    <x v="0"/>
    <n v="330"/>
  </r>
  <r>
    <x v="0"/>
    <x v="466"/>
    <x v="0"/>
    <x v="412"/>
    <x v="0"/>
    <s v="Tenant_37"/>
    <x v="402"/>
    <n v="142382.16"/>
    <n v="142382.16"/>
    <s v=""/>
    <d v="2023-02-16T00:00:00"/>
    <d v="2027-01-20T00:00:00"/>
    <n v="1047.76"/>
    <n v="1883.2"/>
    <s v="OK"/>
    <s v=""/>
    <s v=""/>
    <x v="402"/>
    <n v="2930.96"/>
    <x v="402"/>
    <n v="11"/>
    <s v="6-12 Monaten"/>
    <x v="0"/>
    <n v="931"/>
  </r>
  <r>
    <x v="2"/>
    <x v="467"/>
    <x v="1"/>
    <x v="413"/>
    <x v="0"/>
    <s v="Tenant_154"/>
    <x v="403"/>
    <n v="132610.32"/>
    <n v="132610.32"/>
    <s v=""/>
    <d v="2023-12-22T00:00:00"/>
    <d v="2024-10-29T00:00:00"/>
    <n v="1289.67"/>
    <n v="1832.28"/>
    <s v="OK"/>
    <s v=""/>
    <s v=""/>
    <x v="403"/>
    <n v="3121.95"/>
    <x v="403"/>
    <n v="0"/>
    <s v="0-3 Monaten"/>
    <x v="0"/>
    <n v="905"/>
  </r>
  <r>
    <x v="7"/>
    <x v="468"/>
    <x v="1"/>
    <x v="414"/>
    <x v="0"/>
    <s v="Tenant_142"/>
    <x v="404"/>
    <n v="72462.960000000006"/>
    <n v="72462.959999999992"/>
    <s v=""/>
    <d v="2022-03-24T00:00:00"/>
    <d v="2025-06-01T00:00:00"/>
    <n v="2175.7600000000002"/>
    <n v="1644.01"/>
    <s v="OK"/>
    <s v=""/>
    <s v=""/>
    <x v="404"/>
    <n v="3819.7700000000004"/>
    <x v="404"/>
    <n v="0"/>
    <s v="0-3 Monaten"/>
    <x v="0"/>
    <n v="773"/>
  </r>
  <r>
    <x v="1"/>
    <x v="469"/>
    <x v="2"/>
    <x v="415"/>
    <x v="0"/>
    <s v="Tenant_173"/>
    <x v="405"/>
    <n v="97704.24"/>
    <n v="97704.24"/>
    <s v=""/>
    <d v="2023-02-13T00:00:00"/>
    <d v="2024-10-03T00:00:00"/>
    <n v="2818.74"/>
    <n v="1971.93"/>
    <s v="OK"/>
    <s v=""/>
    <s v=""/>
    <x v="405"/>
    <n v="4790.67"/>
    <x v="405"/>
    <n v="0"/>
    <s v="0-3 Monaten"/>
    <x v="0"/>
    <n v="949"/>
  </r>
  <r>
    <x v="4"/>
    <x v="470"/>
    <x v="2"/>
    <x v="416"/>
    <x v="0"/>
    <s v="Tenant_135"/>
    <x v="406"/>
    <n v="24373.439999999999"/>
    <n v="24373.439999999999"/>
    <s v=""/>
    <d v="2023-04-17T00:00:00"/>
    <d v="2027-12-05T00:00:00"/>
    <n v="375.02"/>
    <n v="146.05000000000001"/>
    <s v="OK"/>
    <s v=""/>
    <s v=""/>
    <x v="406"/>
    <n v="521.06999999999994"/>
    <x v="406"/>
    <n v="21"/>
    <s v="12 M+"/>
    <x v="0"/>
    <n v="172"/>
  </r>
  <r>
    <x v="1"/>
    <x v="471"/>
    <x v="0"/>
    <x v="417"/>
    <x v="0"/>
    <s v="Tenant_123"/>
    <x v="407"/>
    <n v="49059.6"/>
    <n v="49059.600000000006"/>
    <s v=""/>
    <d v="2023-11-04T00:00:00"/>
    <d v="2027-07-18T00:00:00"/>
    <n v="642.5"/>
    <n v="149.47"/>
    <s v="OK"/>
    <s v=""/>
    <s v=""/>
    <x v="407"/>
    <n v="791.97"/>
    <x v="407"/>
    <n v="16"/>
    <s v="12 M+"/>
    <x v="0"/>
    <n v="297"/>
  </r>
  <r>
    <x v="5"/>
    <x v="472"/>
    <x v="0"/>
    <x v="91"/>
    <x v="0"/>
    <s v="Tenant_45"/>
    <x v="408"/>
    <n v="43584.84"/>
    <n v="43584.840000000004"/>
    <s v=""/>
    <d v="2021-06-14T00:00:00"/>
    <d v="2023-06-25T00:00:00"/>
    <n v="1488.95"/>
    <n v="1011.57"/>
    <s v="OK"/>
    <s v=""/>
    <s v=""/>
    <x v="408"/>
    <n v="2500.52"/>
    <x v="408"/>
    <n v="0"/>
    <s v="0-3 Monaten"/>
    <x v="0"/>
    <n v="497"/>
  </r>
  <r>
    <x v="6"/>
    <x v="473"/>
    <x v="2"/>
    <x v="22"/>
    <x v="1"/>
    <m/>
    <x v="1"/>
    <n v="0"/>
    <n v="0"/>
    <s v=""/>
    <m/>
    <m/>
    <n v="2724.85"/>
    <n v="992.82"/>
    <s v="OK"/>
    <s v=""/>
    <s v="Rent&lt;=0"/>
    <x v="1"/>
    <n v="3717.67"/>
    <x v="1"/>
    <n v="0"/>
    <s v=""/>
    <x v="65"/>
    <n v="0"/>
  </r>
  <r>
    <x v="5"/>
    <x v="474"/>
    <x v="2"/>
    <x v="94"/>
    <x v="0"/>
    <s v="Tenant_53"/>
    <x v="409"/>
    <n v="240040.68"/>
    <n v="240040.68"/>
    <s v=""/>
    <d v="2022-06-11T00:00:00"/>
    <d v="2025-10-11T00:00:00"/>
    <n v="2783.92"/>
    <n v="1713.63"/>
    <s v="OK"/>
    <s v=""/>
    <s v=""/>
    <x v="409"/>
    <n v="4497.55"/>
    <x v="409"/>
    <n v="0"/>
    <s v="0-3 Monaten"/>
    <x v="0"/>
    <n v="1344"/>
  </r>
  <r>
    <x v="6"/>
    <x v="475"/>
    <x v="1"/>
    <x v="387"/>
    <x v="0"/>
    <s v="Tenant_90"/>
    <x v="410"/>
    <n v="140018.04"/>
    <n v="140018.04"/>
    <s v=""/>
    <d v="2021-10-20T00:00:00"/>
    <d v="2023-07-22T00:00:00"/>
    <n v="2099.33"/>
    <n v="1298.1099999999999"/>
    <s v="OK"/>
    <s v=""/>
    <s v=""/>
    <x v="410"/>
    <n v="3397.4399999999996"/>
    <x v="410"/>
    <n v="0"/>
    <s v="0-3 Monaten"/>
    <x v="0"/>
    <n v="1069"/>
  </r>
  <r>
    <x v="0"/>
    <x v="476"/>
    <x v="2"/>
    <x v="269"/>
    <x v="0"/>
    <s v="Tenant_161"/>
    <x v="411"/>
    <n v="12693"/>
    <n v="12693"/>
    <s v=""/>
    <d v="2021-08-05T00:00:00"/>
    <d v="2022-02-12T00:00:00"/>
    <n v="85.4"/>
    <n v="108.58"/>
    <s v="OK"/>
    <s v=""/>
    <s v=""/>
    <x v="411"/>
    <n v="193.98000000000002"/>
    <x v="411"/>
    <n v="0"/>
    <s v="0-3 Monaten"/>
    <x v="0"/>
    <n v="72"/>
  </r>
  <r>
    <x v="7"/>
    <x v="477"/>
    <x v="2"/>
    <x v="418"/>
    <x v="0"/>
    <s v="Tenant_130"/>
    <x v="412"/>
    <n v="15958.8"/>
    <n v="15958.800000000001"/>
    <s v=""/>
    <d v="2023-08-24T00:00:00"/>
    <d v="2026-11-12T00:00:00"/>
    <n v="238.18"/>
    <n v="348.31"/>
    <s v="OK"/>
    <s v=""/>
    <s v=""/>
    <x v="412"/>
    <n v="586.49"/>
    <x v="412"/>
    <n v="8"/>
    <s v="6-12 Monaten"/>
    <x v="0"/>
    <n v="165"/>
  </r>
  <r>
    <x v="2"/>
    <x v="478"/>
    <x v="1"/>
    <x v="95"/>
    <x v="0"/>
    <s v="Tenant_200"/>
    <x v="413"/>
    <n v="17061.599999999999"/>
    <n v="17061.599999999999"/>
    <s v=""/>
    <d v="2021-12-09T00:00:00"/>
    <d v="2023-07-20T00:00:00"/>
    <n v="207.49"/>
    <n v="95.39"/>
    <s v="OK"/>
    <s v=""/>
    <s v=""/>
    <x v="413"/>
    <n v="302.88"/>
    <x v="413"/>
    <n v="0"/>
    <s v="0-3 Monaten"/>
    <x v="0"/>
    <n v="116"/>
  </r>
  <r>
    <x v="5"/>
    <x v="479"/>
    <x v="1"/>
    <x v="419"/>
    <x v="0"/>
    <s v="Tenant_63"/>
    <x v="414"/>
    <n v="194770.44"/>
    <n v="194770.44"/>
    <s v=""/>
    <d v="2021-06-06T00:00:00"/>
    <d v="2024-01-27T00:00:00"/>
    <n v="2592.08"/>
    <n v="2423.77"/>
    <s v="OK"/>
    <s v=""/>
    <s v=""/>
    <x v="414"/>
    <n v="5015.8500000000004"/>
    <x v="414"/>
    <n v="0"/>
    <s v="0-3 Monaten"/>
    <x v="0"/>
    <n v="1190"/>
  </r>
  <r>
    <x v="7"/>
    <x v="480"/>
    <x v="2"/>
    <x v="420"/>
    <x v="0"/>
    <s v="Tenant_150"/>
    <x v="415"/>
    <n v="205471.8"/>
    <n v="205471.80000000002"/>
    <s v=""/>
    <d v="2023-01-06T00:00:00"/>
    <d v="2025-04-20T00:00:00"/>
    <n v="2813.83"/>
    <n v="713.47"/>
    <s v="OK"/>
    <s v=""/>
    <s v=""/>
    <x v="415"/>
    <n v="3527.3"/>
    <x v="415"/>
    <n v="0"/>
    <s v="0-3 Monaten"/>
    <x v="0"/>
    <n v="1380"/>
  </r>
  <r>
    <x v="0"/>
    <x v="481"/>
    <x v="3"/>
    <x v="421"/>
    <x v="0"/>
    <s v="Tenant_33"/>
    <x v="416"/>
    <n v="309807"/>
    <n v="309807"/>
    <s v=""/>
    <d v="2021-09-12T00:00:00"/>
    <d v="2022-10-20T00:00:00"/>
    <n v="4096.12"/>
    <n v="1894.96"/>
    <s v="OK"/>
    <s v=""/>
    <s v=""/>
    <x v="416"/>
    <n v="5991.08"/>
    <x v="416"/>
    <n v="0"/>
    <s v="0-3 Monaten"/>
    <x v="0"/>
    <n v="1456"/>
  </r>
  <r>
    <x v="7"/>
    <x v="482"/>
    <x v="1"/>
    <x v="422"/>
    <x v="0"/>
    <s v="Tenant_80"/>
    <x v="417"/>
    <n v="188333.4"/>
    <n v="188333.40000000002"/>
    <s v=""/>
    <d v="2021-06-16T00:00:00"/>
    <d v="2023-01-15T00:00:00"/>
    <n v="2649.87"/>
    <n v="1537.39"/>
    <s v="OK"/>
    <s v=""/>
    <s v=""/>
    <x v="417"/>
    <n v="4187.26"/>
    <x v="417"/>
    <n v="0"/>
    <s v="0-3 Monaten"/>
    <x v="0"/>
    <n v="1260"/>
  </r>
  <r>
    <x v="2"/>
    <x v="483"/>
    <x v="3"/>
    <x v="423"/>
    <x v="0"/>
    <s v="Tenant_106"/>
    <x v="418"/>
    <n v="56184.72"/>
    <n v="56184.72"/>
    <s v=""/>
    <d v="2021-06-19T00:00:00"/>
    <d v="2025-03-20T00:00:00"/>
    <n v="1873.81"/>
    <n v="1000.38"/>
    <s v="OK"/>
    <s v=""/>
    <s v=""/>
    <x v="418"/>
    <n v="2874.19"/>
    <x v="418"/>
    <n v="0"/>
    <s v="0-3 Monaten"/>
    <x v="0"/>
    <n v="740"/>
  </r>
  <r>
    <x v="3"/>
    <x v="484"/>
    <x v="1"/>
    <x v="424"/>
    <x v="1"/>
    <m/>
    <x v="1"/>
    <n v="0"/>
    <n v="0"/>
    <s v=""/>
    <m/>
    <m/>
    <n v="1405.93"/>
    <n v="2240.6799999999998"/>
    <s v="OK"/>
    <s v=""/>
    <s v="Rent&lt;=0"/>
    <x v="1"/>
    <n v="3646.6099999999997"/>
    <x v="1"/>
    <n v="0"/>
    <s v=""/>
    <x v="66"/>
    <n v="0"/>
  </r>
  <r>
    <x v="7"/>
    <x v="485"/>
    <x v="2"/>
    <x v="178"/>
    <x v="0"/>
    <s v="Tenant_153"/>
    <x v="419"/>
    <n v="76973.759999999995"/>
    <n v="76973.759999999995"/>
    <s v=""/>
    <d v="2023-02-17T00:00:00"/>
    <d v="2027-06-04T00:00:00"/>
    <n v="1727.18"/>
    <n v="710.37"/>
    <s v="OK"/>
    <s v=""/>
    <s v=""/>
    <x v="419"/>
    <n v="2437.5500000000002"/>
    <x v="419"/>
    <n v="15"/>
    <s v="12 M+"/>
    <x v="0"/>
    <n v="856"/>
  </r>
  <r>
    <x v="7"/>
    <x v="486"/>
    <x v="0"/>
    <x v="425"/>
    <x v="0"/>
    <s v="Tenant_78"/>
    <x v="420"/>
    <n v="180817.92000000001"/>
    <n v="180817.91999999998"/>
    <s v=""/>
    <d v="2022-08-28T00:00:00"/>
    <d v="2025-08-26T00:00:00"/>
    <n v="1323.13"/>
    <n v="1577.12"/>
    <s v="OK"/>
    <s v=""/>
    <s v=""/>
    <x v="420"/>
    <n v="2900.25"/>
    <x v="420"/>
    <n v="0"/>
    <s v="0-3 Monaten"/>
    <x v="0"/>
    <n v="984"/>
  </r>
  <r>
    <x v="4"/>
    <x v="487"/>
    <x v="1"/>
    <x v="426"/>
    <x v="0"/>
    <s v="Tenant_102"/>
    <x v="421"/>
    <n v="30915.599999999999"/>
    <n v="30915.600000000002"/>
    <s v=""/>
    <d v="2023-11-26T00:00:00"/>
    <d v="2025-06-08T00:00:00"/>
    <n v="274.18"/>
    <n v="326.92"/>
    <s v="OK"/>
    <s v=""/>
    <s v=""/>
    <x v="421"/>
    <n v="601.1"/>
    <x v="421"/>
    <n v="0"/>
    <s v="0-3 Monaten"/>
    <x v="0"/>
    <n v="243"/>
  </r>
  <r>
    <x v="4"/>
    <x v="488"/>
    <x v="3"/>
    <x v="427"/>
    <x v="0"/>
    <s v="Tenant_182"/>
    <x v="422"/>
    <n v="102510.48"/>
    <n v="102510.48000000001"/>
    <s v=""/>
    <d v="2022-04-28T00:00:00"/>
    <d v="2023-06-08T00:00:00"/>
    <n v="2563.39"/>
    <n v="2795.11"/>
    <s v="OK"/>
    <s v=""/>
    <s v=""/>
    <x v="422"/>
    <n v="5358.5"/>
    <x v="422"/>
    <n v="0"/>
    <s v="0-3 Monaten"/>
    <x v="0"/>
    <n v="1367"/>
  </r>
  <r>
    <x v="4"/>
    <x v="489"/>
    <x v="1"/>
    <x v="43"/>
    <x v="0"/>
    <s v="Tenant_131"/>
    <x v="423"/>
    <n v="122209.68"/>
    <n v="122209.68"/>
    <s v=""/>
    <d v="2022-01-27T00:00:00"/>
    <d v="2025-04-04T00:00:00"/>
    <n v="2297.1999999999998"/>
    <n v="2412.1999999999998"/>
    <s v="OK"/>
    <s v=""/>
    <s v=""/>
    <x v="423"/>
    <n v="4709.3999999999996"/>
    <x v="423"/>
    <n v="0"/>
    <s v="0-3 Monaten"/>
    <x v="0"/>
    <n v="1198"/>
  </r>
  <r>
    <x v="1"/>
    <x v="490"/>
    <x v="3"/>
    <x v="107"/>
    <x v="0"/>
    <s v="Tenant_177"/>
    <x v="424"/>
    <n v="150315"/>
    <n v="150315"/>
    <s v=""/>
    <d v="2022-06-22T00:00:00"/>
    <d v="2026-12-13T00:00:00"/>
    <n v="4142.09"/>
    <n v="3389.91"/>
    <s v="OK"/>
    <s v=""/>
    <s v=""/>
    <x v="424"/>
    <n v="7532"/>
    <x v="424"/>
    <n v="9"/>
    <s v="6-12 Monaten"/>
    <x v="0"/>
    <n v="1465"/>
  </r>
  <r>
    <x v="7"/>
    <x v="491"/>
    <x v="3"/>
    <x v="428"/>
    <x v="0"/>
    <s v="Tenant_36"/>
    <x v="425"/>
    <n v="188633.64"/>
    <n v="188633.63999999998"/>
    <s v=""/>
    <d v="2023-06-08T00:00:00"/>
    <d v="2025-09-04T00:00:00"/>
    <n v="1643.39"/>
    <n v="2491.0300000000002"/>
    <s v="OK"/>
    <s v=""/>
    <s v=""/>
    <x v="425"/>
    <n v="4134.42"/>
    <x v="425"/>
    <n v="0"/>
    <s v="0-3 Monaten"/>
    <x v="0"/>
    <n v="1016"/>
  </r>
  <r>
    <x v="6"/>
    <x v="492"/>
    <x v="1"/>
    <x v="429"/>
    <x v="0"/>
    <s v="Tenant_148"/>
    <x v="426"/>
    <n v="11004"/>
    <n v="11004"/>
    <s v=""/>
    <d v="2021-09-02T00:00:00"/>
    <d v="2025-07-08T00:00:00"/>
    <n v="222.81"/>
    <n v="228.14"/>
    <s v="OK"/>
    <s v=""/>
    <s v=""/>
    <x v="426"/>
    <n v="450.95"/>
    <x v="426"/>
    <n v="0"/>
    <s v="0-3 Monaten"/>
    <x v="0"/>
    <n v="95"/>
  </r>
  <r>
    <x v="6"/>
    <x v="493"/>
    <x v="1"/>
    <x v="430"/>
    <x v="1"/>
    <m/>
    <x v="1"/>
    <n v="0"/>
    <n v="0"/>
    <s v=""/>
    <m/>
    <m/>
    <n v="806.06"/>
    <n v="1196.3800000000001"/>
    <s v="OK"/>
    <s v=""/>
    <s v="Rent&lt;=0"/>
    <x v="1"/>
    <n v="2002.44"/>
    <x v="1"/>
    <n v="0"/>
    <s v=""/>
    <x v="67"/>
    <n v="0"/>
  </r>
  <r>
    <x v="1"/>
    <x v="494"/>
    <x v="3"/>
    <x v="348"/>
    <x v="1"/>
    <m/>
    <x v="1"/>
    <n v="0"/>
    <n v="0"/>
    <s v=""/>
    <m/>
    <m/>
    <n v="291.82"/>
    <n v="526.54999999999995"/>
    <s v="OK"/>
    <s v=""/>
    <s v="Rent&lt;=0"/>
    <x v="1"/>
    <n v="818.36999999999989"/>
    <x v="1"/>
    <n v="0"/>
    <s v=""/>
    <x v="68"/>
    <n v="0"/>
  </r>
  <r>
    <x v="3"/>
    <x v="495"/>
    <x v="3"/>
    <x v="431"/>
    <x v="0"/>
    <s v="Tenant_186"/>
    <x v="427"/>
    <n v="67277.759999999995"/>
    <n v="67277.759999999995"/>
    <s v=""/>
    <d v="2022-09-14T00:00:00"/>
    <d v="2023-06-11T00:00:00"/>
    <n v="1086.8399999999999"/>
    <n v="1045.93"/>
    <s v="OK"/>
    <s v=""/>
    <s v=""/>
    <x v="427"/>
    <n v="2132.77"/>
    <x v="427"/>
    <n v="0"/>
    <s v="0-3 Monaten"/>
    <x v="0"/>
    <n v="447"/>
  </r>
  <r>
    <x v="2"/>
    <x v="496"/>
    <x v="1"/>
    <x v="23"/>
    <x v="0"/>
    <s v="Tenant_127"/>
    <x v="428"/>
    <n v="63411.839999999997"/>
    <n v="63411.839999999997"/>
    <s v=""/>
    <d v="2022-12-01T00:00:00"/>
    <d v="2024-06-10T00:00:00"/>
    <n v="643.79999999999995"/>
    <n v="754.27"/>
    <s v="OK"/>
    <s v=""/>
    <s v=""/>
    <x v="428"/>
    <n v="1398.07"/>
    <x v="428"/>
    <n v="0"/>
    <s v="0-3 Monaten"/>
    <x v="0"/>
    <n v="484"/>
  </r>
  <r>
    <x v="6"/>
    <x v="497"/>
    <x v="0"/>
    <x v="379"/>
    <x v="0"/>
    <s v="Tenant_32"/>
    <x v="429"/>
    <n v="47068.56"/>
    <n v="47068.56"/>
    <s v=""/>
    <d v="2021-04-27T00:00:00"/>
    <d v="2023-06-20T00:00:00"/>
    <n v="795.04"/>
    <n v="265.3"/>
    <s v="OK"/>
    <s v=""/>
    <s v=""/>
    <x v="429"/>
    <n v="1060.3399999999999"/>
    <x v="429"/>
    <n v="0"/>
    <s v="0-3 Monaten"/>
    <x v="0"/>
    <n v="511"/>
  </r>
  <r>
    <x v="1"/>
    <x v="498"/>
    <x v="1"/>
    <x v="432"/>
    <x v="0"/>
    <s v="Tenant_131"/>
    <x v="430"/>
    <n v="119722.44"/>
    <n v="119722.44"/>
    <s v=""/>
    <d v="2021-07-24T00:00:00"/>
    <d v="2026-05-07T00:00:00"/>
    <n v="929.53"/>
    <n v="1195.71"/>
    <s v="OK"/>
    <s v=""/>
    <s v=""/>
    <x v="430"/>
    <n v="2125.2399999999998"/>
    <x v="430"/>
    <n v="2"/>
    <s v="0-3 Monaten"/>
    <x v="0"/>
    <n v="699"/>
  </r>
  <r>
    <x v="7"/>
    <x v="499"/>
    <x v="3"/>
    <x v="433"/>
    <x v="0"/>
    <s v="Tenant_66"/>
    <x v="431"/>
    <n v="172875.36"/>
    <n v="172875.36000000002"/>
    <s v=""/>
    <d v="2023-10-26T00:00:00"/>
    <d v="2026-08-17T00:00:00"/>
    <n v="1647.07"/>
    <n v="1582.05"/>
    <s v="OK"/>
    <s v=""/>
    <s v=""/>
    <x v="431"/>
    <n v="3229.12"/>
    <x v="431"/>
    <n v="5"/>
    <s v="3-6 Monaten"/>
    <x v="0"/>
    <n v="13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U0001"/>
    <s v="Production"/>
    <n v="1072"/>
    <s v="Occupied"/>
    <s v="Tenant_7"/>
    <n v="12532.9"/>
    <n v="150394.79999999999"/>
    <n v="150394.79999999999"/>
    <s v=""/>
    <d v="2021-09-29T00:00:00"/>
    <d v="2023-09-23T00:00:00"/>
    <n v="1703.34"/>
    <n v="2323.09"/>
    <s v="OK"/>
    <s v=""/>
    <s v=""/>
    <n v="140.2936567164179"/>
    <n v="4026.4300000000003"/>
    <n v="148071.71"/>
    <n v="0"/>
    <s v="0-3 Monaten"/>
    <n v="0"/>
    <n v="1072"/>
  </r>
  <r>
    <x v="1"/>
    <s v="U0002"/>
    <s v="Office"/>
    <n v="356"/>
    <s v="Vacant"/>
    <m/>
    <n v="0"/>
    <n v="0"/>
    <n v="0"/>
    <s v=""/>
    <m/>
    <m/>
    <n v="581.04999999999995"/>
    <n v="327.43"/>
    <s v="OK"/>
    <s v=""/>
    <s v="Rent&lt;=0"/>
    <s v=""/>
    <n v="908.48"/>
    <s v=""/>
    <n v="0"/>
    <s v=""/>
    <n v="356"/>
    <n v="0"/>
  </r>
  <r>
    <x v="2"/>
    <s v="U0003"/>
    <s v="Office"/>
    <n v="920"/>
    <s v="Occupied"/>
    <s v="Tenant_127"/>
    <n v="11487.23"/>
    <n v="137846.28"/>
    <n v="137846.76"/>
    <s v="FALSCH"/>
    <d v="2021-05-28T00:00:00"/>
    <d v="2025-07-25T00:00:00"/>
    <n v="1667.69"/>
    <n v="1006.92"/>
    <s v="OK"/>
    <s v=""/>
    <s v=""/>
    <n v="149.83291304347827"/>
    <n v="2674.61"/>
    <n v="136839.35999999999"/>
    <n v="0"/>
    <s v="0-3 Monaten"/>
    <n v="0"/>
    <n v="920"/>
  </r>
  <r>
    <x v="3"/>
    <s v="U0004"/>
    <s v="Office"/>
    <n v="659"/>
    <s v="Occupied"/>
    <s v="Tenant_29"/>
    <n v="7757.21"/>
    <n v="93086.52"/>
    <n v="93086.52"/>
    <s v=""/>
    <d v="2022-01-17T00:00:00"/>
    <d v="2024-04-26T00:00:00"/>
    <n v="1291.24"/>
    <n v="769.66"/>
    <s v="OK"/>
    <s v=""/>
    <s v=""/>
    <n v="141.25420333839151"/>
    <n v="2060.9"/>
    <n v="92316.86"/>
    <n v="0"/>
    <s v="0-3 Monaten"/>
    <n v="0"/>
    <n v="659"/>
  </r>
  <r>
    <x v="4"/>
    <s v="U0005"/>
    <s v="Storage"/>
    <n v="826"/>
    <s v="Occupied"/>
    <s v="Tenant_34"/>
    <n v="10359.75"/>
    <n v="124317"/>
    <n v="124317"/>
    <s v=""/>
    <d v="2021-08-28T00:00:00"/>
    <d v="2026-07-06T00:00:00"/>
    <n v="2093.1"/>
    <n v="766.61"/>
    <s v="OK"/>
    <s v=""/>
    <s v=""/>
    <n v="150.50484261501211"/>
    <n v="2859.71"/>
    <n v="123550.39"/>
    <n v="4"/>
    <s v="3-6 Monaten"/>
    <n v="0"/>
    <n v="826"/>
  </r>
  <r>
    <x v="5"/>
    <s v="U0006"/>
    <s v="Warehouse"/>
    <n v="482"/>
    <s v="Vacant"/>
    <m/>
    <n v="0"/>
    <n v="0"/>
    <n v="0"/>
    <s v=""/>
    <m/>
    <m/>
    <n v="913.83"/>
    <n v="1004.86"/>
    <s v="OK"/>
    <s v=""/>
    <s v="Rent&lt;=0"/>
    <s v=""/>
    <n v="1918.69"/>
    <s v=""/>
    <n v="0"/>
    <s v=""/>
    <n v="482"/>
    <n v="0"/>
  </r>
  <r>
    <x v="5"/>
    <s v="U0007"/>
    <s v="Office"/>
    <n v="1358"/>
    <s v="Occupied"/>
    <s v="Tenant_26"/>
    <n v="23528.639999999999"/>
    <n v="282343.67999999999"/>
    <n v="282343.67999999999"/>
    <s v=""/>
    <d v="2023-04-28T00:00:00"/>
    <d v="2026-06-08T00:00:00"/>
    <n v="1782.23"/>
    <n v="1177.76"/>
    <s v="OK"/>
    <s v=""/>
    <s v=""/>
    <n v="207.91139911634755"/>
    <n v="2959.99"/>
    <n v="281165.92"/>
    <n v="3"/>
    <s v="0-3 Monaten"/>
    <n v="0"/>
    <n v="1358"/>
  </r>
  <r>
    <x v="2"/>
    <s v="U0008"/>
    <s v="Storage"/>
    <n v="319"/>
    <s v="Occupied"/>
    <s v="Tenant_12"/>
    <n v="5107.1499999999996"/>
    <n v="61285.8"/>
    <n v="61285.799999999996"/>
    <s v=""/>
    <d v="2021-06-30T00:00:00"/>
    <d v="2022-07-15T00:00:00"/>
    <n v="849.14"/>
    <n v="729.67"/>
    <s v="OK"/>
    <s v=""/>
    <s v=""/>
    <n v="192.11849529780565"/>
    <n v="1578.81"/>
    <n v="60556.130000000005"/>
    <n v="0"/>
    <s v="0-3 Monaten"/>
    <n v="0"/>
    <n v="319"/>
  </r>
  <r>
    <x v="0"/>
    <s v="U0009"/>
    <s v="Warehouse"/>
    <n v="744"/>
    <s v="Occupied"/>
    <s v="Tenant_63"/>
    <n v="7237.57"/>
    <n v="86850.84"/>
    <n v="86850.84"/>
    <s v=""/>
    <d v="2021-06-04T00:00:00"/>
    <d v="2025-05-01T00:00:00"/>
    <n v="2153.19"/>
    <n v="1468.13"/>
    <s v="OK"/>
    <s v=""/>
    <s v=""/>
    <n v="116.735"/>
    <n v="3621.32"/>
    <n v="85382.709999999992"/>
    <n v="0"/>
    <s v="0-3 Monaten"/>
    <n v="0"/>
    <n v="744"/>
  </r>
  <r>
    <x v="3"/>
    <s v="U0010"/>
    <s v="Production"/>
    <n v="1453"/>
    <s v="Occupied"/>
    <s v="Tenant_78"/>
    <n v="9945.89"/>
    <n v="119350.68"/>
    <n v="119350.68"/>
    <s v=""/>
    <d v="2021-10-26T00:00:00"/>
    <d v="2024-06-03T00:00:00"/>
    <n v="2246.36"/>
    <n v="1532.69"/>
    <s v="OK"/>
    <s v=""/>
    <s v=""/>
    <n v="82.140867171369578"/>
    <n v="3779.05"/>
    <n v="117817.98999999999"/>
    <n v="0"/>
    <s v="0-3 Monaten"/>
    <n v="0"/>
    <n v="1453"/>
  </r>
  <r>
    <x v="0"/>
    <s v="U0011"/>
    <s v="Warehouse"/>
    <n v="174"/>
    <s v="Occupied"/>
    <s v="Tenant_145"/>
    <n v="2991.69"/>
    <n v="35900.28"/>
    <n v="35900.28"/>
    <s v=""/>
    <d v="2021-07-21T00:00:00"/>
    <d v="2022-12-30T00:00:00"/>
    <n v="419.85"/>
    <n v="310.98"/>
    <s v="OK"/>
    <s v=""/>
    <s v=""/>
    <n v="206.32344827586206"/>
    <n v="730.83"/>
    <n v="35589.299999999996"/>
    <n v="0"/>
    <s v="0-3 Monaten"/>
    <n v="0"/>
    <n v="174"/>
  </r>
  <r>
    <x v="6"/>
    <s v="U0012"/>
    <s v="Warehouse"/>
    <n v="1202"/>
    <s v="Occupied"/>
    <s v="Tenant_146"/>
    <n v="7302.78"/>
    <n v="87633.36"/>
    <n v="87633.36"/>
    <s v=""/>
    <d v="2021-12-08T00:00:00"/>
    <d v="2022-10-27T00:00:00"/>
    <n v="1807.96"/>
    <n v="1254.6600000000001"/>
    <s v="OK"/>
    <s v=""/>
    <s v=""/>
    <n v="72.906289517470881"/>
    <n v="3062.62"/>
    <n v="86378.7"/>
    <n v="0"/>
    <s v="0-3 Monaten"/>
    <n v="0"/>
    <n v="1202"/>
  </r>
  <r>
    <x v="6"/>
    <s v="U0013"/>
    <s v="Warehouse"/>
    <n v="215"/>
    <s v="Occupied"/>
    <s v="Tenant_13"/>
    <n v="2746.09"/>
    <n v="32953.08"/>
    <n v="32953.08"/>
    <s v=""/>
    <d v="2023-03-08T00:00:00"/>
    <d v="2027-07-17T00:00:00"/>
    <n v="457.27"/>
    <n v="453.52"/>
    <s v="OK"/>
    <s v=""/>
    <s v=""/>
    <n v="153.27013953488373"/>
    <n v="910.79"/>
    <n v="32499.56"/>
    <n v="16"/>
    <s v="12 M+"/>
    <n v="0"/>
    <n v="215"/>
  </r>
  <r>
    <x v="0"/>
    <s v="U0014"/>
    <s v="Office"/>
    <n v="1379"/>
    <s v="Occupied"/>
    <s v="Tenant_95"/>
    <n v="9289.85"/>
    <n v="111478.2"/>
    <n v="111478.20000000001"/>
    <s v=""/>
    <d v="2022-09-27T00:00:00"/>
    <d v="2025-04-20T00:00:00"/>
    <n v="2454.8200000000002"/>
    <n v="2439.5100000000002"/>
    <s v="OK"/>
    <s v=""/>
    <s v=""/>
    <n v="80.839883973894118"/>
    <n v="4894.33"/>
    <n v="109038.69"/>
    <n v="0"/>
    <s v="0-3 Monaten"/>
    <n v="0"/>
    <n v="1379"/>
  </r>
  <r>
    <x v="2"/>
    <s v="U0015"/>
    <s v="Office"/>
    <n v="1194"/>
    <s v="Occupied"/>
    <s v="Tenant_136"/>
    <n v="21260.89"/>
    <n v="255130.68"/>
    <n v="255130.68"/>
    <s v=""/>
    <d v="2023-09-30T00:00:00"/>
    <d v="2026-09-16T00:00:00"/>
    <n v="3224.21"/>
    <n v="808.23"/>
    <s v="OK"/>
    <s v=""/>
    <s v=""/>
    <n v="213.6772864321608"/>
    <n v="4032.44"/>
    <n v="254322.44999999998"/>
    <n v="6"/>
    <s v="3-6 Monaten"/>
    <n v="0"/>
    <n v="1194"/>
  </r>
  <r>
    <x v="2"/>
    <s v="U0016"/>
    <s v="Production"/>
    <n v="1216"/>
    <s v="Occupied"/>
    <s v="Tenant_166"/>
    <n v="20687.509999999998"/>
    <n v="248250.12"/>
    <n v="248250.12"/>
    <s v=""/>
    <d v="2023-10-21T00:00:00"/>
    <d v="2028-10-13T00:00:00"/>
    <n v="1988.36"/>
    <n v="2060.4"/>
    <s v="OK"/>
    <s v=""/>
    <s v=""/>
    <n v="204.15305921052632"/>
    <n v="4048.76"/>
    <n v="246189.72"/>
    <n v="31"/>
    <s v="12 M+"/>
    <n v="0"/>
    <n v="1216"/>
  </r>
  <r>
    <x v="5"/>
    <s v="U0017"/>
    <s v="Office"/>
    <n v="417"/>
    <s v="Vacant"/>
    <m/>
    <n v="0"/>
    <n v="0"/>
    <n v="0"/>
    <s v=""/>
    <m/>
    <m/>
    <n v="658.24"/>
    <n v="906.67"/>
    <s v="OK"/>
    <s v=""/>
    <s v="Rent&lt;=0"/>
    <s v=""/>
    <n v="1564.9099999999999"/>
    <s v=""/>
    <n v="0"/>
    <s v=""/>
    <n v="417"/>
    <n v="0"/>
  </r>
  <r>
    <x v="7"/>
    <s v="U0018"/>
    <s v="Warehouse"/>
    <n v="549"/>
    <s v="Occupied"/>
    <s v="Tenant_145"/>
    <n v="4264.49"/>
    <n v="51173.88"/>
    <n v="51173.88"/>
    <s v=""/>
    <d v="2022-10-26T00:00:00"/>
    <d v="2026-07-18T00:00:00"/>
    <n v="1396.48"/>
    <n v="672.55"/>
    <s v="OK"/>
    <s v=""/>
    <s v=""/>
    <n v="93.212896174863388"/>
    <n v="2069.0299999999997"/>
    <n v="50501.329999999994"/>
    <n v="4"/>
    <s v="3-6 Monaten"/>
    <n v="0"/>
    <n v="549"/>
  </r>
  <r>
    <x v="7"/>
    <s v="U0019"/>
    <s v="Production"/>
    <n v="754"/>
    <s v="Occupied"/>
    <s v="Tenant_140"/>
    <n v="8906.5300000000007"/>
    <n v="106878.36"/>
    <n v="106878.36000000002"/>
    <s v=""/>
    <d v="2023-03-08T00:00:00"/>
    <d v="2026-08-07T00:00:00"/>
    <n v="805.82"/>
    <n v="1142.4100000000001"/>
    <s v="OK"/>
    <s v=""/>
    <s v=""/>
    <n v="141.74848806366049"/>
    <n v="1948.23"/>
    <n v="105735.95"/>
    <n v="5"/>
    <s v="3-6 Monaten"/>
    <n v="0"/>
    <n v="754"/>
  </r>
  <r>
    <x v="1"/>
    <s v="U0020"/>
    <s v="Storage"/>
    <n v="1180"/>
    <s v="Occupied"/>
    <s v="Tenant_143"/>
    <n v="11003.3"/>
    <n v="132039.6"/>
    <n v="132039.59999999998"/>
    <s v=""/>
    <d v="2023-02-04T00:00:00"/>
    <d v="2026-12-13T00:00:00"/>
    <n v="2489.6799999999998"/>
    <n v="2937.03"/>
    <s v="OK"/>
    <s v=""/>
    <s v=""/>
    <n v="111.89796610169492"/>
    <n v="5426.71"/>
    <n v="129102.57"/>
    <n v="9"/>
    <s v="6-12 Monaten"/>
    <n v="0"/>
    <n v="1180"/>
  </r>
  <r>
    <x v="1"/>
    <s v="U0021"/>
    <s v="Production"/>
    <n v="876"/>
    <s v="Vacant"/>
    <m/>
    <n v="0"/>
    <n v="0"/>
    <n v="0"/>
    <s v=""/>
    <m/>
    <m/>
    <n v="1756.84"/>
    <n v="1973.19"/>
    <s v="OK"/>
    <s v=""/>
    <s v="Rent&lt;=0"/>
    <s v=""/>
    <n v="3730.0299999999997"/>
    <s v=""/>
    <n v="0"/>
    <s v=""/>
    <n v="876"/>
    <n v="0"/>
  </r>
  <r>
    <x v="2"/>
    <s v="U0022"/>
    <s v="Office"/>
    <n v="946"/>
    <s v="Occupied"/>
    <s v="Tenant_33"/>
    <n v="12902.94"/>
    <n v="154835.28"/>
    <n v="154835.28"/>
    <s v=""/>
    <d v="2023-04-15T00:00:00"/>
    <d v="2026-10-16T00:00:00"/>
    <n v="2691.1"/>
    <n v="2173.98"/>
    <s v="OK"/>
    <s v=""/>
    <s v=""/>
    <n v="163.67365750528541"/>
    <n v="4865.08"/>
    <n v="152661.29999999999"/>
    <n v="7"/>
    <s v="6-12 Monaten"/>
    <n v="0"/>
    <n v="946"/>
  </r>
  <r>
    <x v="7"/>
    <s v="U0023"/>
    <s v="Warehouse"/>
    <n v="1255"/>
    <s v="Occupied"/>
    <s v="Tenant_48"/>
    <n v="18391.16"/>
    <n v="220693.92"/>
    <n v="220693.91999999998"/>
    <s v=""/>
    <d v="2023-02-22T00:00:00"/>
    <d v="2026-09-07T00:00:00"/>
    <n v="2019.26"/>
    <n v="3075.8"/>
    <s v="OK"/>
    <s v=""/>
    <s v=""/>
    <n v="175.85172908366536"/>
    <n v="5095.0600000000004"/>
    <n v="217618.12000000002"/>
    <n v="6"/>
    <s v="3-6 Monaten"/>
    <n v="0"/>
    <n v="1255"/>
  </r>
  <r>
    <x v="5"/>
    <s v="U0024"/>
    <s v="Office"/>
    <n v="484"/>
    <s v="Occupied"/>
    <s v="Tenant_55"/>
    <n v="5675.06"/>
    <n v="68100.72"/>
    <n v="68100.72"/>
    <s v=""/>
    <d v="2022-11-03T00:00:00"/>
    <d v="2026-09-06T00:00:00"/>
    <n v="761.04"/>
    <n v="832.56"/>
    <s v="OK"/>
    <s v=""/>
    <s v=""/>
    <n v="140.70396694214875"/>
    <n v="1593.6"/>
    <n v="67268.160000000003"/>
    <n v="6"/>
    <s v="3-6 Monaten"/>
    <n v="0"/>
    <n v="484"/>
  </r>
  <r>
    <x v="4"/>
    <s v="U0025"/>
    <s v="Production"/>
    <n v="911"/>
    <s v="Occupied"/>
    <s v="Tenant_152"/>
    <n v="13032.41"/>
    <n v="156388.92000000001"/>
    <n v="156388.91999999998"/>
    <s v=""/>
    <d v="2022-06-16T00:00:00"/>
    <d v="2023-06-03T00:00:00"/>
    <n v="1831.9"/>
    <n v="593.03"/>
    <s v="OK"/>
    <s v=""/>
    <s v=""/>
    <n v="171.66731064763997"/>
    <n v="2424.9300000000003"/>
    <n v="155795.89000000001"/>
    <n v="0"/>
    <s v="0-3 Monaten"/>
    <n v="0"/>
    <n v="911"/>
  </r>
  <r>
    <x v="4"/>
    <s v="U0026"/>
    <s v="Office"/>
    <n v="1147"/>
    <s v="Vacant"/>
    <m/>
    <n v="0"/>
    <n v="0"/>
    <n v="0"/>
    <s v=""/>
    <m/>
    <m/>
    <n v="1752.44"/>
    <n v="1107.1500000000001"/>
    <s v="OK"/>
    <s v=""/>
    <s v="Rent&lt;=0"/>
    <s v=""/>
    <n v="2859.59"/>
    <s v=""/>
    <n v="0"/>
    <s v=""/>
    <n v="1147"/>
    <n v="0"/>
  </r>
  <r>
    <x v="1"/>
    <s v="U0027"/>
    <s v="Storage"/>
    <n v="361"/>
    <s v="Vacant"/>
    <m/>
    <n v="0"/>
    <n v="0"/>
    <n v="0"/>
    <s v=""/>
    <m/>
    <m/>
    <n v="1012.2"/>
    <n v="293.26"/>
    <s v="OK"/>
    <s v=""/>
    <s v="Rent&lt;=0"/>
    <s v=""/>
    <n v="1305.46"/>
    <s v=""/>
    <n v="0"/>
    <s v=""/>
    <n v="361"/>
    <n v="0"/>
  </r>
  <r>
    <x v="7"/>
    <s v="U0028"/>
    <s v="Warehouse"/>
    <n v="1301"/>
    <s v="Occupied"/>
    <s v="Tenant_144"/>
    <n v="18342.759999999998"/>
    <n v="220113.12"/>
    <n v="220113.12"/>
    <s v=""/>
    <d v="2023-09-10T00:00:00"/>
    <d v="2026-04-15T00:00:00"/>
    <n v="3202.85"/>
    <n v="2171.44"/>
    <s v="OK"/>
    <s v=""/>
    <s v=""/>
    <n v="169.18764027671023"/>
    <n v="5374.29"/>
    <n v="217941.68"/>
    <n v="1"/>
    <s v="0-3 Monaten"/>
    <n v="0"/>
    <n v="1301"/>
  </r>
  <r>
    <x v="5"/>
    <s v="U0029"/>
    <s v="Production"/>
    <n v="1245"/>
    <s v="Occupied"/>
    <s v="Tenant_37"/>
    <n v="12000.8"/>
    <n v="144009.60000000001"/>
    <n v="144009.59999999998"/>
    <s v=""/>
    <d v="2023-05-24T00:00:00"/>
    <d v="2025-12-30T00:00:00"/>
    <n v="3013.82"/>
    <n v="1135.93"/>
    <s v="OK"/>
    <s v=""/>
    <s v=""/>
    <n v="115.67036144578314"/>
    <n v="4149.75"/>
    <n v="142873.67000000001"/>
    <n v="0"/>
    <s v="0-3 Monaten"/>
    <n v="0"/>
    <n v="1245"/>
  </r>
  <r>
    <x v="4"/>
    <s v="U0030"/>
    <s v="Office"/>
    <n v="1272"/>
    <s v="Occupied"/>
    <s v="Tenant_189"/>
    <n v="14498.27"/>
    <n v="173979.24"/>
    <n v="173979.24"/>
    <s v=""/>
    <d v="2022-02-17T00:00:00"/>
    <d v="2026-10-15T00:00:00"/>
    <n v="2011.21"/>
    <n v="944.62"/>
    <s v="OK"/>
    <s v=""/>
    <s v=""/>
    <n v="136.77613207547168"/>
    <n v="2955.83"/>
    <n v="173034.62"/>
    <n v="7"/>
    <s v="6-12 Monaten"/>
    <n v="0"/>
    <n v="1272"/>
  </r>
  <r>
    <x v="6"/>
    <s v="U0031"/>
    <s v="Office"/>
    <n v="1089"/>
    <s v="Occupied"/>
    <s v="Tenant_14"/>
    <n v="18980.11"/>
    <n v="227761.32"/>
    <n v="227761.32"/>
    <s v=""/>
    <d v="2022-06-17T00:00:00"/>
    <d v="2023-09-15T00:00:00"/>
    <n v="2653.13"/>
    <n v="990.64"/>
    <s v="OK"/>
    <s v=""/>
    <s v=""/>
    <n v="209.14721763085399"/>
    <n v="3643.77"/>
    <n v="226770.68"/>
    <n v="0"/>
    <s v="0-3 Monaten"/>
    <n v="0"/>
    <n v="1089"/>
  </r>
  <r>
    <x v="7"/>
    <s v="U0032"/>
    <s v="Warehouse"/>
    <n v="899"/>
    <s v="Occupied"/>
    <s v="Tenant_138"/>
    <n v="12542.71"/>
    <n v="150512.51999999999"/>
    <n v="150512.51999999999"/>
    <s v=""/>
    <d v="2022-12-17T00:00:00"/>
    <d v="2025-05-12T00:00:00"/>
    <n v="2529.5300000000002"/>
    <n v="1111.18"/>
    <s v="OK"/>
    <s v=""/>
    <s v=""/>
    <n v="167.42215795328141"/>
    <n v="3640.71"/>
    <n v="149401.34"/>
    <n v="0"/>
    <s v="0-3 Monaten"/>
    <n v="0"/>
    <n v="899"/>
  </r>
  <r>
    <x v="2"/>
    <s v="U0033"/>
    <s v="Production"/>
    <n v="1143"/>
    <s v="Occupied"/>
    <s v="Tenant_159"/>
    <n v="14257.35"/>
    <n v="171088.2"/>
    <n v="171088.2"/>
    <s v=""/>
    <d v="2023-07-11T00:00:00"/>
    <d v="2025-09-01T00:00:00"/>
    <n v="2345.29"/>
    <n v="1675.28"/>
    <s v="OK"/>
    <s v=""/>
    <s v=""/>
    <n v="149.68346456692913"/>
    <n v="4020.5699999999997"/>
    <n v="169412.92"/>
    <n v="0"/>
    <s v="0-3 Monaten"/>
    <n v="0"/>
    <n v="1143"/>
  </r>
  <r>
    <x v="0"/>
    <s v="U0034"/>
    <s v="Production"/>
    <n v="524"/>
    <s v="Occupied"/>
    <s v="Tenant_73"/>
    <n v="9084.25"/>
    <n v="109011"/>
    <n v="109011"/>
    <s v=""/>
    <d v="2021-12-18T00:00:00"/>
    <d v="2026-04-06T00:00:00"/>
    <n v="1359.67"/>
    <n v="486.6"/>
    <s v="OK"/>
    <s v=""/>
    <s v=""/>
    <n v="208.03625954198472"/>
    <n v="1846.27"/>
    <n v="108524.4"/>
    <n v="1"/>
    <s v="0-3 Monaten"/>
    <n v="0"/>
    <n v="524"/>
  </r>
  <r>
    <x v="5"/>
    <s v="U0035"/>
    <s v="Storage"/>
    <n v="376"/>
    <s v="Occupied"/>
    <s v="Tenant_148"/>
    <n v="6140.9"/>
    <n v="73690.8"/>
    <n v="73690.799999999988"/>
    <s v=""/>
    <d v="2022-02-28T00:00:00"/>
    <d v="2025-01-03T00:00:00"/>
    <n v="809"/>
    <n v="529.23"/>
    <s v="OK"/>
    <s v=""/>
    <s v=""/>
    <n v="195.98617021276596"/>
    <n v="1338.23"/>
    <n v="73161.570000000007"/>
    <n v="0"/>
    <s v="0-3 Monaten"/>
    <n v="0"/>
    <n v="376"/>
  </r>
  <r>
    <x v="4"/>
    <s v="U0036"/>
    <s v="Warehouse"/>
    <n v="294"/>
    <s v="Occupied"/>
    <s v="Tenant_188"/>
    <n v="2266.0100000000002"/>
    <n v="27192.12"/>
    <n v="27192.120000000003"/>
    <s v=""/>
    <d v="2023-02-17T00:00:00"/>
    <d v="2026-02-03T00:00:00"/>
    <n v="549.35"/>
    <n v="714.69"/>
    <s v="OK"/>
    <s v=""/>
    <s v=""/>
    <n v="92.490204081632655"/>
    <n v="1264.04"/>
    <n v="26477.43"/>
    <n v="0"/>
    <s v="0-3 Monaten"/>
    <n v="0"/>
    <n v="294"/>
  </r>
  <r>
    <x v="2"/>
    <s v="U0037"/>
    <s v="Storage"/>
    <n v="1052"/>
    <s v="Vacant"/>
    <m/>
    <n v="0"/>
    <n v="0"/>
    <n v="0"/>
    <s v=""/>
    <m/>
    <m/>
    <n v="2965.03"/>
    <n v="936.19"/>
    <s v="OK"/>
    <s v=""/>
    <s v="Rent&lt;=0"/>
    <s v=""/>
    <n v="3901.2200000000003"/>
    <s v=""/>
    <n v="0"/>
    <s v=""/>
    <n v="1052"/>
    <n v="0"/>
  </r>
  <r>
    <x v="2"/>
    <s v="U0038"/>
    <s v="Production"/>
    <n v="438"/>
    <s v="Occupied"/>
    <s v="Tenant_148"/>
    <n v="3589.14"/>
    <n v="43069.68"/>
    <n v="43069.68"/>
    <s v=""/>
    <d v="2022-11-27T00:00:00"/>
    <d v="2024-06-13T00:00:00"/>
    <n v="1016.8"/>
    <n v="322.89"/>
    <s v="OK"/>
    <s v=""/>
    <s v=""/>
    <n v="98.332602739726028"/>
    <n v="1339.69"/>
    <n v="42746.79"/>
    <n v="0"/>
    <s v="0-3 Monaten"/>
    <n v="0"/>
    <n v="438"/>
  </r>
  <r>
    <x v="6"/>
    <s v="U0039"/>
    <s v="Warehouse"/>
    <n v="1214"/>
    <s v="Vacant"/>
    <m/>
    <n v="0"/>
    <n v="0"/>
    <n v="0"/>
    <s v=""/>
    <m/>
    <m/>
    <n v="2066.27"/>
    <n v="2268.37"/>
    <s v="OK"/>
    <s v=""/>
    <s v="Rent&lt;=0"/>
    <s v=""/>
    <n v="4334.6399999999994"/>
    <s v=""/>
    <n v="0"/>
    <s v=""/>
    <n v="1214"/>
    <n v="0"/>
  </r>
  <r>
    <x v="4"/>
    <s v="U0040"/>
    <s v="Office"/>
    <n v="1021"/>
    <s v="Occupied"/>
    <s v="Tenant_45"/>
    <n v="16833.259999999998"/>
    <n v="201999.12"/>
    <n v="201999.12"/>
    <s v=""/>
    <d v="2023-07-09T00:00:00"/>
    <d v="2024-09-01T00:00:00"/>
    <n v="2746.31"/>
    <n v="926.43"/>
    <s v="OK"/>
    <s v=""/>
    <s v=""/>
    <n v="197.84438785504406"/>
    <n v="3672.74"/>
    <n v="201072.69"/>
    <n v="0"/>
    <s v="0-3 Monaten"/>
    <n v="0"/>
    <n v="1021"/>
  </r>
  <r>
    <x v="0"/>
    <s v="U0041"/>
    <s v="Office"/>
    <n v="75"/>
    <s v="Occupied"/>
    <s v="Tenant_140"/>
    <n v="750.15"/>
    <n v="9001.7999999999993"/>
    <n v="9001.7999999999993"/>
    <s v=""/>
    <d v="2021-09-23T00:00:00"/>
    <d v="2026-02-16T00:00:00"/>
    <n v="81.709999999999994"/>
    <n v="121.61"/>
    <s v="OK"/>
    <s v=""/>
    <s v=""/>
    <n v="120.02399999999999"/>
    <n v="203.32"/>
    <n v="8880.1899999999987"/>
    <n v="0"/>
    <s v="0-3 Monaten"/>
    <n v="0"/>
    <n v="75"/>
  </r>
  <r>
    <x v="5"/>
    <s v="U0042"/>
    <s v="Office"/>
    <n v="759"/>
    <s v="Occupied"/>
    <s v="Tenant_176"/>
    <n v="7066.4"/>
    <n v="84796.800000000003"/>
    <n v="84796.799999999988"/>
    <s v=""/>
    <d v="2022-09-05T00:00:00"/>
    <d v="2023-10-18T00:00:00"/>
    <n v="2000.18"/>
    <n v="1476.66"/>
    <s v="OK"/>
    <s v=""/>
    <s v=""/>
    <n v="111.72173913043478"/>
    <n v="3476.84"/>
    <n v="83320.14"/>
    <n v="0"/>
    <s v="0-3 Monaten"/>
    <n v="0"/>
    <n v="759"/>
  </r>
  <r>
    <x v="4"/>
    <s v="U0043"/>
    <s v="Production"/>
    <n v="1074"/>
    <s v="Occupied"/>
    <s v="Tenant_20"/>
    <n v="9469.42"/>
    <n v="113633.04"/>
    <n v="113633.04000000001"/>
    <s v=""/>
    <d v="2023-12-06T00:00:00"/>
    <d v="2027-12-17T00:00:00"/>
    <n v="3056.36"/>
    <n v="1360.97"/>
    <s v="OK"/>
    <s v=""/>
    <s v=""/>
    <n v="105.80357541899441"/>
    <n v="4417.33"/>
    <n v="112272.06999999999"/>
    <n v="21"/>
    <s v="12 M+"/>
    <n v="0"/>
    <n v="1074"/>
  </r>
  <r>
    <x v="0"/>
    <s v="U0044"/>
    <s v="Warehouse"/>
    <n v="1198"/>
    <s v="Occupied"/>
    <s v="Tenant_4"/>
    <n v="15588.65"/>
    <n v="187063.8"/>
    <n v="187063.8"/>
    <s v=""/>
    <d v="2022-04-30T00:00:00"/>
    <d v="2022-12-05T00:00:00"/>
    <n v="2765.68"/>
    <n v="615.34"/>
    <s v="OK"/>
    <s v=""/>
    <s v=""/>
    <n v="156.14674457429047"/>
    <n v="3381.02"/>
    <n v="186448.46"/>
    <n v="0"/>
    <s v="0-3 Monaten"/>
    <n v="0"/>
    <n v="1198"/>
  </r>
  <r>
    <x v="5"/>
    <s v="U0045"/>
    <s v="Warehouse"/>
    <n v="1315"/>
    <s v="Occupied"/>
    <s v="Tenant_100"/>
    <n v="17089.689999999999"/>
    <n v="205076.28"/>
    <n v="205076.27999999997"/>
    <s v=""/>
    <d v="2021-06-16T00:00:00"/>
    <d v="2022-01-10T00:00:00"/>
    <n v="2260.16"/>
    <n v="1634.85"/>
    <s v="OK"/>
    <s v=""/>
    <s v=""/>
    <n v="155.95154372623574"/>
    <n v="3895.0099999999998"/>
    <n v="203441.43"/>
    <n v="0"/>
    <s v="0-3 Monaten"/>
    <n v="0"/>
    <n v="1315"/>
  </r>
  <r>
    <x v="2"/>
    <s v="U0046"/>
    <s v="Storage"/>
    <n v="1127"/>
    <s v="Occupied"/>
    <s v="Tenant_69"/>
    <n v="9292.85"/>
    <n v="111514.2"/>
    <n v="111514.20000000001"/>
    <s v=""/>
    <d v="2021-08-13T00:00:00"/>
    <d v="2025-07-24T00:00:00"/>
    <n v="1793.44"/>
    <n v="1129.1500000000001"/>
    <s v="OK"/>
    <s v=""/>
    <s v=""/>
    <n v="98.947826086956525"/>
    <n v="2922.59"/>
    <n v="110385.05"/>
    <n v="0"/>
    <s v="0-3 Monaten"/>
    <n v="0"/>
    <n v="1127"/>
  </r>
  <r>
    <x v="0"/>
    <s v="U0047"/>
    <s v="Warehouse"/>
    <n v="1449"/>
    <s v="Occupied"/>
    <s v="Tenant_103"/>
    <n v="21330.01"/>
    <n v="255960.12"/>
    <n v="255960.12"/>
    <s v=""/>
    <d v="2022-07-30T00:00:00"/>
    <d v="2024-03-19T00:00:00"/>
    <n v="2690.54"/>
    <n v="1938.54"/>
    <s v="OK"/>
    <s v=""/>
    <s v=""/>
    <n v="176.64604554865423"/>
    <n v="4629.08"/>
    <n v="254021.58"/>
    <n v="0"/>
    <s v="0-3 Monaten"/>
    <n v="0"/>
    <n v="1449"/>
  </r>
  <r>
    <x v="6"/>
    <s v="U0048"/>
    <s v="Production"/>
    <n v="45"/>
    <s v="Occupied"/>
    <s v="Tenant_176"/>
    <n v="672.55"/>
    <n v="8070.6"/>
    <n v="8070.5999999999995"/>
    <s v=""/>
    <d v="2021-06-25T00:00:00"/>
    <d v="2023-08-18T00:00:00"/>
    <n v="73.95"/>
    <n v="63.19"/>
    <s v="OK"/>
    <s v=""/>
    <s v=""/>
    <n v="179.34666666666666"/>
    <n v="137.13999999999999"/>
    <n v="8007.4100000000008"/>
    <n v="0"/>
    <s v="0-3 Monaten"/>
    <n v="0"/>
    <n v="45"/>
  </r>
  <r>
    <x v="7"/>
    <s v="U0049"/>
    <s v="Warehouse"/>
    <n v="324"/>
    <s v="Occupied"/>
    <s v="Tenant_94"/>
    <n v="3330.13"/>
    <n v="39961.56"/>
    <n v="39961.56"/>
    <s v=""/>
    <d v="2021-06-26T00:00:00"/>
    <d v="2023-05-13T00:00:00"/>
    <n v="881.01"/>
    <n v="774"/>
    <s v="OK"/>
    <s v=""/>
    <s v=""/>
    <n v="123.33814814814814"/>
    <n v="1655.01"/>
    <n v="39187.56"/>
    <n v="0"/>
    <s v="0-3 Monaten"/>
    <n v="0"/>
    <n v="324"/>
  </r>
  <r>
    <x v="1"/>
    <s v="U0050"/>
    <s v="Production"/>
    <n v="1278"/>
    <s v="Occupied"/>
    <s v="Tenant_140"/>
    <n v="14012.6"/>
    <n v="168151.2"/>
    <n v="168151.2"/>
    <s v=""/>
    <d v="2023-05-26T00:00:00"/>
    <d v="2025-02-18T00:00:00"/>
    <n v="2978.05"/>
    <n v="2596.29"/>
    <s v="OK"/>
    <s v=""/>
    <s v=""/>
    <n v="131.57370892018781"/>
    <n v="5574.34"/>
    <n v="165554.91"/>
    <n v="0"/>
    <s v="0-3 Monaten"/>
    <n v="0"/>
    <n v="1278"/>
  </r>
  <r>
    <x v="2"/>
    <s v="U0051"/>
    <s v="Storage"/>
    <n v="1127"/>
    <s v="Occupied"/>
    <s v="Tenant_118"/>
    <n v="10329.219999999999"/>
    <n v="123950.64"/>
    <n v="123950.63999999998"/>
    <s v=""/>
    <d v="2023-11-13T00:00:00"/>
    <d v="2028-09-24T00:00:00"/>
    <n v="1359.55"/>
    <n v="1127.1199999999999"/>
    <s v="OK"/>
    <s v=""/>
    <s v=""/>
    <n v="109.98282165039929"/>
    <n v="2486.67"/>
    <n v="122823.52"/>
    <n v="31"/>
    <s v="12 M+"/>
    <n v="0"/>
    <n v="1127"/>
  </r>
  <r>
    <x v="3"/>
    <s v="U0052"/>
    <s v="Storage"/>
    <n v="222"/>
    <s v="Vacant"/>
    <m/>
    <n v="0"/>
    <n v="0"/>
    <n v="0"/>
    <s v=""/>
    <m/>
    <m/>
    <n v="265.77999999999997"/>
    <n v="164.88"/>
    <s v="OK"/>
    <s v=""/>
    <s v="Rent&lt;=0"/>
    <s v=""/>
    <n v="430.65999999999997"/>
    <s v=""/>
    <n v="0"/>
    <s v=""/>
    <n v="222"/>
    <n v="0"/>
  </r>
  <r>
    <x v="4"/>
    <s v="U0053"/>
    <s v="Warehouse"/>
    <n v="919"/>
    <s v="Occupied"/>
    <s v="Tenant_164"/>
    <n v="7589.27"/>
    <n v="91071.24"/>
    <n v="91071.24"/>
    <s v=""/>
    <d v="2023-05-09T00:00:00"/>
    <d v="2025-02-27T00:00:00"/>
    <n v="2538.62"/>
    <n v="533.03"/>
    <s v="OK"/>
    <s v=""/>
    <s v=""/>
    <n v="99.098193688792165"/>
    <n v="3071.6499999999996"/>
    <n v="90538.21"/>
    <n v="0"/>
    <s v="0-3 Monaten"/>
    <n v="0"/>
    <n v="919"/>
  </r>
  <r>
    <x v="6"/>
    <s v="U0054"/>
    <s v="Warehouse"/>
    <n v="124"/>
    <s v="Occupied"/>
    <s v="Tenant_132"/>
    <n v="1156.96"/>
    <n v="13883.52"/>
    <n v="13883.52"/>
    <s v=""/>
    <d v="2022-06-09T00:00:00"/>
    <d v="2026-02-02T00:00:00"/>
    <n v="342.65"/>
    <n v="304.57"/>
    <s v="OK"/>
    <s v=""/>
    <s v=""/>
    <n v="111.96387096774194"/>
    <n v="647.22"/>
    <n v="13578.95"/>
    <n v="0"/>
    <s v="0-3 Monaten"/>
    <n v="0"/>
    <n v="124"/>
  </r>
  <r>
    <x v="5"/>
    <s v="U0055"/>
    <s v="Storage"/>
    <n v="229"/>
    <s v="Vacant"/>
    <m/>
    <n v="0"/>
    <n v="0"/>
    <n v="0"/>
    <s v=""/>
    <m/>
    <m/>
    <n v="579.84"/>
    <n v="241.56"/>
    <s v="OK"/>
    <s v=""/>
    <s v="Rent&lt;=0"/>
    <s v=""/>
    <n v="821.40000000000009"/>
    <s v=""/>
    <n v="0"/>
    <s v=""/>
    <n v="229"/>
    <n v="0"/>
  </r>
  <r>
    <x v="4"/>
    <s v="U0056"/>
    <s v="Storage"/>
    <n v="536"/>
    <s v="Occupied"/>
    <s v="Tenant_91"/>
    <n v="7105.28"/>
    <n v="85263.360000000001"/>
    <n v="85263.360000000001"/>
    <s v=""/>
    <d v="2021-07-07T00:00:00"/>
    <d v="2024-10-17T00:00:00"/>
    <n v="718.88"/>
    <n v="844.73"/>
    <s v="OK"/>
    <s v=""/>
    <s v=""/>
    <n v="159.07343283582091"/>
    <n v="1563.6100000000001"/>
    <n v="84418.63"/>
    <n v="0"/>
    <s v="0-3 Monaten"/>
    <n v="0"/>
    <n v="536"/>
  </r>
  <r>
    <x v="3"/>
    <s v="U0057"/>
    <s v="Storage"/>
    <n v="1342"/>
    <s v="Occupied"/>
    <s v="Tenant_51"/>
    <n v="9440.69"/>
    <n v="113288.28"/>
    <n v="113288.28"/>
    <s v=""/>
    <d v="2022-04-12T00:00:00"/>
    <d v="2024-12-12T00:00:00"/>
    <n v="1382.89"/>
    <n v="1256.8599999999999"/>
    <s v="OK"/>
    <s v=""/>
    <s v=""/>
    <n v="84.417496274217584"/>
    <n v="2639.75"/>
    <n v="112031.42"/>
    <n v="0"/>
    <s v="0-3 Monaten"/>
    <n v="0"/>
    <n v="1342"/>
  </r>
  <r>
    <x v="0"/>
    <s v="U0058"/>
    <s v="Office"/>
    <n v="182"/>
    <s v="Occupied"/>
    <s v="Tenant_114"/>
    <n v="1195.51"/>
    <n v="14346.12"/>
    <n v="14346.119999999999"/>
    <s v=""/>
    <d v="2022-01-10T00:00:00"/>
    <d v="2022-10-19T00:00:00"/>
    <n v="395.43"/>
    <n v="193.1"/>
    <s v="OK"/>
    <s v=""/>
    <s v=""/>
    <n v="78.824835164835164"/>
    <n v="588.53"/>
    <n v="14153.02"/>
    <n v="0"/>
    <s v="0-3 Monaten"/>
    <n v="0"/>
    <n v="182"/>
  </r>
  <r>
    <x v="6"/>
    <s v="U0059"/>
    <s v="Production"/>
    <n v="863"/>
    <s v="Occupied"/>
    <s v="Tenant_121"/>
    <n v="14963.99"/>
    <n v="179567.88"/>
    <n v="179567.88"/>
    <s v=""/>
    <d v="2023-05-08T00:00:00"/>
    <d v="2027-12-12T00:00:00"/>
    <n v="1798.2"/>
    <n v="1220.48"/>
    <s v="OK"/>
    <s v=""/>
    <s v=""/>
    <n v="208.07402085747393"/>
    <n v="3018.6800000000003"/>
    <n v="178347.4"/>
    <n v="21"/>
    <s v="12 M+"/>
    <n v="0"/>
    <n v="863"/>
  </r>
  <r>
    <x v="4"/>
    <s v="U0060"/>
    <s v="Warehouse"/>
    <n v="1307"/>
    <s v="Vacant"/>
    <m/>
    <n v="0"/>
    <n v="0"/>
    <n v="0"/>
    <s v=""/>
    <m/>
    <m/>
    <n v="3737.68"/>
    <n v="3017.46"/>
    <s v="OK"/>
    <s v=""/>
    <s v="Rent&lt;=0"/>
    <s v=""/>
    <n v="6755.1399999999994"/>
    <s v=""/>
    <n v="0"/>
    <s v=""/>
    <n v="1307"/>
    <n v="0"/>
  </r>
  <r>
    <x v="4"/>
    <s v="U0061"/>
    <s v="Storage"/>
    <n v="703"/>
    <s v="Occupied"/>
    <s v="Tenant_189"/>
    <n v="5644.59"/>
    <n v="67735.08"/>
    <n v="67735.08"/>
    <s v=""/>
    <d v="2023-10-17T00:00:00"/>
    <d v="2028-02-06T00:00:00"/>
    <n v="1776.55"/>
    <n v="1574.09"/>
    <s v="OK"/>
    <s v=""/>
    <s v=""/>
    <n v="96.351465149359882"/>
    <n v="3350.64"/>
    <n v="66160.990000000005"/>
    <n v="23"/>
    <s v="12 M+"/>
    <n v="0"/>
    <n v="703"/>
  </r>
  <r>
    <x v="3"/>
    <s v="U0062"/>
    <s v="Storage"/>
    <n v="1184"/>
    <s v="Occupied"/>
    <s v="Tenant_177"/>
    <n v="14898.1"/>
    <n v="178777.2"/>
    <n v="178777.2"/>
    <s v=""/>
    <d v="2023-10-09T00:00:00"/>
    <d v="2025-10-29T00:00:00"/>
    <n v="1650.48"/>
    <n v="2900.02"/>
    <s v="OK"/>
    <s v=""/>
    <s v=""/>
    <n v="150.99425675675676"/>
    <n v="4550.5"/>
    <n v="175877.18000000002"/>
    <n v="0"/>
    <s v="0-3 Monaten"/>
    <n v="0"/>
    <n v="1184"/>
  </r>
  <r>
    <x v="3"/>
    <s v="U0063"/>
    <s v="Storage"/>
    <n v="782"/>
    <s v="Occupied"/>
    <s v="Tenant_43"/>
    <n v="13863.33"/>
    <n v="166359.96"/>
    <n v="166359.96"/>
    <s v=""/>
    <d v="2023-04-19T00:00:00"/>
    <d v="2024-09-16T00:00:00"/>
    <n v="2218.8000000000002"/>
    <n v="527.19000000000005"/>
    <s v="OK"/>
    <s v=""/>
    <s v=""/>
    <n v="212.73652173913044"/>
    <n v="2745.9900000000002"/>
    <n v="165832.76999999999"/>
    <n v="0"/>
    <s v="0-3 Monaten"/>
    <n v="0"/>
    <n v="782"/>
  </r>
  <r>
    <x v="1"/>
    <s v="U0064"/>
    <s v="Warehouse"/>
    <n v="427"/>
    <s v="Occupied"/>
    <s v="Tenant_95"/>
    <n v="5377.03"/>
    <n v="64524.36"/>
    <n v="64524.36"/>
    <s v=""/>
    <d v="2021-07-13T00:00:00"/>
    <d v="2025-10-12T00:00:00"/>
    <n v="842.2"/>
    <n v="229.69"/>
    <s v="OK"/>
    <s v=""/>
    <s v=""/>
    <n v="151.11091334894613"/>
    <n v="1071.8900000000001"/>
    <n v="64294.67"/>
    <n v="0"/>
    <s v="0-3 Monaten"/>
    <n v="0"/>
    <n v="427"/>
  </r>
  <r>
    <x v="2"/>
    <s v="U0065"/>
    <s v="Office"/>
    <n v="505"/>
    <s v="Occupied"/>
    <s v="Tenant_20"/>
    <n v="4749.78"/>
    <n v="56997.36"/>
    <n v="56997.36"/>
    <s v=""/>
    <d v="2022-06-06T00:00:00"/>
    <d v="2023-07-27T00:00:00"/>
    <n v="901.71"/>
    <n v="844.76"/>
    <s v="OK"/>
    <s v=""/>
    <s v=""/>
    <n v="112.86605940594059"/>
    <n v="1746.47"/>
    <n v="56152.6"/>
    <n v="0"/>
    <s v="0-3 Monaten"/>
    <n v="0"/>
    <n v="505"/>
  </r>
  <r>
    <x v="2"/>
    <s v="U0066"/>
    <s v="Storage"/>
    <n v="706"/>
    <s v="Occupied"/>
    <s v="Tenant_94"/>
    <n v="8659.67"/>
    <n v="103916.04"/>
    <n v="103916.04000000001"/>
    <s v=""/>
    <d v="2023-10-04T00:00:00"/>
    <d v="2026-04-22T00:00:00"/>
    <n v="2075.9299999999998"/>
    <n v="1097.98"/>
    <s v="OK"/>
    <s v=""/>
    <s v=""/>
    <n v="147.1898583569405"/>
    <n v="3173.91"/>
    <n v="102818.06"/>
    <n v="2"/>
    <s v="0-3 Monaten"/>
    <n v="0"/>
    <n v="706"/>
  </r>
  <r>
    <x v="2"/>
    <s v="U0067"/>
    <s v="Office"/>
    <n v="866"/>
    <s v="Occupied"/>
    <s v="Tenant_25"/>
    <n v="12540.53"/>
    <n v="150486.35999999999"/>
    <n v="150486.36000000002"/>
    <s v=""/>
    <d v="2023-02-26T00:00:00"/>
    <d v="2028-02-10T00:00:00"/>
    <n v="2397.09"/>
    <n v="1941.58"/>
    <s v="OK"/>
    <s v=""/>
    <s v=""/>
    <n v="173.77177829099307"/>
    <n v="4338.67"/>
    <n v="148544.78"/>
    <n v="23"/>
    <s v="12 M+"/>
    <n v="0"/>
    <n v="866"/>
  </r>
  <r>
    <x v="6"/>
    <s v="U0068"/>
    <s v="Office"/>
    <n v="1372"/>
    <s v="Occupied"/>
    <s v="Tenant_114"/>
    <n v="16144.43"/>
    <n v="193733.16"/>
    <n v="193733.16"/>
    <s v=""/>
    <d v="2021-08-27T00:00:00"/>
    <d v="2023-07-12T00:00:00"/>
    <n v="3629.66"/>
    <n v="833.68"/>
    <s v="OK"/>
    <s v=""/>
    <s v=""/>
    <n v="141.20492711370264"/>
    <n v="4463.34"/>
    <n v="192899.48"/>
    <n v="0"/>
    <s v="0-3 Monaten"/>
    <n v="0"/>
    <n v="1372"/>
  </r>
  <r>
    <x v="1"/>
    <s v="U0069"/>
    <s v="Production"/>
    <n v="1200"/>
    <s v="Occupied"/>
    <s v="Tenant_87"/>
    <n v="14950.96"/>
    <n v="179411.52"/>
    <n v="179411.52"/>
    <s v=""/>
    <d v="2022-02-26T00:00:00"/>
    <d v="2027-01-27T00:00:00"/>
    <n v="2328.38"/>
    <n v="1199.33"/>
    <s v="OK"/>
    <s v=""/>
    <s v=""/>
    <n v="149.50959999999998"/>
    <n v="3527.71"/>
    <n v="178212.19"/>
    <n v="11"/>
    <s v="6-12 Monaten"/>
    <n v="0"/>
    <n v="1200"/>
  </r>
  <r>
    <x v="2"/>
    <s v="U0070"/>
    <s v="Office"/>
    <n v="615"/>
    <s v="Occupied"/>
    <s v="Tenant_180"/>
    <n v="7695.07"/>
    <n v="92340.84"/>
    <n v="92340.84"/>
    <s v=""/>
    <d v="2022-08-26T00:00:00"/>
    <d v="2026-08-20T00:00:00"/>
    <n v="809.95"/>
    <n v="1409.29"/>
    <s v="OK"/>
    <s v=""/>
    <s v=""/>
    <n v="150.14770731707316"/>
    <n v="2219.2399999999998"/>
    <n v="90931.55"/>
    <n v="6"/>
    <s v="3-6 Monaten"/>
    <n v="0"/>
    <n v="615"/>
  </r>
  <r>
    <x v="7"/>
    <s v="U0071"/>
    <s v="Office"/>
    <n v="774"/>
    <s v="Occupied"/>
    <s v="Tenant_197"/>
    <n v="12430.3"/>
    <n v="149163.6"/>
    <n v="149163.59999999998"/>
    <s v=""/>
    <d v="2022-03-30T00:00:00"/>
    <d v="2023-12-30T00:00:00"/>
    <n v="1812.45"/>
    <n v="1927.42"/>
    <s v="OK"/>
    <s v=""/>
    <s v=""/>
    <n v="192.71782945736436"/>
    <n v="3739.87"/>
    <n v="147236.18"/>
    <n v="0"/>
    <s v="0-3 Monaten"/>
    <n v="0"/>
    <n v="774"/>
  </r>
  <r>
    <x v="7"/>
    <s v="U0072"/>
    <s v="Storage"/>
    <n v="459"/>
    <s v="Occupied"/>
    <s v="Tenant_15"/>
    <n v="6229.63"/>
    <n v="74755.56"/>
    <n v="74755.56"/>
    <s v=""/>
    <d v="2023-08-28T00:00:00"/>
    <d v="2024-03-23T00:00:00"/>
    <n v="839.05"/>
    <n v="1029.51"/>
    <s v="OK"/>
    <s v=""/>
    <s v=""/>
    <n v="162.86614379084966"/>
    <n v="1868.56"/>
    <n v="73726.05"/>
    <n v="0"/>
    <s v="0-3 Monaten"/>
    <n v="0"/>
    <n v="459"/>
  </r>
  <r>
    <x v="0"/>
    <s v="U0073"/>
    <s v="Office"/>
    <n v="927"/>
    <s v="Vacant"/>
    <m/>
    <n v="0"/>
    <n v="0"/>
    <n v="0"/>
    <s v=""/>
    <m/>
    <m/>
    <n v="1487.73"/>
    <n v="523.38"/>
    <s v="OK"/>
    <s v=""/>
    <s v="Rent&lt;=0"/>
    <s v=""/>
    <n v="2011.1100000000001"/>
    <s v=""/>
    <n v="0"/>
    <s v=""/>
    <n v="927"/>
    <n v="0"/>
  </r>
  <r>
    <x v="5"/>
    <s v="U0074"/>
    <s v="Production"/>
    <n v="1369"/>
    <s v="Occupied"/>
    <s v="Tenant_146"/>
    <n v="9098.56"/>
    <n v="109182.72"/>
    <n v="109182.72"/>
    <s v=""/>
    <d v="2021-11-18T00:00:00"/>
    <d v="2025-11-28T00:00:00"/>
    <n v="3035.81"/>
    <n v="789.26"/>
    <s v="OK"/>
    <s v=""/>
    <s v=""/>
    <n v="79.7536303871439"/>
    <n v="3825.0699999999997"/>
    <n v="108393.46"/>
    <n v="0"/>
    <s v="0-3 Monaten"/>
    <n v="0"/>
    <n v="1369"/>
  </r>
  <r>
    <x v="4"/>
    <s v="U0075"/>
    <s v="Production"/>
    <n v="1119"/>
    <s v="Vacant"/>
    <m/>
    <n v="0"/>
    <n v="0"/>
    <n v="0"/>
    <s v=""/>
    <m/>
    <m/>
    <n v="1460.01"/>
    <n v="1920.7"/>
    <s v="OK"/>
    <s v=""/>
    <s v="Rent&lt;=0"/>
    <s v=""/>
    <n v="3380.71"/>
    <s v=""/>
    <n v="0"/>
    <s v=""/>
    <n v="1119"/>
    <n v="0"/>
  </r>
  <r>
    <x v="3"/>
    <s v="U0076"/>
    <s v="Storage"/>
    <n v="993"/>
    <s v="Occupied"/>
    <s v="Tenant_162"/>
    <n v="17011.32"/>
    <n v="204135.84"/>
    <n v="204135.84"/>
    <s v=""/>
    <d v="2022-03-02T00:00:00"/>
    <d v="2025-11-01T00:00:00"/>
    <n v="2542.87"/>
    <n v="1820.53"/>
    <s v="OK"/>
    <s v=""/>
    <s v=""/>
    <n v="205.57486404833836"/>
    <n v="4363.3999999999996"/>
    <n v="202315.31"/>
    <n v="0"/>
    <s v="0-3 Monaten"/>
    <n v="0"/>
    <n v="993"/>
  </r>
  <r>
    <x v="3"/>
    <s v="U0077"/>
    <s v="Office"/>
    <n v="1099"/>
    <s v="Occupied"/>
    <s v="Tenant_78"/>
    <n v="11054.6"/>
    <n v="132655.20000000001"/>
    <n v="132655.20000000001"/>
    <s v=""/>
    <d v="2022-03-19T00:00:00"/>
    <d v="2023-04-04T00:00:00"/>
    <n v="1524.91"/>
    <n v="789.8"/>
    <s v="OK"/>
    <s v=""/>
    <s v=""/>
    <n v="120.7053685168335"/>
    <n v="2314.71"/>
    <n v="131865.40000000002"/>
    <n v="0"/>
    <s v="0-3 Monaten"/>
    <n v="0"/>
    <n v="1099"/>
  </r>
  <r>
    <x v="3"/>
    <s v="U0078"/>
    <s v="Office"/>
    <n v="943"/>
    <s v="Occupied"/>
    <s v="Tenant_169"/>
    <n v="14044.29"/>
    <n v="168531.48"/>
    <n v="168531.48"/>
    <s v=""/>
    <d v="2022-03-28T00:00:00"/>
    <d v="2024-12-28T00:00:00"/>
    <n v="1699.11"/>
    <n v="726.23"/>
    <s v="OK"/>
    <s v=""/>
    <s v=""/>
    <n v="178.71843054082717"/>
    <n v="2425.34"/>
    <n v="167805.25"/>
    <n v="0"/>
    <s v="0-3 Monaten"/>
    <n v="0"/>
    <n v="943"/>
  </r>
  <r>
    <x v="3"/>
    <s v="U0079"/>
    <s v="Storage"/>
    <n v="1382"/>
    <s v="Occupied"/>
    <s v="Tenant_137"/>
    <n v="13899.61"/>
    <n v="166795.32"/>
    <n v="166795.32"/>
    <s v=""/>
    <d v="2022-01-21T00:00:00"/>
    <d v="2023-03-16T00:00:00"/>
    <n v="4141.54"/>
    <n v="1746.2"/>
    <s v="OK"/>
    <s v=""/>
    <s v=""/>
    <n v="120.69125904486252"/>
    <n v="5887.74"/>
    <n v="165049.12"/>
    <n v="0"/>
    <s v="0-3 Monaten"/>
    <n v="0"/>
    <n v="1382"/>
  </r>
  <r>
    <x v="0"/>
    <s v="U0080"/>
    <s v="Production"/>
    <n v="1269"/>
    <s v="Occupied"/>
    <s v="Tenant_199"/>
    <n v="14665.12"/>
    <n v="175981.44"/>
    <n v="175981.44"/>
    <s v=""/>
    <d v="2021-10-20T00:00:00"/>
    <d v="2023-12-19T00:00:00"/>
    <n v="2450.9499999999998"/>
    <n v="1901.64"/>
    <s v="OK"/>
    <s v=""/>
    <s v=""/>
    <n v="138.67725768321515"/>
    <n v="4352.59"/>
    <n v="174079.8"/>
    <n v="0"/>
    <s v="0-3 Monaten"/>
    <n v="0"/>
    <n v="1269"/>
  </r>
  <r>
    <x v="3"/>
    <s v="U0081"/>
    <s v="Production"/>
    <n v="810"/>
    <s v="Occupied"/>
    <s v="Tenant_75"/>
    <n v="10675.32"/>
    <n v="128103.84"/>
    <n v="128103.84"/>
    <s v=""/>
    <d v="2021-07-27T00:00:00"/>
    <d v="2026-04-24T00:00:00"/>
    <n v="2337.38"/>
    <n v="1229.04"/>
    <s v="OK"/>
    <s v=""/>
    <s v=""/>
    <n v="158.1528888888889"/>
    <n v="3566.42"/>
    <n v="126874.8"/>
    <n v="2"/>
    <s v="0-3 Monaten"/>
    <n v="0"/>
    <n v="810"/>
  </r>
  <r>
    <x v="0"/>
    <s v="U0082"/>
    <s v="Warehouse"/>
    <n v="264"/>
    <s v="Occupied"/>
    <s v="Tenant_154"/>
    <n v="2000.76"/>
    <n v="24009.119999999999"/>
    <n v="24009.119999999999"/>
    <s v=""/>
    <d v="2023-08-15T00:00:00"/>
    <d v="2027-05-02T00:00:00"/>
    <n v="591.83000000000004"/>
    <n v="527.71"/>
    <s v="OK"/>
    <s v=""/>
    <s v=""/>
    <n v="90.943636363636358"/>
    <n v="1119.54"/>
    <n v="23481.41"/>
    <n v="14"/>
    <s v="12 M+"/>
    <n v="0"/>
    <n v="264"/>
  </r>
  <r>
    <x v="2"/>
    <s v="U0083"/>
    <s v="Warehouse"/>
    <n v="1027"/>
    <s v="Occupied"/>
    <s v="Tenant_14"/>
    <n v="17595.91"/>
    <n v="211150.92"/>
    <n v="211150.91999999998"/>
    <s v=""/>
    <d v="2023-01-13T00:00:00"/>
    <d v="2024-10-16T00:00:00"/>
    <n v="2899.64"/>
    <n v="1582.88"/>
    <s v="OK"/>
    <s v=""/>
    <s v=""/>
    <n v="205.59972736124635"/>
    <n v="4482.5200000000004"/>
    <n v="209568.04"/>
    <n v="0"/>
    <s v="0-3 Monaten"/>
    <n v="0"/>
    <n v="1027"/>
  </r>
  <r>
    <x v="5"/>
    <s v="U0084"/>
    <s v="Warehouse"/>
    <n v="532"/>
    <s v="Occupied"/>
    <s v="Tenant_12"/>
    <n v="4854.97"/>
    <n v="58259.64"/>
    <n v="58259.64"/>
    <s v=""/>
    <d v="2021-12-27T00:00:00"/>
    <d v="2026-05-11T00:00:00"/>
    <n v="1101.52"/>
    <n v="1322.23"/>
    <s v="OK"/>
    <s v=""/>
    <s v=""/>
    <n v="109.5106015037594"/>
    <n v="2423.75"/>
    <n v="56937.409999999996"/>
    <n v="2"/>
    <s v="0-3 Monaten"/>
    <n v="0"/>
    <n v="532"/>
  </r>
  <r>
    <x v="2"/>
    <s v="U0085"/>
    <s v="Warehouse"/>
    <n v="851"/>
    <s v="Vacant"/>
    <m/>
    <n v="0"/>
    <n v="0"/>
    <n v="0"/>
    <s v=""/>
    <m/>
    <m/>
    <n v="1920.99"/>
    <n v="428.76"/>
    <s v="OK"/>
    <s v=""/>
    <s v="Rent&lt;=0"/>
    <s v=""/>
    <n v="2349.75"/>
    <s v=""/>
    <n v="0"/>
    <s v=""/>
    <n v="851"/>
    <n v="0"/>
  </r>
  <r>
    <x v="3"/>
    <s v="U0086"/>
    <s v="Storage"/>
    <n v="1278"/>
    <s v="Occupied"/>
    <s v="Tenant_200"/>
    <n v="22328.23"/>
    <n v="267938.76"/>
    <n v="267938.76"/>
    <s v=""/>
    <d v="2023-11-05T00:00:00"/>
    <d v="2025-01-22T00:00:00"/>
    <n v="1461.39"/>
    <n v="1872.63"/>
    <s v="OK"/>
    <s v=""/>
    <s v=""/>
    <n v="209.65474178403755"/>
    <n v="3334.0200000000004"/>
    <n v="266066.13"/>
    <n v="0"/>
    <s v="0-3 Monaten"/>
    <n v="0"/>
    <n v="1278"/>
  </r>
  <r>
    <x v="4"/>
    <s v="U0087"/>
    <s v="Storage"/>
    <n v="1251"/>
    <s v="Occupied"/>
    <s v="Tenant_95"/>
    <n v="21938.37"/>
    <n v="263260.44"/>
    <n v="263260.44"/>
    <s v=""/>
    <d v="2022-02-19T00:00:00"/>
    <d v="2023-12-22T00:00:00"/>
    <n v="1656.17"/>
    <n v="2373.21"/>
    <s v="OK"/>
    <s v=""/>
    <s v=""/>
    <n v="210.44"/>
    <n v="4029.38"/>
    <n v="260887.23"/>
    <n v="0"/>
    <s v="0-3 Monaten"/>
    <n v="0"/>
    <n v="1251"/>
  </r>
  <r>
    <x v="6"/>
    <s v="U0088"/>
    <s v="Storage"/>
    <n v="1493"/>
    <s v="Vacant"/>
    <m/>
    <n v="0"/>
    <n v="0"/>
    <n v="0"/>
    <s v=""/>
    <m/>
    <m/>
    <n v="3277.63"/>
    <n v="1764.78"/>
    <s v="OK"/>
    <s v=""/>
    <s v="Rent&lt;=0"/>
    <s v=""/>
    <n v="5042.41"/>
    <s v=""/>
    <n v="0"/>
    <s v=""/>
    <n v="1493"/>
    <n v="0"/>
  </r>
  <r>
    <x v="4"/>
    <s v="U0089"/>
    <s v="Storage"/>
    <n v="261"/>
    <s v="Occupied"/>
    <s v="Tenant_99"/>
    <n v="3617.72"/>
    <n v="43412.639999999999"/>
    <n v="43412.639999999999"/>
    <s v=""/>
    <d v="2021-08-19T00:00:00"/>
    <d v="2022-12-17T00:00:00"/>
    <n v="414.92"/>
    <n v="378.34"/>
    <s v="OK"/>
    <s v=""/>
    <s v=""/>
    <n v="166.3319540229885"/>
    <n v="793.26"/>
    <n v="43034.3"/>
    <n v="0"/>
    <s v="0-3 Monaten"/>
    <n v="0"/>
    <n v="261"/>
  </r>
  <r>
    <x v="5"/>
    <s v="U0090"/>
    <s v="Storage"/>
    <n v="1123"/>
    <s v="Occupied"/>
    <s v="Tenant_1"/>
    <n v="8230.8700000000008"/>
    <n v="98770.44"/>
    <n v="98770.44"/>
    <s v=""/>
    <d v="2023-07-17T00:00:00"/>
    <d v="2025-10-04T00:00:00"/>
    <n v="3281.53"/>
    <n v="1861.45"/>
    <s v="OK"/>
    <s v=""/>
    <s v=""/>
    <n v="87.95230632235085"/>
    <n v="5142.9800000000005"/>
    <n v="96908.99"/>
    <n v="0"/>
    <s v="0-3 Monaten"/>
    <n v="0"/>
    <n v="1123"/>
  </r>
  <r>
    <x v="3"/>
    <s v="U0091"/>
    <s v="Warehouse"/>
    <n v="1373"/>
    <s v="Occupied"/>
    <s v="Tenant_135"/>
    <n v="15020.63"/>
    <n v="180247.56"/>
    <n v="180247.56"/>
    <s v=""/>
    <d v="2022-12-01T00:00:00"/>
    <d v="2027-09-17T00:00:00"/>
    <n v="3865.96"/>
    <n v="2717.32"/>
    <s v="OK"/>
    <s v=""/>
    <s v=""/>
    <n v="131.28008739985432"/>
    <n v="6583.2800000000007"/>
    <n v="177530.23999999999"/>
    <n v="18"/>
    <s v="12 M+"/>
    <n v="0"/>
    <n v="1373"/>
  </r>
  <r>
    <x v="7"/>
    <s v="U0092"/>
    <s v="Production"/>
    <n v="231"/>
    <s v="Occupied"/>
    <s v="Tenant_31"/>
    <n v="2751.24"/>
    <n v="33014.879999999997"/>
    <n v="33014.879999999997"/>
    <s v=""/>
    <d v="2022-08-27T00:00:00"/>
    <d v="2025-02-01T00:00:00"/>
    <n v="639.9"/>
    <n v="403.5"/>
    <s v="OK"/>
    <s v=""/>
    <s v=""/>
    <n v="142.92155844155843"/>
    <n v="1043.4000000000001"/>
    <n v="32611.379999999997"/>
    <n v="0"/>
    <s v="0-3 Monaten"/>
    <n v="0"/>
    <n v="231"/>
  </r>
  <r>
    <x v="4"/>
    <s v="U0093"/>
    <s v="Office"/>
    <n v="1023"/>
    <s v="Occupied"/>
    <s v="Tenant_73"/>
    <n v="6654.49"/>
    <n v="79853.88"/>
    <n v="79853.88"/>
    <s v=""/>
    <d v="2022-05-12T00:00:00"/>
    <d v="2022-12-29T00:00:00"/>
    <n v="1631.69"/>
    <n v="872.68"/>
    <s v="OK"/>
    <s v=""/>
    <s v=""/>
    <n v="78.05853372434018"/>
    <n v="2504.37"/>
    <n v="78981.200000000012"/>
    <n v="0"/>
    <s v="0-3 Monaten"/>
    <n v="0"/>
    <n v="1023"/>
  </r>
  <r>
    <x v="7"/>
    <s v="U0094"/>
    <s v="Office"/>
    <n v="497"/>
    <s v="Occupied"/>
    <s v="Tenant_35"/>
    <n v="4832.59"/>
    <n v="57991.08"/>
    <n v="57991.08"/>
    <s v=""/>
    <d v="2022-04-14T00:00:00"/>
    <d v="2027-01-09T00:00:00"/>
    <n v="757.5"/>
    <n v="752.15"/>
    <s v="OK"/>
    <s v=""/>
    <s v=""/>
    <n v="116.68225352112677"/>
    <n v="1509.65"/>
    <n v="57238.93"/>
    <n v="10"/>
    <s v="6-12 Monaten"/>
    <n v="0"/>
    <n v="497"/>
  </r>
  <r>
    <x v="7"/>
    <s v="U0095"/>
    <s v="Office"/>
    <n v="622"/>
    <s v="Vacant"/>
    <m/>
    <n v="0"/>
    <n v="0"/>
    <n v="0"/>
    <s v=""/>
    <m/>
    <m/>
    <n v="1683.4"/>
    <n v="1169.6500000000001"/>
    <s v="OK"/>
    <s v=""/>
    <s v="Rent&lt;=0"/>
    <s v=""/>
    <n v="2853.05"/>
    <s v=""/>
    <n v="0"/>
    <s v=""/>
    <n v="622"/>
    <n v="0"/>
  </r>
  <r>
    <x v="5"/>
    <s v="U0096"/>
    <s v="Production"/>
    <n v="849"/>
    <s v="Occupied"/>
    <s v="Tenant_139"/>
    <n v="10360.540000000001"/>
    <n v="124326.48"/>
    <n v="124326.48000000001"/>
    <s v=""/>
    <d v="2023-01-29T00:00:00"/>
    <d v="2025-10-07T00:00:00"/>
    <n v="1006.94"/>
    <n v="2024.53"/>
    <s v="OK"/>
    <s v=""/>
    <s v=""/>
    <n v="146.43872791519433"/>
    <n v="3031.4700000000003"/>
    <n v="122301.95"/>
    <n v="0"/>
    <s v="0-3 Monaten"/>
    <n v="0"/>
    <n v="849"/>
  </r>
  <r>
    <x v="4"/>
    <s v="U0097"/>
    <s v="Storage"/>
    <n v="1344"/>
    <s v="Occupied"/>
    <s v="Tenant_197"/>
    <n v="17431.07"/>
    <n v="209172.84"/>
    <n v="209172.84"/>
    <s v=""/>
    <d v="2022-05-04T00:00:00"/>
    <d v="2026-12-07T00:00:00"/>
    <n v="1941.25"/>
    <n v="1585.33"/>
    <s v="OK"/>
    <s v=""/>
    <s v=""/>
    <n v="155.63455357142857"/>
    <n v="3526.58"/>
    <n v="207587.51"/>
    <n v="9"/>
    <s v="6-12 Monaten"/>
    <n v="0"/>
    <n v="1344"/>
  </r>
  <r>
    <x v="2"/>
    <s v="U0098"/>
    <s v="Warehouse"/>
    <n v="116"/>
    <s v="Occupied"/>
    <s v="Tenant_138"/>
    <n v="822.62"/>
    <n v="9871.44"/>
    <n v="9871.44"/>
    <s v=""/>
    <d v="2022-12-20T00:00:00"/>
    <d v="2027-03-20T00:00:00"/>
    <n v="223.71"/>
    <n v="73.53"/>
    <s v="OK"/>
    <s v=""/>
    <s v=""/>
    <n v="85.098620689655178"/>
    <n v="297.24"/>
    <n v="9797.91"/>
    <n v="13"/>
    <s v="12 M+"/>
    <n v="0"/>
    <n v="116"/>
  </r>
  <r>
    <x v="7"/>
    <s v="U0099"/>
    <s v="Office"/>
    <n v="183"/>
    <s v="Occupied"/>
    <s v="Tenant_13"/>
    <n v="2803.49"/>
    <n v="33641.879999999997"/>
    <n v="33641.879999999997"/>
    <s v=""/>
    <d v="2021-08-19T00:00:00"/>
    <d v="2024-11-16T00:00:00"/>
    <n v="539.13"/>
    <n v="268.35000000000002"/>
    <s v="OK"/>
    <s v=""/>
    <s v=""/>
    <n v="183.83540983606557"/>
    <n v="807.48"/>
    <n v="33373.53"/>
    <n v="0"/>
    <s v="0-3 Monaten"/>
    <n v="0"/>
    <n v="183"/>
  </r>
  <r>
    <x v="1"/>
    <s v="U0100"/>
    <s v="Storage"/>
    <n v="1395"/>
    <s v="Vacant"/>
    <m/>
    <n v="0"/>
    <n v="0"/>
    <n v="0"/>
    <s v=""/>
    <m/>
    <m/>
    <n v="3231.81"/>
    <n v="1310.99"/>
    <s v="OK"/>
    <s v=""/>
    <s v="Rent&lt;=0"/>
    <s v=""/>
    <n v="4542.8"/>
    <s v=""/>
    <n v="0"/>
    <s v=""/>
    <n v="1395"/>
    <n v="0"/>
  </r>
  <r>
    <x v="5"/>
    <s v="U0101"/>
    <s v="Production"/>
    <n v="1065"/>
    <s v="Occupied"/>
    <s v="Tenant_20"/>
    <n v="14858.32"/>
    <n v="178299.84"/>
    <n v="178299.84"/>
    <s v=""/>
    <d v="2022-01-15T00:00:00"/>
    <d v="2025-02-03T00:00:00"/>
    <n v="2502.0500000000002"/>
    <n v="1156.8399999999999"/>
    <s v="OK"/>
    <s v=""/>
    <s v=""/>
    <n v="167.41769014084505"/>
    <n v="3658.8900000000003"/>
    <n v="177143"/>
    <n v="0"/>
    <s v="0-3 Monaten"/>
    <n v="0"/>
    <n v="1065"/>
  </r>
  <r>
    <x v="5"/>
    <s v="U0102"/>
    <s v="Storage"/>
    <n v="721"/>
    <s v="Occupied"/>
    <s v="Tenant_112"/>
    <n v="6681.26"/>
    <n v="80175.12"/>
    <n v="80175.12"/>
    <s v=""/>
    <d v="2023-06-21T00:00:00"/>
    <d v="2025-02-07T00:00:00"/>
    <n v="1724.32"/>
    <n v="844.5"/>
    <s v="OK"/>
    <s v=""/>
    <s v=""/>
    <n v="111.19988904299584"/>
    <n v="2568.8199999999997"/>
    <n v="79330.62"/>
    <n v="0"/>
    <s v="0-3 Monaten"/>
    <n v="0"/>
    <n v="721"/>
  </r>
  <r>
    <x v="5"/>
    <s v="U0103"/>
    <s v="Office"/>
    <n v="1463"/>
    <s v="Occupied"/>
    <s v="Tenant_117"/>
    <n v="15641.4"/>
    <n v="187696.8"/>
    <n v="187696.8"/>
    <s v=""/>
    <d v="2023-08-03T00:00:00"/>
    <d v="2024-03-25T00:00:00"/>
    <n v="3725.54"/>
    <n v="2016.14"/>
    <s v="OK"/>
    <s v=""/>
    <s v=""/>
    <n v="128.29583048530415"/>
    <n v="5741.68"/>
    <n v="185680.65999999997"/>
    <n v="0"/>
    <s v="0-3 Monaten"/>
    <n v="0"/>
    <n v="1463"/>
  </r>
  <r>
    <x v="4"/>
    <s v="U0104"/>
    <s v="Warehouse"/>
    <n v="1130"/>
    <s v="Occupied"/>
    <s v="Tenant_9"/>
    <n v="15994.59"/>
    <n v="191935.08"/>
    <n v="191935.08000000002"/>
    <s v=""/>
    <d v="2023-07-11T00:00:00"/>
    <d v="2024-03-22T00:00:00"/>
    <n v="1937.67"/>
    <n v="634.20000000000005"/>
    <s v="OK"/>
    <s v=""/>
    <s v=""/>
    <n v="169.85405309734512"/>
    <n v="2571.87"/>
    <n v="191300.87999999998"/>
    <n v="0"/>
    <s v="0-3 Monaten"/>
    <n v="0"/>
    <n v="1130"/>
  </r>
  <r>
    <x v="3"/>
    <s v="U0105"/>
    <s v="Storage"/>
    <n v="801"/>
    <s v="Occupied"/>
    <s v="Tenant_112"/>
    <n v="11553.99"/>
    <n v="138647.88"/>
    <n v="138647.88"/>
    <s v=""/>
    <d v="2022-11-04T00:00:00"/>
    <d v="2023-08-29T00:00:00"/>
    <n v="2135.1799999999998"/>
    <n v="1156.3800000000001"/>
    <s v="OK"/>
    <s v=""/>
    <s v=""/>
    <n v="173.09348314606743"/>
    <n v="3291.56"/>
    <n v="137491.5"/>
    <n v="0"/>
    <s v="0-3 Monaten"/>
    <n v="0"/>
    <n v="801"/>
  </r>
  <r>
    <x v="3"/>
    <s v="U0106"/>
    <s v="Storage"/>
    <n v="97"/>
    <s v="Occupied"/>
    <s v="Tenant_102"/>
    <n v="894.59"/>
    <n v="10735.08"/>
    <n v="10735.08"/>
    <s v=""/>
    <d v="2021-12-15T00:00:00"/>
    <d v="2024-05-14T00:00:00"/>
    <n v="109.14"/>
    <n v="80.010000000000005"/>
    <s v="OK"/>
    <s v=""/>
    <s v=""/>
    <n v="110.67092783505154"/>
    <n v="189.15"/>
    <n v="10655.07"/>
    <n v="0"/>
    <s v="0-3 Monaten"/>
    <n v="0"/>
    <n v="97"/>
  </r>
  <r>
    <x v="1"/>
    <s v="U0107"/>
    <s v="Production"/>
    <n v="386"/>
    <s v="Occupied"/>
    <s v="Tenant_5"/>
    <n v="3481.61"/>
    <n v="41779.32"/>
    <n v="41779.32"/>
    <s v=""/>
    <d v="2022-04-13T00:00:00"/>
    <d v="2023-10-15T00:00:00"/>
    <n v="855.32"/>
    <n v="736.23"/>
    <s v="OK"/>
    <s v=""/>
    <s v=""/>
    <n v="108.23658031088083"/>
    <n v="1591.5500000000002"/>
    <n v="41043.089999999997"/>
    <n v="0"/>
    <s v="0-3 Monaten"/>
    <n v="0"/>
    <n v="386"/>
  </r>
  <r>
    <x v="4"/>
    <s v="U0108"/>
    <s v="Production"/>
    <n v="345"/>
    <s v="Vacant"/>
    <m/>
    <n v="0"/>
    <n v="0"/>
    <n v="0"/>
    <s v=""/>
    <m/>
    <m/>
    <n v="765.65"/>
    <n v="199.2"/>
    <s v="OK"/>
    <s v=""/>
    <s v="Rent&lt;=0"/>
    <s v=""/>
    <n v="964.84999999999991"/>
    <s v=""/>
    <n v="0"/>
    <s v=""/>
    <n v="345"/>
    <n v="0"/>
  </r>
  <r>
    <x v="6"/>
    <s v="U0109"/>
    <s v="Warehouse"/>
    <n v="59"/>
    <s v="Occupied"/>
    <s v="Tenant_30"/>
    <n v="977.51"/>
    <n v="11730.12"/>
    <n v="11730.119999999999"/>
    <s v=""/>
    <d v="2022-05-23T00:00:00"/>
    <d v="2023-04-13T00:00:00"/>
    <n v="86.67"/>
    <n v="109.31"/>
    <s v="OK"/>
    <s v=""/>
    <s v=""/>
    <n v="198.815593220339"/>
    <n v="195.98000000000002"/>
    <n v="11620.810000000001"/>
    <n v="0"/>
    <s v="0-3 Monaten"/>
    <n v="0"/>
    <n v="59"/>
  </r>
  <r>
    <x v="4"/>
    <s v="U0110"/>
    <s v="Office"/>
    <n v="1465"/>
    <s v="Occupied"/>
    <s v="Tenant_91"/>
    <n v="16343.52"/>
    <n v="196122.23999999999"/>
    <n v="196122.23999999999"/>
    <s v=""/>
    <d v="2022-01-17T00:00:00"/>
    <d v="2023-06-15T00:00:00"/>
    <n v="3125.12"/>
    <n v="1682.43"/>
    <s v="OK"/>
    <s v=""/>
    <s v=""/>
    <n v="133.87183617747439"/>
    <n v="4807.55"/>
    <n v="194439.81"/>
    <n v="0"/>
    <s v="0-3 Monaten"/>
    <n v="0"/>
    <n v="1465"/>
  </r>
  <r>
    <x v="4"/>
    <s v="U0111"/>
    <s v="Production"/>
    <n v="1233"/>
    <s v="Occupied"/>
    <s v="Tenant_20"/>
    <n v="9133.7800000000007"/>
    <n v="109605.36"/>
    <n v="109605.36000000002"/>
    <s v=""/>
    <d v="2022-06-02T00:00:00"/>
    <d v="2023-05-05T00:00:00"/>
    <n v="3572.99"/>
    <n v="2834.51"/>
    <s v="OK"/>
    <s v=""/>
    <s v=""/>
    <n v="88.893236009732362"/>
    <n v="6407.5"/>
    <n v="106770.85"/>
    <n v="0"/>
    <s v="0-3 Monaten"/>
    <n v="0"/>
    <n v="1233"/>
  </r>
  <r>
    <x v="4"/>
    <s v="U0112"/>
    <s v="Warehouse"/>
    <n v="465"/>
    <s v="Occupied"/>
    <s v="Tenant_171"/>
    <n v="6922.64"/>
    <n v="83071.679999999993"/>
    <n v="83071.680000000008"/>
    <s v=""/>
    <d v="2023-08-15T00:00:00"/>
    <d v="2026-01-22T00:00:00"/>
    <n v="489.24"/>
    <n v="991.64"/>
    <s v="OK"/>
    <s v=""/>
    <s v=""/>
    <n v="178.64877419354838"/>
    <n v="1480.88"/>
    <n v="82080.039999999994"/>
    <n v="0"/>
    <s v="0-3 Monaten"/>
    <n v="0"/>
    <n v="465"/>
  </r>
  <r>
    <x v="6"/>
    <s v="U0113"/>
    <s v="Office"/>
    <n v="630"/>
    <s v="Occupied"/>
    <s v="Tenant_198"/>
    <n v="6023.15"/>
    <n v="72277.8"/>
    <n v="72277.799999999988"/>
    <s v=""/>
    <d v="2021-08-02T00:00:00"/>
    <d v="2022-02-17T00:00:00"/>
    <n v="1723.45"/>
    <n v="374.59"/>
    <s v="OK"/>
    <s v=""/>
    <s v=""/>
    <n v="114.72666666666667"/>
    <n v="2098.04"/>
    <n v="71903.210000000006"/>
    <n v="0"/>
    <s v="0-3 Monaten"/>
    <n v="0"/>
    <n v="630"/>
  </r>
  <r>
    <x v="6"/>
    <s v="U0114"/>
    <s v="Production"/>
    <n v="87"/>
    <s v="Occupied"/>
    <s v="Tenant_79"/>
    <n v="1470.37"/>
    <n v="17644.439999999999"/>
    <n v="17644.439999999999"/>
    <s v=""/>
    <d v="2023-08-14T00:00:00"/>
    <d v="2025-01-21T00:00:00"/>
    <n v="99.7"/>
    <n v="100.81"/>
    <s v="OK"/>
    <s v=""/>
    <s v=""/>
    <n v="202.80965517241378"/>
    <n v="200.51"/>
    <n v="17543.629999999997"/>
    <n v="0"/>
    <s v="0-3 Monaten"/>
    <n v="0"/>
    <n v="87"/>
  </r>
  <r>
    <x v="7"/>
    <s v="U0115"/>
    <s v="Warehouse"/>
    <n v="1287"/>
    <s v="Occupied"/>
    <s v="Tenant_189"/>
    <n v="13446.79"/>
    <n v="161361.48000000001"/>
    <n v="161361.48000000001"/>
    <s v=""/>
    <d v="2023-05-03T00:00:00"/>
    <d v="2025-04-04T00:00:00"/>
    <n v="1738.18"/>
    <n v="1274.7"/>
    <s v="OK"/>
    <s v=""/>
    <s v=""/>
    <n v="125.37799533799534"/>
    <n v="3012.88"/>
    <n v="160086.78"/>
    <n v="0"/>
    <s v="0-3 Monaten"/>
    <n v="0"/>
    <n v="1287"/>
  </r>
  <r>
    <x v="0"/>
    <s v="U0116"/>
    <s v="Office"/>
    <n v="1093"/>
    <s v="Occupied"/>
    <s v="Tenant_186"/>
    <n v="9060.3799999999992"/>
    <n v="108724.56"/>
    <n v="108724.56"/>
    <s v=""/>
    <d v="2021-06-04T00:00:00"/>
    <d v="2022-08-30T00:00:00"/>
    <n v="2071.89"/>
    <n v="1149.04"/>
    <s v="OK"/>
    <s v=""/>
    <s v=""/>
    <n v="99.473522415370539"/>
    <n v="3220.93"/>
    <n v="107575.52"/>
    <n v="0"/>
    <s v="0-3 Monaten"/>
    <n v="0"/>
    <n v="1093"/>
  </r>
  <r>
    <x v="2"/>
    <s v="U0117"/>
    <s v="Production"/>
    <n v="933"/>
    <s v="Occupied"/>
    <s v="Tenant_47"/>
    <n v="9759.31"/>
    <n v="117111.72"/>
    <n v="117111.72"/>
    <s v=""/>
    <d v="2022-12-17T00:00:00"/>
    <d v="2026-01-17T00:00:00"/>
    <n v="1922.44"/>
    <n v="2006.19"/>
    <s v="OK"/>
    <s v=""/>
    <s v=""/>
    <n v="125.52167202572348"/>
    <n v="3928.63"/>
    <n v="115105.53"/>
    <n v="0"/>
    <s v="0-3 Monaten"/>
    <n v="0"/>
    <n v="933"/>
  </r>
  <r>
    <x v="3"/>
    <s v="U0118"/>
    <s v="Storage"/>
    <n v="888"/>
    <s v="Occupied"/>
    <s v="Tenant_21"/>
    <n v="11089.95"/>
    <n v="133079.4"/>
    <n v="133079.40000000002"/>
    <s v=""/>
    <d v="2023-04-25T00:00:00"/>
    <d v="2026-09-08T00:00:00"/>
    <n v="1887.83"/>
    <n v="1468.82"/>
    <s v="OK"/>
    <s v=""/>
    <s v=""/>
    <n v="149.86418918918918"/>
    <n v="3356.6499999999996"/>
    <n v="131610.57999999999"/>
    <n v="6"/>
    <s v="3-6 Monaten"/>
    <n v="0"/>
    <n v="888"/>
  </r>
  <r>
    <x v="3"/>
    <s v="U0119"/>
    <s v="Production"/>
    <n v="169"/>
    <s v="Occupied"/>
    <s v="Tenant_190"/>
    <n v="1236.1199999999999"/>
    <n v="14833.44"/>
    <n v="14833.439999999999"/>
    <s v=""/>
    <d v="2022-11-07T00:00:00"/>
    <d v="2027-04-03T00:00:00"/>
    <n v="468.8"/>
    <n v="305.07"/>
    <s v="OK"/>
    <s v=""/>
    <s v=""/>
    <n v="87.771834319526633"/>
    <n v="773.87"/>
    <n v="14528.37"/>
    <n v="13"/>
    <s v="12 M+"/>
    <n v="0"/>
    <n v="169"/>
  </r>
  <r>
    <x v="2"/>
    <s v="U0120"/>
    <s v="Production"/>
    <n v="527"/>
    <s v="Vacant"/>
    <m/>
    <n v="0"/>
    <n v="0"/>
    <n v="0"/>
    <s v=""/>
    <m/>
    <m/>
    <n v="1506.38"/>
    <n v="521.04"/>
    <s v="OK"/>
    <s v=""/>
    <s v="Rent&lt;=0"/>
    <s v=""/>
    <n v="2027.42"/>
    <s v=""/>
    <n v="0"/>
    <s v=""/>
    <n v="527"/>
    <n v="0"/>
  </r>
  <r>
    <x v="0"/>
    <s v="U0121"/>
    <s v="Warehouse"/>
    <n v="477"/>
    <s v="Occupied"/>
    <s v="Tenant_44"/>
    <n v="8416.06"/>
    <n v="100992.72"/>
    <n v="100992.72"/>
    <s v=""/>
    <d v="2023-10-02T00:00:00"/>
    <d v="2027-06-22T00:00:00"/>
    <n v="912.3"/>
    <n v="585.48"/>
    <s v="OK"/>
    <s v=""/>
    <s v=""/>
    <n v="211.72477987421385"/>
    <n v="1497.78"/>
    <n v="100407.24"/>
    <n v="16"/>
    <s v="12 M+"/>
    <n v="0"/>
    <n v="477"/>
  </r>
  <r>
    <x v="7"/>
    <s v="U0122"/>
    <s v="Production"/>
    <n v="1400"/>
    <s v="Occupied"/>
    <s v="Tenant_75"/>
    <n v="16978.580000000002"/>
    <n v="203742.96"/>
    <n v="203742.96000000002"/>
    <s v=""/>
    <d v="2021-07-25T00:00:00"/>
    <d v="2023-01-19T00:00:00"/>
    <n v="2305.11"/>
    <n v="1813.17"/>
    <s v="OK"/>
    <s v=""/>
    <s v=""/>
    <n v="145.53068571428571"/>
    <n v="4118.2800000000007"/>
    <n v="201929.78999999998"/>
    <n v="0"/>
    <s v="0-3 Monaten"/>
    <n v="0"/>
    <n v="1400"/>
  </r>
  <r>
    <x v="7"/>
    <s v="U0123"/>
    <s v="Office"/>
    <n v="150"/>
    <s v="Occupied"/>
    <s v="Tenant_68"/>
    <n v="1137.44"/>
    <n v="13649.28"/>
    <n v="13649.28"/>
    <s v=""/>
    <d v="2021-11-02T00:00:00"/>
    <d v="2026-06-05T00:00:00"/>
    <n v="419.71"/>
    <n v="288.17"/>
    <s v="OK"/>
    <s v=""/>
    <s v=""/>
    <n v="90.995200000000011"/>
    <n v="707.88"/>
    <n v="13361.11"/>
    <n v="3"/>
    <s v="0-3 Monaten"/>
    <n v="0"/>
    <n v="150"/>
  </r>
  <r>
    <x v="1"/>
    <s v="U0124"/>
    <s v="Office"/>
    <n v="1370"/>
    <s v="Occupied"/>
    <s v="Tenant_55"/>
    <n v="10873.29"/>
    <n v="130479.48"/>
    <n v="130479.48000000001"/>
    <s v=""/>
    <d v="2022-10-18T00:00:00"/>
    <d v="2026-10-12T00:00:00"/>
    <n v="4001.92"/>
    <n v="1098.17"/>
    <s v="OK"/>
    <s v=""/>
    <s v=""/>
    <n v="95.240496350364964"/>
    <n v="5100.09"/>
    <n v="129381.31"/>
    <n v="7"/>
    <s v="6-12 Monaten"/>
    <n v="0"/>
    <n v="1370"/>
  </r>
  <r>
    <x v="0"/>
    <s v="U0125"/>
    <s v="Production"/>
    <n v="1413"/>
    <s v="Occupied"/>
    <s v="Tenant_103"/>
    <n v="20651.169999999998"/>
    <n v="247814.04"/>
    <n v="247814.03999999998"/>
    <s v=""/>
    <d v="2022-03-13T00:00:00"/>
    <d v="2025-03-14T00:00:00"/>
    <n v="2830.58"/>
    <n v="2820.6"/>
    <s v="OK"/>
    <s v=""/>
    <s v=""/>
    <n v="175.38148619957536"/>
    <n v="5651.18"/>
    <n v="244993.44"/>
    <n v="0"/>
    <s v="0-3 Monaten"/>
    <n v="0"/>
    <n v="1413"/>
  </r>
  <r>
    <x v="3"/>
    <s v="U0126"/>
    <s v="Warehouse"/>
    <n v="1292"/>
    <s v="Occupied"/>
    <s v="Tenant_19"/>
    <n v="18273.009999999998"/>
    <n v="219276.12"/>
    <n v="219276.12"/>
    <s v=""/>
    <d v="2023-05-25T00:00:00"/>
    <d v="2025-10-06T00:00:00"/>
    <n v="2717.01"/>
    <n v="2641.22"/>
    <s v="OK"/>
    <s v=""/>
    <s v=""/>
    <n v="169.71835913312694"/>
    <n v="5358.23"/>
    <n v="216634.9"/>
    <n v="0"/>
    <s v="0-3 Monaten"/>
    <n v="0"/>
    <n v="1292"/>
  </r>
  <r>
    <x v="7"/>
    <s v="U0127"/>
    <s v="Warehouse"/>
    <n v="1474"/>
    <s v="Occupied"/>
    <s v="Tenant_174"/>
    <n v="12489.04"/>
    <n v="149868.48000000001"/>
    <n v="149868.48000000001"/>
    <s v=""/>
    <d v="2021-10-13T00:00:00"/>
    <d v="2025-11-29T00:00:00"/>
    <n v="2508.23"/>
    <n v="2535.34"/>
    <s v="OK"/>
    <s v=""/>
    <s v=""/>
    <n v="101.67468113975578"/>
    <n v="5043.57"/>
    <n v="147333.14000000001"/>
    <n v="0"/>
    <s v="0-3 Monaten"/>
    <n v="0"/>
    <n v="1474"/>
  </r>
  <r>
    <x v="4"/>
    <s v="U0128"/>
    <s v="Warehouse"/>
    <n v="1225"/>
    <s v="Occupied"/>
    <s v="Tenant_122"/>
    <n v="14304.18"/>
    <n v="171650.16"/>
    <n v="171650.16"/>
    <s v=""/>
    <d v="2022-09-29T00:00:00"/>
    <d v="2024-08-05T00:00:00"/>
    <n v="3609.61"/>
    <n v="918.32"/>
    <s v="OK"/>
    <s v=""/>
    <s v=""/>
    <n v="140.12257959183674"/>
    <n v="4527.93"/>
    <n v="170731.84"/>
    <n v="0"/>
    <s v="0-3 Monaten"/>
    <n v="0"/>
    <n v="1225"/>
  </r>
  <r>
    <x v="5"/>
    <s v="U0129"/>
    <s v="Office"/>
    <n v="1378"/>
    <s v="Occupied"/>
    <s v="Tenant_161"/>
    <n v="15987.33"/>
    <n v="191847.96"/>
    <n v="191847.96"/>
    <s v=""/>
    <d v="2021-07-06T00:00:00"/>
    <d v="2025-01-26T00:00:00"/>
    <n v="3719.22"/>
    <n v="811.41"/>
    <s v="OK"/>
    <s v=""/>
    <s v=""/>
    <n v="139.2220319303338"/>
    <n v="4530.63"/>
    <n v="191036.55"/>
    <n v="0"/>
    <s v="0-3 Monaten"/>
    <n v="0"/>
    <n v="1378"/>
  </r>
  <r>
    <x v="1"/>
    <s v="U0130"/>
    <s v="Office"/>
    <n v="621"/>
    <s v="Vacant"/>
    <m/>
    <n v="0"/>
    <n v="0"/>
    <n v="0"/>
    <s v=""/>
    <m/>
    <m/>
    <n v="1530.41"/>
    <n v="963.88"/>
    <s v="OK"/>
    <s v=""/>
    <s v="Rent&lt;=0"/>
    <s v=""/>
    <n v="2494.29"/>
    <s v=""/>
    <n v="0"/>
    <s v=""/>
    <n v="621"/>
    <n v="0"/>
  </r>
  <r>
    <x v="5"/>
    <s v="U0131"/>
    <s v="Office"/>
    <n v="265"/>
    <s v="Occupied"/>
    <s v="Tenant_152"/>
    <n v="4558.95"/>
    <n v="54707.4"/>
    <n v="54707.399999999994"/>
    <s v=""/>
    <d v="2021-08-16T00:00:00"/>
    <d v="2024-12-21T00:00:00"/>
    <n v="510.13"/>
    <n v="327.23"/>
    <s v="OK"/>
    <s v=""/>
    <s v=""/>
    <n v="206.44301886792454"/>
    <n v="837.36"/>
    <n v="54380.17"/>
    <n v="0"/>
    <s v="0-3 Monaten"/>
    <n v="0"/>
    <n v="265"/>
  </r>
  <r>
    <x v="6"/>
    <s v="U0132"/>
    <s v="Storage"/>
    <n v="1329"/>
    <s v="Occupied"/>
    <s v="Tenant_89"/>
    <n v="21552"/>
    <n v="258624"/>
    <n v="258624"/>
    <s v=""/>
    <d v="2023-04-30T00:00:00"/>
    <d v="2025-04-21T00:00:00"/>
    <n v="2758"/>
    <n v="1530.66"/>
    <s v="OK"/>
    <s v=""/>
    <s v=""/>
    <n v="194.60045146726861"/>
    <n v="4288.66"/>
    <n v="257093.34"/>
    <n v="0"/>
    <s v="0-3 Monaten"/>
    <n v="0"/>
    <n v="1329"/>
  </r>
  <r>
    <x v="6"/>
    <s v="U0133"/>
    <s v="Storage"/>
    <n v="720"/>
    <s v="Occupied"/>
    <s v="Tenant_50"/>
    <n v="8217.56"/>
    <n v="98610.72"/>
    <n v="98610.72"/>
    <s v=""/>
    <d v="2023-02-05T00:00:00"/>
    <d v="2025-08-22T00:00:00"/>
    <n v="951.34"/>
    <n v="1092.56"/>
    <s v="OK"/>
    <s v=""/>
    <s v=""/>
    <n v="136.95933333333335"/>
    <n v="2043.9"/>
    <n v="97518.16"/>
    <n v="0"/>
    <s v="0-3 Monaten"/>
    <n v="0"/>
    <n v="720"/>
  </r>
  <r>
    <x v="1"/>
    <s v="U0134"/>
    <s v="Office"/>
    <n v="717"/>
    <s v="Occupied"/>
    <s v="Tenant_161"/>
    <n v="7969.82"/>
    <n v="95637.84"/>
    <n v="95637.84"/>
    <s v=""/>
    <d v="2022-06-25T00:00:00"/>
    <d v="2027-05-12T00:00:00"/>
    <n v="1312.69"/>
    <n v="1207.94"/>
    <s v="OK"/>
    <s v=""/>
    <s v=""/>
    <n v="133.38610878661086"/>
    <n v="2520.63"/>
    <n v="94429.9"/>
    <n v="14"/>
    <s v="12 M+"/>
    <n v="0"/>
    <n v="717"/>
  </r>
  <r>
    <x v="7"/>
    <s v="U0135"/>
    <s v="Production"/>
    <n v="794"/>
    <s v="Vacant"/>
    <m/>
    <n v="0"/>
    <n v="0"/>
    <n v="0"/>
    <s v=""/>
    <m/>
    <m/>
    <n v="1195.74"/>
    <n v="1212.1400000000001"/>
    <s v="OK"/>
    <s v=""/>
    <s v="Rent&lt;=0"/>
    <s v=""/>
    <n v="2407.88"/>
    <s v=""/>
    <n v="0"/>
    <s v=""/>
    <n v="794"/>
    <n v="0"/>
  </r>
  <r>
    <x v="5"/>
    <s v="U0136"/>
    <s v="Storage"/>
    <n v="484"/>
    <s v="Occupied"/>
    <s v="Tenant_119"/>
    <n v="2978.34"/>
    <n v="35740.080000000002"/>
    <n v="35740.080000000002"/>
    <s v=""/>
    <d v="2023-03-27T00:00:00"/>
    <d v="2027-11-02T00:00:00"/>
    <n v="1150.81"/>
    <n v="471.75"/>
    <s v="OK"/>
    <s v=""/>
    <s v=""/>
    <n v="73.843140495867772"/>
    <n v="1622.56"/>
    <n v="35268.33"/>
    <n v="20"/>
    <s v="12 M+"/>
    <n v="0"/>
    <n v="484"/>
  </r>
  <r>
    <x v="7"/>
    <s v="U0137"/>
    <s v="Office"/>
    <n v="1024"/>
    <s v="Occupied"/>
    <s v="Tenant_168"/>
    <n v="8410.08"/>
    <n v="100920.96000000001"/>
    <n v="100920.95999999999"/>
    <s v=""/>
    <d v="2023-02-27T00:00:00"/>
    <d v="2027-01-26T00:00:00"/>
    <n v="1260.0999999999999"/>
    <n v="1157.5999999999999"/>
    <s v="OK"/>
    <s v=""/>
    <s v=""/>
    <n v="98.555625000000006"/>
    <n v="2417.6999999999998"/>
    <n v="99763.36"/>
    <n v="11"/>
    <s v="6-12 Monaten"/>
    <n v="0"/>
    <n v="1024"/>
  </r>
  <r>
    <x v="7"/>
    <s v="U0138"/>
    <s v="Production"/>
    <n v="999"/>
    <s v="Occupied"/>
    <s v="Tenant_183"/>
    <n v="6966.64"/>
    <n v="83599.679999999993"/>
    <n v="83599.680000000008"/>
    <s v=""/>
    <d v="2021-09-16T00:00:00"/>
    <d v="2026-06-26T00:00:00"/>
    <n v="1310.47"/>
    <n v="595.6"/>
    <s v="OK"/>
    <s v=""/>
    <s v=""/>
    <n v="83.683363363363355"/>
    <n v="1906.0700000000002"/>
    <n v="83004.079999999987"/>
    <n v="4"/>
    <s v="3-6 Monaten"/>
    <n v="0"/>
    <n v="999"/>
  </r>
  <r>
    <x v="2"/>
    <s v="U0139"/>
    <s v="Warehouse"/>
    <n v="1024"/>
    <s v="Vacant"/>
    <m/>
    <n v="0"/>
    <n v="0"/>
    <n v="0"/>
    <s v=""/>
    <m/>
    <m/>
    <n v="2609.42"/>
    <n v="946.26"/>
    <s v="OK"/>
    <s v=""/>
    <s v="Rent&lt;=0"/>
    <s v=""/>
    <n v="3555.6800000000003"/>
    <s v=""/>
    <n v="0"/>
    <s v=""/>
    <n v="1024"/>
    <n v="0"/>
  </r>
  <r>
    <x v="0"/>
    <s v="U0140"/>
    <s v="Warehouse"/>
    <n v="672"/>
    <s v="Occupied"/>
    <s v="Tenant_17"/>
    <n v="10504.52"/>
    <n v="126054.24"/>
    <n v="126054.24"/>
    <s v=""/>
    <d v="2022-04-30T00:00:00"/>
    <d v="2024-08-12T00:00:00"/>
    <n v="721.85"/>
    <n v="1512.7"/>
    <s v="OK"/>
    <s v=""/>
    <s v=""/>
    <n v="187.58071428571429"/>
    <n v="2234.5500000000002"/>
    <n v="124541.54000000001"/>
    <n v="0"/>
    <s v="0-3 Monaten"/>
    <n v="0"/>
    <n v="672"/>
  </r>
  <r>
    <x v="6"/>
    <s v="U0141"/>
    <s v="Storage"/>
    <n v="126"/>
    <s v="Occupied"/>
    <s v="Tenant_117"/>
    <n v="1300.0999999999999"/>
    <n v="15601.2"/>
    <n v="15601.199999999999"/>
    <s v=""/>
    <d v="2022-09-05T00:00:00"/>
    <d v="2025-04-06T00:00:00"/>
    <n v="169.1"/>
    <n v="81.25"/>
    <s v="OK"/>
    <s v=""/>
    <s v=""/>
    <n v="123.81904761904762"/>
    <n v="250.35"/>
    <n v="15519.95"/>
    <n v="0"/>
    <s v="0-3 Monaten"/>
    <n v="0"/>
    <n v="126"/>
  </r>
  <r>
    <x v="3"/>
    <s v="U0142"/>
    <s v="Warehouse"/>
    <n v="404"/>
    <s v="Occupied"/>
    <s v="Tenant_92"/>
    <n v="4066.55"/>
    <n v="48798.6"/>
    <n v="48798.600000000006"/>
    <s v=""/>
    <d v="2023-01-05T00:00:00"/>
    <d v="2023-07-29T00:00:00"/>
    <n v="455.55"/>
    <n v="779.82"/>
    <s v="OK"/>
    <s v=""/>
    <s v=""/>
    <n v="120.78861386138614"/>
    <n v="1235.3700000000001"/>
    <n v="48018.78"/>
    <n v="0"/>
    <s v="0-3 Monaten"/>
    <n v="0"/>
    <n v="404"/>
  </r>
  <r>
    <x v="6"/>
    <s v="U0143"/>
    <s v="Warehouse"/>
    <n v="916"/>
    <s v="Occupied"/>
    <s v="Tenant_50"/>
    <n v="14184.95"/>
    <n v="170219.4"/>
    <n v="170219.40000000002"/>
    <s v=""/>
    <d v="2022-02-08T00:00:00"/>
    <d v="2023-03-11T00:00:00"/>
    <n v="1144.94"/>
    <n v="493.96"/>
    <s v="OK"/>
    <s v=""/>
    <s v=""/>
    <n v="185.82903930131005"/>
    <n v="1638.9"/>
    <n v="169725.44"/>
    <n v="0"/>
    <s v="0-3 Monaten"/>
    <n v="0"/>
    <n v="916"/>
  </r>
  <r>
    <x v="6"/>
    <s v="U0144"/>
    <s v="Storage"/>
    <n v="1292"/>
    <s v="Occupied"/>
    <s v="Tenant_71"/>
    <n v="16174.24"/>
    <n v="194090.88"/>
    <n v="194090.88"/>
    <s v=""/>
    <d v="2022-12-03T00:00:00"/>
    <d v="2027-09-11T00:00:00"/>
    <n v="2481.04"/>
    <n v="1481.15"/>
    <s v="OK"/>
    <s v=""/>
    <s v=""/>
    <n v="150.22513931888545"/>
    <n v="3962.19"/>
    <n v="192609.73"/>
    <n v="18"/>
    <s v="12 M+"/>
    <n v="0"/>
    <n v="1292"/>
  </r>
  <r>
    <x v="5"/>
    <s v="U0145"/>
    <s v="Storage"/>
    <n v="804"/>
    <s v="Occupied"/>
    <s v="Tenant_188"/>
    <n v="6148.46"/>
    <n v="73781.52"/>
    <n v="73781.52"/>
    <s v=""/>
    <d v="2023-06-01T00:00:00"/>
    <d v="2025-11-11T00:00:00"/>
    <n v="2370.98"/>
    <n v="670.9"/>
    <s v="OK"/>
    <s v=""/>
    <s v=""/>
    <n v="91.768059701492547"/>
    <n v="3041.88"/>
    <n v="73110.62000000001"/>
    <n v="0"/>
    <s v="0-3 Monaten"/>
    <n v="0"/>
    <n v="804"/>
  </r>
  <r>
    <x v="0"/>
    <s v="U0146"/>
    <s v="Storage"/>
    <n v="1294"/>
    <s v="Occupied"/>
    <s v="Tenant_67"/>
    <n v="12486.12"/>
    <n v="149833.44"/>
    <n v="149833.44"/>
    <s v=""/>
    <d v="2023-09-11T00:00:00"/>
    <d v="2027-12-15T00:00:00"/>
    <n v="3822.73"/>
    <n v="669.39"/>
    <s v="OK"/>
    <s v=""/>
    <s v=""/>
    <n v="115.79091190108191"/>
    <n v="4492.12"/>
    <n v="149164.04999999999"/>
    <n v="21"/>
    <s v="12 M+"/>
    <n v="0"/>
    <n v="1294"/>
  </r>
  <r>
    <x v="3"/>
    <s v="U0147"/>
    <s v="Storage"/>
    <n v="1058"/>
    <s v="Occupied"/>
    <s v="Tenant_48"/>
    <n v="12386.01"/>
    <n v="148632.12"/>
    <n v="148632.12"/>
    <s v=""/>
    <d v="2023-05-19T00:00:00"/>
    <d v="2027-06-25T00:00:00"/>
    <n v="1708.62"/>
    <n v="880.17"/>
    <s v="OK"/>
    <s v=""/>
    <s v=""/>
    <n v="140.48404536862003"/>
    <n v="2588.79"/>
    <n v="147751.94999999998"/>
    <n v="16"/>
    <s v="12 M+"/>
    <n v="0"/>
    <n v="1058"/>
  </r>
  <r>
    <x v="0"/>
    <s v="U0148"/>
    <s v="Warehouse"/>
    <n v="1473"/>
    <s v="Occupied"/>
    <s v="Tenant_5"/>
    <n v="23958.22"/>
    <n v="287498.64"/>
    <n v="287498.64"/>
    <s v=""/>
    <d v="2022-09-27T00:00:00"/>
    <d v="2023-05-24T00:00:00"/>
    <n v="1964.26"/>
    <n v="2957.7"/>
    <s v="OK"/>
    <s v=""/>
    <s v=""/>
    <n v="195.17898167006112"/>
    <n v="4921.96"/>
    <n v="284540.94"/>
    <n v="0"/>
    <s v="0-3 Monaten"/>
    <n v="0"/>
    <n v="1473"/>
  </r>
  <r>
    <x v="4"/>
    <s v="U0149"/>
    <s v="Warehouse"/>
    <n v="1173"/>
    <s v="Occupied"/>
    <s v="Tenant_189"/>
    <n v="15117.86"/>
    <n v="181414.32"/>
    <n v="181414.32"/>
    <s v=""/>
    <d v="2023-01-25T00:00:00"/>
    <d v="2027-12-09T00:00:00"/>
    <n v="3071.49"/>
    <n v="1682.5"/>
    <s v="OK"/>
    <s v=""/>
    <s v=""/>
    <n v="154.65841432225065"/>
    <n v="4753.99"/>
    <n v="179731.82"/>
    <n v="21"/>
    <s v="12 M+"/>
    <n v="0"/>
    <n v="1173"/>
  </r>
  <r>
    <x v="2"/>
    <s v="U0150"/>
    <s v="Office"/>
    <n v="368"/>
    <s v="Occupied"/>
    <s v="Tenant_32"/>
    <n v="5656"/>
    <n v="67872"/>
    <n v="67872"/>
    <s v=""/>
    <d v="2022-01-02T00:00:00"/>
    <d v="2025-02-19T00:00:00"/>
    <n v="401.19"/>
    <n v="910.31"/>
    <s v="OK"/>
    <s v=""/>
    <s v=""/>
    <n v="184.43478260869566"/>
    <n v="1311.5"/>
    <n v="66961.69"/>
    <n v="0"/>
    <s v="0-3 Monaten"/>
    <n v="0"/>
    <n v="368"/>
  </r>
  <r>
    <x v="4"/>
    <s v="U0151"/>
    <s v="Office"/>
    <n v="1288"/>
    <s v="Occupied"/>
    <s v="Tenant_98"/>
    <n v="19588.91"/>
    <n v="235066.92"/>
    <n v="235066.91999999998"/>
    <s v=""/>
    <d v="2023-04-08T00:00:00"/>
    <d v="2027-12-23T00:00:00"/>
    <n v="2434.75"/>
    <n v="2881.59"/>
    <s v="OK"/>
    <s v=""/>
    <s v=""/>
    <n v="182.50537267080747"/>
    <n v="5316.34"/>
    <n v="232185.33000000002"/>
    <n v="22"/>
    <s v="12 M+"/>
    <n v="0"/>
    <n v="1288"/>
  </r>
  <r>
    <x v="3"/>
    <s v="U0152"/>
    <s v="Warehouse"/>
    <n v="262"/>
    <s v="Occupied"/>
    <s v="Tenant_168"/>
    <n v="4453.29"/>
    <n v="53439.48"/>
    <n v="53439.479999999996"/>
    <s v=""/>
    <d v="2023-09-29T00:00:00"/>
    <d v="2024-10-13T00:00:00"/>
    <n v="640.04999999999995"/>
    <n v="164.34"/>
    <s v="OK"/>
    <s v=""/>
    <s v=""/>
    <n v="203.96748091603055"/>
    <n v="804.39"/>
    <n v="53275.140000000007"/>
    <n v="0"/>
    <s v="0-3 Monaten"/>
    <n v="0"/>
    <n v="262"/>
  </r>
  <r>
    <x v="7"/>
    <s v="U0153"/>
    <s v="Production"/>
    <n v="1303"/>
    <s v="Occupied"/>
    <s v="Tenant_193"/>
    <n v="22356.85"/>
    <n v="268282.2"/>
    <n v="268282.19999999995"/>
    <s v=""/>
    <d v="2021-10-10T00:00:00"/>
    <d v="2022-07-20T00:00:00"/>
    <n v="2257"/>
    <n v="2616.5300000000002"/>
    <s v="OK"/>
    <s v=""/>
    <s v=""/>
    <n v="205.89577897160399"/>
    <n v="4873.5300000000007"/>
    <n v="265665.67"/>
    <n v="0"/>
    <s v="0-3 Monaten"/>
    <n v="0"/>
    <n v="1303"/>
  </r>
  <r>
    <x v="3"/>
    <s v="U0154"/>
    <s v="Storage"/>
    <n v="1479"/>
    <s v="Occupied"/>
    <s v="Tenant_177"/>
    <n v="20862.66"/>
    <n v="250351.92"/>
    <n v="250351.91999999998"/>
    <s v=""/>
    <d v="2023-12-15T00:00:00"/>
    <d v="2025-10-04T00:00:00"/>
    <n v="2826.18"/>
    <n v="1212.56"/>
    <s v="OK"/>
    <s v=""/>
    <s v=""/>
    <n v="169.27107505070995"/>
    <n v="4038.74"/>
    <n v="249139.36000000002"/>
    <n v="0"/>
    <s v="0-3 Monaten"/>
    <n v="0"/>
    <n v="1479"/>
  </r>
  <r>
    <x v="3"/>
    <s v="U0155"/>
    <s v="Storage"/>
    <n v="762"/>
    <s v="Occupied"/>
    <s v="Tenant_22"/>
    <n v="7663.76"/>
    <n v="91965.119999999995"/>
    <n v="91965.119999999995"/>
    <s v=""/>
    <d v="2022-09-06T00:00:00"/>
    <d v="2026-09-24T00:00:00"/>
    <n v="1796.52"/>
    <n v="786.21"/>
    <s v="OK"/>
    <s v=""/>
    <s v=""/>
    <n v="120.68913385826771"/>
    <n v="2582.73"/>
    <n v="91178.909999999989"/>
    <n v="7"/>
    <s v="6-12 Monaten"/>
    <n v="0"/>
    <n v="762"/>
  </r>
  <r>
    <x v="7"/>
    <s v="U0156"/>
    <s v="Office"/>
    <n v="98"/>
    <s v="Occupied"/>
    <s v="Tenant_148"/>
    <n v="989.38"/>
    <n v="11872.56"/>
    <n v="11872.56"/>
    <s v=""/>
    <d v="2021-06-02T00:00:00"/>
    <d v="2024-10-19T00:00:00"/>
    <n v="122.2"/>
    <n v="65.180000000000007"/>
    <s v="OK"/>
    <s v=""/>
    <s v=""/>
    <n v="121.14857142857143"/>
    <n v="187.38"/>
    <n v="11807.38"/>
    <n v="0"/>
    <s v="0-3 Monaten"/>
    <n v="0"/>
    <n v="98"/>
  </r>
  <r>
    <x v="7"/>
    <s v="U0157"/>
    <s v="Production"/>
    <n v="161"/>
    <s v="Vacant"/>
    <m/>
    <n v="0"/>
    <n v="0"/>
    <n v="0"/>
    <s v=""/>
    <m/>
    <m/>
    <n v="300.02999999999997"/>
    <n v="371.96"/>
    <s v="OK"/>
    <s v=""/>
    <s v="Rent&lt;=0"/>
    <s v=""/>
    <n v="671.99"/>
    <s v=""/>
    <n v="0"/>
    <s v=""/>
    <n v="161"/>
    <n v="0"/>
  </r>
  <r>
    <x v="5"/>
    <s v="U0158"/>
    <s v="Office"/>
    <n v="156"/>
    <s v="Occupied"/>
    <s v="Tenant_97"/>
    <n v="2087.39"/>
    <n v="25048.68"/>
    <n v="25048.68"/>
    <s v=""/>
    <d v="2022-10-28T00:00:00"/>
    <d v="2024-01-31T00:00:00"/>
    <n v="382.64"/>
    <n v="303.04000000000002"/>
    <s v="OK"/>
    <s v=""/>
    <s v=""/>
    <n v="160.56846153846155"/>
    <n v="685.68000000000006"/>
    <n v="24745.64"/>
    <n v="0"/>
    <s v="0-3 Monaten"/>
    <n v="0"/>
    <n v="156"/>
  </r>
  <r>
    <x v="4"/>
    <s v="U0159"/>
    <s v="Warehouse"/>
    <n v="528"/>
    <s v="Occupied"/>
    <s v="Tenant_90"/>
    <n v="3553.11"/>
    <n v="42637.32"/>
    <n v="42637.32"/>
    <s v=""/>
    <d v="2022-04-08T00:00:00"/>
    <d v="2026-03-06T00:00:00"/>
    <n v="1257.1300000000001"/>
    <n v="1011.23"/>
    <s v="OK"/>
    <s v=""/>
    <s v=""/>
    <n v="80.752499999999998"/>
    <n v="2268.36"/>
    <n v="41626.089999999997"/>
    <n v="0"/>
    <s v="0-3 Monaten"/>
    <n v="0"/>
    <n v="528"/>
  </r>
  <r>
    <x v="6"/>
    <s v="U0160"/>
    <s v="Office"/>
    <n v="632"/>
    <s v="Occupied"/>
    <s v="Tenant_167"/>
    <n v="11174.54"/>
    <n v="134094.48000000001"/>
    <n v="134094.48000000001"/>
    <s v=""/>
    <d v="2021-09-24T00:00:00"/>
    <d v="2022-12-11T00:00:00"/>
    <n v="1870.48"/>
    <n v="1517.42"/>
    <s v="OK"/>
    <s v=""/>
    <s v=""/>
    <n v="212.17481012658229"/>
    <n v="3387.9"/>
    <n v="132577.06"/>
    <n v="0"/>
    <s v="0-3 Monaten"/>
    <n v="0"/>
    <n v="632"/>
  </r>
  <r>
    <x v="7"/>
    <s v="U0161"/>
    <s v="Storage"/>
    <n v="408"/>
    <s v="Occupied"/>
    <s v="Tenant_88"/>
    <n v="3123.02"/>
    <n v="37476.239999999998"/>
    <n v="37476.239999999998"/>
    <s v=""/>
    <d v="2023-09-05T00:00:00"/>
    <d v="2025-03-15T00:00:00"/>
    <n v="493"/>
    <n v="935.64"/>
    <s v="OK"/>
    <s v=""/>
    <s v=""/>
    <n v="91.853529411764697"/>
    <n v="1428.6399999999999"/>
    <n v="36540.6"/>
    <n v="0"/>
    <s v="0-3 Monaten"/>
    <n v="0"/>
    <n v="408"/>
  </r>
  <r>
    <x v="0"/>
    <s v="U0162"/>
    <s v="Storage"/>
    <n v="441"/>
    <s v="Occupied"/>
    <s v="Tenant_37"/>
    <n v="7800.1"/>
    <n v="93601.2"/>
    <n v="93601.200000000012"/>
    <s v=""/>
    <d v="2023-05-30T00:00:00"/>
    <d v="2027-08-13T00:00:00"/>
    <n v="1232.23"/>
    <n v="1066.77"/>
    <s v="OK"/>
    <s v=""/>
    <s v=""/>
    <n v="212.24761904761905"/>
    <n v="2299"/>
    <n v="92534.43"/>
    <n v="17"/>
    <s v="12 M+"/>
    <n v="0"/>
    <n v="441"/>
  </r>
  <r>
    <x v="5"/>
    <s v="U0163"/>
    <s v="Production"/>
    <n v="528"/>
    <s v="Occupied"/>
    <s v="Tenant_96"/>
    <n v="3229.69"/>
    <n v="38756.28"/>
    <n v="38756.28"/>
    <s v=""/>
    <d v="2022-04-19T00:00:00"/>
    <d v="2025-07-29T00:00:00"/>
    <n v="1206.19"/>
    <n v="749.11"/>
    <s v="OK"/>
    <s v=""/>
    <s v=""/>
    <n v="73.402045454545458"/>
    <n v="1955.3000000000002"/>
    <n v="38007.17"/>
    <n v="0"/>
    <s v="0-3 Monaten"/>
    <n v="0"/>
    <n v="528"/>
  </r>
  <r>
    <x v="3"/>
    <s v="U0164"/>
    <s v="Production"/>
    <n v="390"/>
    <s v="Occupied"/>
    <s v="Tenant_46"/>
    <n v="3262.69"/>
    <n v="39152.28"/>
    <n v="39152.28"/>
    <s v=""/>
    <d v="2021-10-14T00:00:00"/>
    <d v="2024-06-13T00:00:00"/>
    <n v="419.16"/>
    <n v="642.66999999999996"/>
    <s v="OK"/>
    <s v=""/>
    <s v=""/>
    <n v="100.39046153846154"/>
    <n v="1061.83"/>
    <n v="38509.61"/>
    <n v="0"/>
    <s v="0-3 Monaten"/>
    <n v="0"/>
    <n v="390"/>
  </r>
  <r>
    <x v="3"/>
    <s v="U0165"/>
    <s v="Warehouse"/>
    <n v="782"/>
    <s v="Occupied"/>
    <s v="Tenant_102"/>
    <n v="8476.51"/>
    <n v="101718.12"/>
    <n v="101718.12"/>
    <s v=""/>
    <d v="2021-11-08T00:00:00"/>
    <d v="2024-03-07T00:00:00"/>
    <n v="947.19"/>
    <n v="880.56"/>
    <s v="OK"/>
    <s v=""/>
    <s v=""/>
    <n v="130.07432225063937"/>
    <n v="1827.75"/>
    <n v="100837.56"/>
    <n v="0"/>
    <s v="0-3 Monaten"/>
    <n v="0"/>
    <n v="782"/>
  </r>
  <r>
    <x v="0"/>
    <s v="U0166"/>
    <s v="Production"/>
    <n v="682"/>
    <s v="Occupied"/>
    <s v="Tenant_42"/>
    <n v="9929.9699999999993"/>
    <n v="119159.64"/>
    <n v="119159.63999999998"/>
    <s v=""/>
    <d v="2023-12-12T00:00:00"/>
    <d v="2028-04-30T00:00:00"/>
    <n v="1623.1"/>
    <n v="1149.6099999999999"/>
    <s v="OK"/>
    <s v=""/>
    <s v=""/>
    <n v="174.72087976539589"/>
    <n v="2772.71"/>
    <n v="118010.03"/>
    <n v="26"/>
    <s v="12 M+"/>
    <n v="0"/>
    <n v="682"/>
  </r>
  <r>
    <x v="6"/>
    <s v="U0167"/>
    <s v="Production"/>
    <n v="538"/>
    <s v="Occupied"/>
    <s v="Tenant_1"/>
    <n v="6887.09"/>
    <n v="82645.08"/>
    <n v="82645.08"/>
    <s v=""/>
    <d v="2022-10-12T00:00:00"/>
    <d v="2026-10-24T00:00:00"/>
    <n v="1237.0899999999999"/>
    <n v="1262.54"/>
    <s v="OK"/>
    <s v=""/>
    <s v=""/>
    <n v="153.61539033457248"/>
    <n v="2499.63"/>
    <n v="81382.540000000008"/>
    <n v="8"/>
    <s v="6-12 Monaten"/>
    <n v="0"/>
    <n v="538"/>
  </r>
  <r>
    <x v="4"/>
    <s v="U0168"/>
    <s v="Warehouse"/>
    <n v="376"/>
    <s v="Vacant"/>
    <m/>
    <n v="0"/>
    <n v="0"/>
    <n v="0"/>
    <s v=""/>
    <m/>
    <m/>
    <n v="665.05"/>
    <n v="279.77999999999997"/>
    <s v="OK"/>
    <s v=""/>
    <s v="Rent&lt;=0"/>
    <s v=""/>
    <n v="944.82999999999993"/>
    <s v=""/>
    <n v="0"/>
    <s v=""/>
    <n v="376"/>
    <n v="0"/>
  </r>
  <r>
    <x v="6"/>
    <s v="U0169"/>
    <s v="Storage"/>
    <n v="1289"/>
    <s v="Occupied"/>
    <s v="Tenant_108"/>
    <n v="12193.43"/>
    <n v="146321.16"/>
    <n v="146321.16"/>
    <s v=""/>
    <d v="2022-03-02T00:00:00"/>
    <d v="2023-03-27T00:00:00"/>
    <n v="1841.66"/>
    <n v="2029.8"/>
    <s v="OK"/>
    <s v=""/>
    <s v=""/>
    <n v="113.51525213343677"/>
    <n v="3871.46"/>
    <n v="144291.36000000002"/>
    <n v="0"/>
    <s v="0-3 Monaten"/>
    <n v="0"/>
    <n v="1289"/>
  </r>
  <r>
    <x v="2"/>
    <s v="U0170"/>
    <s v="Storage"/>
    <n v="1344"/>
    <s v="Occupied"/>
    <s v="Tenant_133"/>
    <n v="18128.490000000002"/>
    <n v="217541.88"/>
    <n v="217541.88"/>
    <s v=""/>
    <d v="2022-05-03T00:00:00"/>
    <d v="2023-09-12T00:00:00"/>
    <n v="3459.66"/>
    <n v="673.09"/>
    <s v="OK"/>
    <s v=""/>
    <s v=""/>
    <n v="161.86151785714287"/>
    <n v="4132.75"/>
    <n v="216868.79"/>
    <n v="0"/>
    <s v="0-3 Monaten"/>
    <n v="0"/>
    <n v="1344"/>
  </r>
  <r>
    <x v="1"/>
    <s v="U0171"/>
    <s v="Warehouse"/>
    <n v="1406"/>
    <s v="Occupied"/>
    <s v="Tenant_114"/>
    <n v="20678.509999999998"/>
    <n v="248142.12"/>
    <n v="248142.12"/>
    <s v=""/>
    <d v="2023-01-01T00:00:00"/>
    <d v="2025-11-17T00:00:00"/>
    <n v="2300.64"/>
    <n v="1487.45"/>
    <s v="OK"/>
    <s v=""/>
    <s v=""/>
    <n v="176.48799431009957"/>
    <n v="3788.09"/>
    <n v="246654.66999999998"/>
    <n v="0"/>
    <s v="0-3 Monaten"/>
    <n v="0"/>
    <n v="1406"/>
  </r>
  <r>
    <x v="7"/>
    <s v="U0172"/>
    <s v="Office"/>
    <n v="375"/>
    <s v="Occupied"/>
    <s v="Tenant_139"/>
    <n v="4495.26"/>
    <n v="53943.12"/>
    <n v="53943.12"/>
    <s v=""/>
    <d v="2022-05-12T00:00:00"/>
    <d v="2023-07-13T00:00:00"/>
    <n v="971.88"/>
    <n v="744.37"/>
    <s v="OK"/>
    <s v=""/>
    <s v=""/>
    <n v="143.84832"/>
    <n v="1716.25"/>
    <n v="53198.75"/>
    <n v="0"/>
    <s v="0-3 Monaten"/>
    <n v="0"/>
    <n v="375"/>
  </r>
  <r>
    <x v="4"/>
    <s v="U0173"/>
    <s v="Warehouse"/>
    <n v="1371"/>
    <s v="Occupied"/>
    <s v="Tenant_50"/>
    <n v="18735.21"/>
    <n v="224822.52"/>
    <n v="224822.52"/>
    <s v=""/>
    <d v="2021-10-19T00:00:00"/>
    <d v="2023-10-07T00:00:00"/>
    <n v="2251.7399999999998"/>
    <n v="3296.88"/>
    <s v="OK"/>
    <s v=""/>
    <s v=""/>
    <n v="163.98433260393873"/>
    <n v="5548.62"/>
    <n v="221525.63999999998"/>
    <n v="0"/>
    <s v="0-3 Monaten"/>
    <n v="0"/>
    <n v="1371"/>
  </r>
  <r>
    <x v="0"/>
    <s v="U0174"/>
    <s v="Warehouse"/>
    <n v="594"/>
    <s v="Occupied"/>
    <s v="Tenant_99"/>
    <n v="9837.81"/>
    <n v="118053.72"/>
    <n v="118053.72"/>
    <s v=""/>
    <d v="2023-10-04T00:00:00"/>
    <d v="2028-01-12T00:00:00"/>
    <n v="1177.26"/>
    <n v="490.06"/>
    <s v="OK"/>
    <s v=""/>
    <s v=""/>
    <n v="198.74363636363637"/>
    <n v="1667.32"/>
    <n v="117563.66"/>
    <n v="22"/>
    <s v="12 M+"/>
    <n v="0"/>
    <n v="594"/>
  </r>
  <r>
    <x v="4"/>
    <s v="U0175"/>
    <s v="Storage"/>
    <n v="531"/>
    <s v="Occupied"/>
    <s v="Tenant_51"/>
    <n v="6325.2"/>
    <n v="75902.399999999994"/>
    <n v="75902.399999999994"/>
    <s v=""/>
    <d v="2022-07-12T00:00:00"/>
    <d v="2025-03-09T00:00:00"/>
    <n v="624.16999999999996"/>
    <n v="691.15"/>
    <s v="OK"/>
    <s v=""/>
    <s v=""/>
    <n v="142.94237288135591"/>
    <n v="1315.32"/>
    <n v="75211.25"/>
    <n v="0"/>
    <s v="0-3 Monaten"/>
    <n v="0"/>
    <n v="531"/>
  </r>
  <r>
    <x v="6"/>
    <s v="U0176"/>
    <s v="Warehouse"/>
    <n v="1160"/>
    <s v="Occupied"/>
    <s v="Tenant_86"/>
    <n v="16845.830000000002"/>
    <n v="202149.96"/>
    <n v="202149.96000000002"/>
    <s v=""/>
    <d v="2022-01-29T00:00:00"/>
    <d v="2024-05-18T00:00:00"/>
    <n v="2194.9499999999998"/>
    <n v="1711.33"/>
    <s v="OK"/>
    <s v=""/>
    <s v=""/>
    <n v="174.26720689655173"/>
    <n v="3906.2799999999997"/>
    <n v="200438.63"/>
    <n v="0"/>
    <s v="0-3 Monaten"/>
    <n v="0"/>
    <n v="1160"/>
  </r>
  <r>
    <x v="4"/>
    <s v="U0177"/>
    <s v="Warehouse"/>
    <n v="186"/>
    <s v="Occupied"/>
    <s v="Tenant_38"/>
    <n v="1622.62"/>
    <n v="19471.439999999999"/>
    <n v="19471.439999999999"/>
    <s v=""/>
    <d v="2022-05-09T00:00:00"/>
    <d v="2026-12-27T00:00:00"/>
    <n v="331.08"/>
    <n v="292.52"/>
    <s v="OK"/>
    <s v=""/>
    <s v=""/>
    <n v="104.68516129032257"/>
    <n v="623.59999999999991"/>
    <n v="19178.919999999998"/>
    <n v="10"/>
    <s v="6-12 Monaten"/>
    <n v="0"/>
    <n v="186"/>
  </r>
  <r>
    <x v="0"/>
    <s v="U0178"/>
    <s v="Office"/>
    <n v="287"/>
    <s v="Occupied"/>
    <s v="Tenant_6"/>
    <n v="2140.88"/>
    <n v="25690.560000000001"/>
    <n v="25690.560000000001"/>
    <s v=""/>
    <d v="2023-03-08T00:00:00"/>
    <d v="2027-04-24T00:00:00"/>
    <n v="381.17"/>
    <n v="670.95"/>
    <s v="OK"/>
    <s v=""/>
    <s v=""/>
    <n v="89.514146341463416"/>
    <n v="1052.1200000000001"/>
    <n v="25019.61"/>
    <n v="14"/>
    <s v="12 M+"/>
    <n v="0"/>
    <n v="287"/>
  </r>
  <r>
    <x v="3"/>
    <s v="U0179"/>
    <s v="Warehouse"/>
    <n v="752"/>
    <s v="Vacant"/>
    <m/>
    <n v="0"/>
    <n v="0"/>
    <n v="0"/>
    <s v=""/>
    <m/>
    <m/>
    <n v="1548.42"/>
    <n v="690.55"/>
    <s v="OK"/>
    <s v=""/>
    <s v="Rent&lt;=0"/>
    <s v=""/>
    <n v="2238.9700000000003"/>
    <s v=""/>
    <n v="0"/>
    <s v=""/>
    <n v="752"/>
    <n v="0"/>
  </r>
  <r>
    <x v="1"/>
    <s v="U0180"/>
    <s v="Office"/>
    <n v="787"/>
    <s v="Occupied"/>
    <s v="Tenant_88"/>
    <n v="7469.62"/>
    <n v="89635.44"/>
    <n v="89635.44"/>
    <s v=""/>
    <d v="2021-04-21T00:00:00"/>
    <d v="2021-12-15T00:00:00"/>
    <n v="1903.79"/>
    <n v="832.22"/>
    <s v="OK"/>
    <s v=""/>
    <s v=""/>
    <n v="113.89509529860229"/>
    <n v="2736.01"/>
    <n v="88803.22"/>
    <n v="0"/>
    <s v="0-3 Monaten"/>
    <n v="0"/>
    <n v="787"/>
  </r>
  <r>
    <x v="7"/>
    <s v="U0181"/>
    <s v="Production"/>
    <n v="1139"/>
    <s v="Occupied"/>
    <s v="Tenant_165"/>
    <n v="11099.89"/>
    <n v="133198.68"/>
    <n v="133198.68"/>
    <s v=""/>
    <d v="2021-04-22T00:00:00"/>
    <d v="2021-10-22T00:00:00"/>
    <n v="2460.3200000000002"/>
    <n v="1664.89"/>
    <s v="OK"/>
    <s v=""/>
    <s v=""/>
    <n v="116.9435294117647"/>
    <n v="4125.21"/>
    <n v="131533.78999999998"/>
    <n v="0"/>
    <s v="0-3 Monaten"/>
    <n v="0"/>
    <n v="1139"/>
  </r>
  <r>
    <x v="3"/>
    <s v="U0182"/>
    <s v="Office"/>
    <n v="1220"/>
    <s v="Occupied"/>
    <s v="Tenant_28"/>
    <n v="10473.030000000001"/>
    <n v="125676.36"/>
    <n v="125676.36000000002"/>
    <s v=""/>
    <d v="2022-12-11T00:00:00"/>
    <d v="2026-07-02T00:00:00"/>
    <n v="2012.15"/>
    <n v="1555.15"/>
    <s v="OK"/>
    <s v=""/>
    <s v=""/>
    <n v="103.01340983606558"/>
    <n v="3567.3"/>
    <n v="124121.21"/>
    <n v="4"/>
    <s v="3-6 Monaten"/>
    <n v="0"/>
    <n v="1220"/>
  </r>
  <r>
    <x v="7"/>
    <s v="U0183"/>
    <s v="Office"/>
    <n v="414"/>
    <s v="Occupied"/>
    <s v="Tenant_175"/>
    <n v="3503.43"/>
    <n v="42041.16"/>
    <n v="42041.159999999996"/>
    <s v=""/>
    <d v="2021-08-31T00:00:00"/>
    <d v="2024-09-18T00:00:00"/>
    <n v="899.08"/>
    <n v="560.13"/>
    <s v="OK"/>
    <s v=""/>
    <s v=""/>
    <n v="101.54869565217392"/>
    <n v="1459.21"/>
    <n v="41481.030000000006"/>
    <n v="0"/>
    <s v="0-3 Monaten"/>
    <n v="0"/>
    <n v="414"/>
  </r>
  <r>
    <x v="2"/>
    <s v="U0184"/>
    <s v="Storage"/>
    <n v="642"/>
    <s v="Occupied"/>
    <s v="Tenant_132"/>
    <n v="4658.8100000000004"/>
    <n v="55905.72"/>
    <n v="55905.72"/>
    <s v=""/>
    <d v="2023-12-11T00:00:00"/>
    <d v="2028-04-29T00:00:00"/>
    <n v="1657.18"/>
    <n v="1276.73"/>
    <s v="OK"/>
    <s v=""/>
    <s v=""/>
    <n v="87.080560747663554"/>
    <n v="2933.91"/>
    <n v="54628.99"/>
    <n v="26"/>
    <s v="12 M+"/>
    <n v="0"/>
    <n v="642"/>
  </r>
  <r>
    <x v="7"/>
    <s v="U0185"/>
    <s v="Storage"/>
    <n v="915"/>
    <s v="Occupied"/>
    <s v="Tenant_12"/>
    <n v="11681.68"/>
    <n v="140180.16"/>
    <n v="140180.16"/>
    <s v=""/>
    <d v="2022-11-28T00:00:00"/>
    <d v="2026-12-02T00:00:00"/>
    <n v="2156.35"/>
    <n v="929.54"/>
    <s v="OK"/>
    <s v=""/>
    <s v=""/>
    <n v="153.20236065573772"/>
    <n v="3085.89"/>
    <n v="139250.62"/>
    <n v="9"/>
    <s v="6-12 Monaten"/>
    <n v="0"/>
    <n v="915"/>
  </r>
  <r>
    <x v="6"/>
    <s v="U0186"/>
    <s v="Storage"/>
    <n v="869"/>
    <s v="Occupied"/>
    <s v="Tenant_147"/>
    <n v="13564.92"/>
    <n v="162779.04"/>
    <n v="162779.04"/>
    <s v=""/>
    <d v="2023-11-01T00:00:00"/>
    <d v="2024-11-10T00:00:00"/>
    <n v="2295.96"/>
    <n v="1088.93"/>
    <s v="OK"/>
    <s v=""/>
    <s v=""/>
    <n v="187.31765247410817"/>
    <n v="3384.8900000000003"/>
    <n v="161690.11000000002"/>
    <n v="0"/>
    <s v="0-3 Monaten"/>
    <n v="0"/>
    <n v="869"/>
  </r>
  <r>
    <x v="0"/>
    <s v="U0187"/>
    <s v="Office"/>
    <n v="384"/>
    <s v="Vacant"/>
    <m/>
    <n v="0"/>
    <n v="0"/>
    <n v="0"/>
    <s v=""/>
    <m/>
    <m/>
    <n v="911.99"/>
    <n v="525.94000000000005"/>
    <s v="OK"/>
    <s v=""/>
    <s v="Rent&lt;=0"/>
    <s v=""/>
    <n v="1437.93"/>
    <s v=""/>
    <n v="0"/>
    <s v=""/>
    <n v="384"/>
    <n v="0"/>
  </r>
  <r>
    <x v="6"/>
    <s v="U0188"/>
    <s v="Storage"/>
    <n v="856"/>
    <s v="Occupied"/>
    <s v="Tenant_102"/>
    <n v="12469.24"/>
    <n v="149630.88"/>
    <n v="149630.88"/>
    <s v=""/>
    <d v="2022-06-01T00:00:00"/>
    <d v="2026-09-03T00:00:00"/>
    <n v="1092.24"/>
    <n v="1604.92"/>
    <s v="OK"/>
    <s v=""/>
    <s v=""/>
    <n v="174.80242990654207"/>
    <n v="2697.16"/>
    <n v="148025.96"/>
    <n v="6"/>
    <s v="3-6 Monaten"/>
    <n v="0"/>
    <n v="856"/>
  </r>
  <r>
    <x v="1"/>
    <s v="U0189"/>
    <s v="Storage"/>
    <n v="715"/>
    <s v="Vacant"/>
    <m/>
    <n v="0"/>
    <n v="0"/>
    <n v="0"/>
    <s v=""/>
    <m/>
    <m/>
    <n v="865.1"/>
    <n v="1066.24"/>
    <s v="OK"/>
    <s v=""/>
    <s v="Rent&lt;=0"/>
    <s v=""/>
    <n v="1931.3400000000001"/>
    <s v=""/>
    <n v="0"/>
    <s v=""/>
    <n v="715"/>
    <n v="0"/>
  </r>
  <r>
    <x v="3"/>
    <s v="U0190"/>
    <s v="Storage"/>
    <n v="345"/>
    <s v="Occupied"/>
    <s v="Tenant_100"/>
    <n v="3987.05"/>
    <n v="47844.6"/>
    <n v="47844.600000000006"/>
    <s v=""/>
    <d v="2022-06-19T00:00:00"/>
    <d v="2027-04-08T00:00:00"/>
    <n v="702.87"/>
    <n v="482.72"/>
    <s v="OK"/>
    <s v=""/>
    <s v=""/>
    <n v="138.68"/>
    <n v="1185.5900000000001"/>
    <n v="47361.88"/>
    <n v="13"/>
    <s v="12 M+"/>
    <n v="0"/>
    <n v="345"/>
  </r>
  <r>
    <x v="6"/>
    <s v="U0191"/>
    <s v="Production"/>
    <n v="858"/>
    <s v="Occupied"/>
    <s v="Tenant_126"/>
    <n v="15092.25"/>
    <n v="181107"/>
    <n v="181107"/>
    <s v=""/>
    <d v="2022-10-14T00:00:00"/>
    <d v="2027-08-06T00:00:00"/>
    <n v="1079.95"/>
    <n v="1484.84"/>
    <s v="OK"/>
    <s v=""/>
    <s v=""/>
    <n v="211.08041958041957"/>
    <n v="2564.79"/>
    <n v="179622.16"/>
    <n v="17"/>
    <s v="12 M+"/>
    <n v="0"/>
    <n v="858"/>
  </r>
  <r>
    <x v="5"/>
    <s v="U0192"/>
    <s v="Production"/>
    <n v="1407"/>
    <s v="Occupied"/>
    <s v="Tenant_157"/>
    <n v="8702.35"/>
    <n v="104428.2"/>
    <n v="104428.20000000001"/>
    <s v=""/>
    <d v="2023-02-24T00:00:00"/>
    <d v="2026-10-29T00:00:00"/>
    <n v="3763.62"/>
    <n v="3458.8"/>
    <s v="OK"/>
    <s v=""/>
    <s v=""/>
    <n v="74.220469083155649"/>
    <n v="7222.42"/>
    <n v="100969.4"/>
    <n v="8"/>
    <s v="6-12 Monaten"/>
    <n v="0"/>
    <n v="1407"/>
  </r>
  <r>
    <x v="2"/>
    <s v="U0193"/>
    <s v="Production"/>
    <n v="1120"/>
    <s v="Occupied"/>
    <s v="Tenant_8"/>
    <n v="6738.33"/>
    <n v="80859.960000000006"/>
    <n v="80859.959999999992"/>
    <s v=""/>
    <d v="2023-01-12T00:00:00"/>
    <d v="2026-07-13T00:00:00"/>
    <n v="1674.47"/>
    <n v="1264.8900000000001"/>
    <s v="OK"/>
    <s v=""/>
    <s v=""/>
    <n v="72.196392857142868"/>
    <n v="2939.36"/>
    <n v="79595.070000000007"/>
    <n v="4"/>
    <s v="3-6 Monaten"/>
    <n v="0"/>
    <n v="1120"/>
  </r>
  <r>
    <x v="1"/>
    <s v="U0194"/>
    <s v="Warehouse"/>
    <n v="406"/>
    <s v="Occupied"/>
    <s v="Tenant_168"/>
    <n v="5072.72"/>
    <n v="60872.639999999999"/>
    <n v="60872.639999999999"/>
    <s v=""/>
    <d v="2021-11-02T00:00:00"/>
    <d v="2025-01-10T00:00:00"/>
    <n v="530.82000000000005"/>
    <n v="729.93"/>
    <s v="OK"/>
    <s v=""/>
    <s v=""/>
    <n v="149.93261083743843"/>
    <n v="1260.75"/>
    <n v="60142.71"/>
    <n v="0"/>
    <s v="0-3 Monaten"/>
    <n v="0"/>
    <n v="406"/>
  </r>
  <r>
    <x v="6"/>
    <s v="U0195"/>
    <s v="Warehouse"/>
    <n v="1259"/>
    <s v="Occupied"/>
    <s v="Tenant_89"/>
    <n v="18561.580000000002"/>
    <n v="222738.96"/>
    <n v="222738.96000000002"/>
    <s v=""/>
    <d v="2023-08-02T00:00:00"/>
    <d v="2026-11-14T00:00:00"/>
    <n v="1416.99"/>
    <n v="1997.93"/>
    <s v="OK"/>
    <s v=""/>
    <s v=""/>
    <n v="176.91736298649721"/>
    <n v="3414.92"/>
    <n v="220741.03"/>
    <n v="8"/>
    <s v="6-12 Monaten"/>
    <n v="0"/>
    <n v="1259"/>
  </r>
  <r>
    <x v="2"/>
    <s v="U0196"/>
    <s v="Warehouse"/>
    <n v="583"/>
    <s v="Occupied"/>
    <s v="Tenant_45"/>
    <n v="5356.44"/>
    <n v="64277.279999999999"/>
    <n v="64277.279999999999"/>
    <s v=""/>
    <d v="2023-01-23T00:00:00"/>
    <d v="2027-11-13T00:00:00"/>
    <n v="1494.39"/>
    <n v="1443.45"/>
    <s v="OK"/>
    <s v=""/>
    <s v=""/>
    <n v="110.2526243567753"/>
    <n v="2937.84"/>
    <n v="62833.83"/>
    <n v="20"/>
    <s v="12 M+"/>
    <n v="0"/>
    <n v="583"/>
  </r>
  <r>
    <x v="3"/>
    <s v="U0197"/>
    <s v="Office"/>
    <n v="1232"/>
    <s v="Occupied"/>
    <s v="Tenant_111"/>
    <n v="15140.03"/>
    <n v="181680.36"/>
    <n v="181680.36000000002"/>
    <s v=""/>
    <d v="2022-10-25T00:00:00"/>
    <d v="2027-08-26T00:00:00"/>
    <n v="2558.1799999999998"/>
    <n v="740.8"/>
    <s v="OK"/>
    <s v=""/>
    <s v=""/>
    <n v="147.46782467532466"/>
    <n v="3298.9799999999996"/>
    <n v="180939.56"/>
    <n v="18"/>
    <s v="12 M+"/>
    <n v="0"/>
    <n v="1232"/>
  </r>
  <r>
    <x v="3"/>
    <s v="U0198"/>
    <s v="Storage"/>
    <n v="566"/>
    <s v="Occupied"/>
    <s v="Tenant_54"/>
    <n v="5147.03"/>
    <n v="61764.36"/>
    <n v="61764.36"/>
    <s v=""/>
    <d v="2021-10-14T00:00:00"/>
    <d v="2026-03-24T00:00:00"/>
    <n v="772.83"/>
    <n v="546.32000000000005"/>
    <s v="OK"/>
    <s v=""/>
    <s v=""/>
    <n v="109.1243109540636"/>
    <n v="1319.15"/>
    <n v="61218.04"/>
    <n v="1"/>
    <s v="0-3 Monaten"/>
    <n v="0"/>
    <n v="566"/>
  </r>
  <r>
    <x v="0"/>
    <s v="U0199"/>
    <s v="Production"/>
    <n v="652"/>
    <s v="Vacant"/>
    <m/>
    <n v="0"/>
    <n v="0"/>
    <n v="0"/>
    <s v=""/>
    <m/>
    <m/>
    <n v="1270.1199999999999"/>
    <n v="1245.8900000000001"/>
    <s v="OK"/>
    <s v=""/>
    <s v="Rent&lt;=0"/>
    <s v=""/>
    <n v="2516.0100000000002"/>
    <s v=""/>
    <n v="0"/>
    <s v=""/>
    <n v="652"/>
    <n v="0"/>
  </r>
  <r>
    <x v="6"/>
    <s v="U0200"/>
    <s v="Storage"/>
    <n v="250"/>
    <s v="Occupied"/>
    <s v="Tenant_8"/>
    <n v="1610.05"/>
    <n v="19320.599999999999"/>
    <n v="19320.599999999999"/>
    <s v=""/>
    <d v="2022-09-08T00:00:00"/>
    <d v="2025-11-07T00:00:00"/>
    <n v="608.23"/>
    <n v="444.48"/>
    <s v="OK"/>
    <s v=""/>
    <s v=""/>
    <n v="77.282399999999996"/>
    <n v="1052.71"/>
    <n v="18876.12"/>
    <n v="0"/>
    <s v="0-3 Monaten"/>
    <n v="0"/>
    <n v="250"/>
  </r>
  <r>
    <x v="7"/>
    <s v="U0201"/>
    <s v="Production"/>
    <n v="155"/>
    <s v="Occupied"/>
    <s v="Tenant_197"/>
    <n v="1001.74"/>
    <n v="12020.88"/>
    <n v="12020.880000000001"/>
    <s v=""/>
    <d v="2023-10-04T00:00:00"/>
    <d v="2024-09-13T00:00:00"/>
    <n v="196.41"/>
    <n v="292.88"/>
    <s v="OK"/>
    <s v=""/>
    <s v=""/>
    <n v="77.554064516129031"/>
    <n v="489.28999999999996"/>
    <n v="11728"/>
    <n v="0"/>
    <s v="0-3 Monaten"/>
    <n v="0"/>
    <n v="155"/>
  </r>
  <r>
    <x v="2"/>
    <s v="U0202"/>
    <s v="Warehouse"/>
    <n v="1417"/>
    <s v="Occupied"/>
    <s v="Tenant_115"/>
    <n v="13226.44"/>
    <n v="158717.28"/>
    <n v="158717.28"/>
    <s v=""/>
    <d v="2023-10-30T00:00:00"/>
    <d v="2025-03-08T00:00:00"/>
    <n v="2280.2399999999998"/>
    <n v="2940.48"/>
    <s v="OK"/>
    <s v=""/>
    <s v=""/>
    <n v="112.00937191249118"/>
    <n v="5220.7199999999993"/>
    <n v="155776.79999999999"/>
    <n v="0"/>
    <s v="0-3 Monaten"/>
    <n v="0"/>
    <n v="1417"/>
  </r>
  <r>
    <x v="4"/>
    <s v="U0203"/>
    <s v="Storage"/>
    <n v="1468"/>
    <s v="Occupied"/>
    <s v="Tenant_143"/>
    <n v="18039.21"/>
    <n v="216470.52"/>
    <n v="216470.52"/>
    <s v=""/>
    <d v="2023-04-29T00:00:00"/>
    <d v="2023-12-09T00:00:00"/>
    <n v="4191.22"/>
    <n v="3151.73"/>
    <s v="OK"/>
    <s v=""/>
    <s v=""/>
    <n v="147.45948228882833"/>
    <n v="7342.9500000000007"/>
    <n v="213318.78999999998"/>
    <n v="0"/>
    <s v="0-3 Monaten"/>
    <n v="0"/>
    <n v="1468"/>
  </r>
  <r>
    <x v="6"/>
    <s v="U0204"/>
    <s v="Production"/>
    <n v="1226"/>
    <s v="Occupied"/>
    <s v="Tenant_102"/>
    <n v="13693.68"/>
    <n v="164324.16"/>
    <n v="164324.16"/>
    <s v=""/>
    <d v="2022-08-09T00:00:00"/>
    <d v="2025-08-25T00:00:00"/>
    <n v="2292.62"/>
    <n v="2489.7800000000002"/>
    <s v="OK"/>
    <s v=""/>
    <s v=""/>
    <n v="134.03275693311582"/>
    <n v="4782.3999999999996"/>
    <n v="161834.38"/>
    <n v="0"/>
    <s v="0-3 Monaten"/>
    <n v="0"/>
    <n v="1226"/>
  </r>
  <r>
    <x v="3"/>
    <s v="U0205"/>
    <s v="Production"/>
    <n v="1466"/>
    <s v="Occupied"/>
    <s v="Tenant_71"/>
    <n v="13097.99"/>
    <n v="157175.88"/>
    <n v="157175.88"/>
    <s v=""/>
    <d v="2023-06-14T00:00:00"/>
    <d v="2027-09-28T00:00:00"/>
    <n v="2754.83"/>
    <n v="1205.3"/>
    <s v="OK"/>
    <s v=""/>
    <s v=""/>
    <n v="107.21410641200546"/>
    <n v="3960.13"/>
    <n v="155970.58000000002"/>
    <n v="19"/>
    <s v="12 M+"/>
    <n v="0"/>
    <n v="1466"/>
  </r>
  <r>
    <x v="3"/>
    <s v="U0206"/>
    <s v="Office"/>
    <n v="850"/>
    <s v="Occupied"/>
    <s v="Tenant_75"/>
    <n v="9114.67"/>
    <n v="109376.04"/>
    <n v="109376.04000000001"/>
    <s v=""/>
    <d v="2023-01-06T00:00:00"/>
    <d v="2026-03-01T00:00:00"/>
    <n v="1407.73"/>
    <n v="1132.0999999999999"/>
    <s v="OK"/>
    <s v=""/>
    <s v=""/>
    <n v="128.67769411764706"/>
    <n v="2539.83"/>
    <n v="108243.93999999999"/>
    <n v="0"/>
    <s v="0-3 Monaten"/>
    <n v="0"/>
    <n v="850"/>
  </r>
  <r>
    <x v="5"/>
    <s v="U0207"/>
    <s v="Office"/>
    <n v="174"/>
    <s v="Occupied"/>
    <s v="Tenant_199"/>
    <n v="2377.5700000000002"/>
    <n v="28530.84"/>
    <n v="28530.840000000004"/>
    <s v=""/>
    <d v="2023-07-15T00:00:00"/>
    <d v="2027-10-17T00:00:00"/>
    <n v="208.64"/>
    <n v="123.53"/>
    <s v="OK"/>
    <s v=""/>
    <s v=""/>
    <n v="163.97034482758622"/>
    <n v="332.16999999999996"/>
    <n v="28407.31"/>
    <n v="19"/>
    <s v="12 M+"/>
    <n v="0"/>
    <n v="174"/>
  </r>
  <r>
    <x v="5"/>
    <s v="U0208"/>
    <s v="Production"/>
    <n v="471"/>
    <s v="Vacant"/>
    <m/>
    <n v="0"/>
    <n v="0"/>
    <n v="0"/>
    <s v=""/>
    <m/>
    <m/>
    <n v="776.76"/>
    <n v="798.21"/>
    <s v="OK"/>
    <s v=""/>
    <s v="Rent&lt;=0"/>
    <s v=""/>
    <n v="1574.97"/>
    <s v=""/>
    <n v="0"/>
    <s v=""/>
    <n v="471"/>
    <n v="0"/>
  </r>
  <r>
    <x v="6"/>
    <s v="U0209"/>
    <s v="Office"/>
    <n v="143"/>
    <s v="Occupied"/>
    <s v="Tenant_75"/>
    <n v="2356.58"/>
    <n v="28278.959999999999"/>
    <n v="28278.959999999999"/>
    <s v=""/>
    <d v="2023-07-29T00:00:00"/>
    <d v="2024-12-25T00:00:00"/>
    <n v="277.49"/>
    <n v="293.42"/>
    <s v="OK"/>
    <s v=""/>
    <s v=""/>
    <n v="197.75496503496504"/>
    <n v="570.91000000000008"/>
    <n v="27985.54"/>
    <n v="0"/>
    <s v="0-3 Monaten"/>
    <n v="0"/>
    <n v="143"/>
  </r>
  <r>
    <x v="4"/>
    <s v="U0210"/>
    <s v="Office"/>
    <n v="43"/>
    <s v="Occupied"/>
    <s v="Tenant_94"/>
    <n v="408.41"/>
    <n v="4900.92"/>
    <n v="4900.92"/>
    <s v=""/>
    <d v="2022-03-29T00:00:00"/>
    <d v="2022-10-11T00:00:00"/>
    <n v="61.87"/>
    <n v="39"/>
    <s v="OK"/>
    <s v=""/>
    <s v=""/>
    <n v="113.97488372093024"/>
    <n v="100.87"/>
    <n v="4861.92"/>
    <n v="0"/>
    <s v="0-3 Monaten"/>
    <n v="0"/>
    <n v="43"/>
  </r>
  <r>
    <x v="2"/>
    <s v="U0211"/>
    <s v="Storage"/>
    <n v="162"/>
    <s v="Occupied"/>
    <s v="Tenant_70"/>
    <n v="1370.56"/>
    <n v="16446.72"/>
    <n v="16446.72"/>
    <s v=""/>
    <d v="2021-11-03T00:00:00"/>
    <d v="2025-02-05T00:00:00"/>
    <n v="474.88"/>
    <n v="404.62"/>
    <s v="OK"/>
    <s v=""/>
    <s v=""/>
    <n v="101.52296296296296"/>
    <n v="879.5"/>
    <n v="16042.1"/>
    <n v="0"/>
    <s v="0-3 Monaten"/>
    <n v="0"/>
    <n v="162"/>
  </r>
  <r>
    <x v="7"/>
    <s v="U0212"/>
    <s v="Office"/>
    <n v="229"/>
    <s v="Occupied"/>
    <s v="Tenant_83"/>
    <n v="3869.02"/>
    <n v="46428.24"/>
    <n v="46428.24"/>
    <s v=""/>
    <d v="2021-09-04T00:00:00"/>
    <d v="2024-07-15T00:00:00"/>
    <n v="285.62"/>
    <n v="353.37"/>
    <s v="OK"/>
    <s v=""/>
    <s v=""/>
    <n v="202.74340611353711"/>
    <n v="638.99"/>
    <n v="46074.869999999995"/>
    <n v="0"/>
    <s v="0-3 Monaten"/>
    <n v="0"/>
    <n v="229"/>
  </r>
  <r>
    <x v="7"/>
    <s v="U0213"/>
    <s v="Production"/>
    <n v="377"/>
    <s v="Occupied"/>
    <s v="Tenant_37"/>
    <n v="3803.82"/>
    <n v="45645.84"/>
    <n v="45645.840000000004"/>
    <s v=""/>
    <d v="2023-11-01T00:00:00"/>
    <d v="2026-09-19T00:00:00"/>
    <n v="1071.99"/>
    <n v="248.42"/>
    <s v="OK"/>
    <s v=""/>
    <s v=""/>
    <n v="121.07649867374005"/>
    <n v="1320.41"/>
    <n v="45397.42"/>
    <n v="6"/>
    <s v="3-6 Monaten"/>
    <n v="0"/>
    <n v="377"/>
  </r>
  <r>
    <x v="3"/>
    <s v="U0214"/>
    <s v="Warehouse"/>
    <n v="954"/>
    <s v="Occupied"/>
    <s v="Tenant_27"/>
    <n v="10153.59"/>
    <n v="121843.08"/>
    <n v="121843.08"/>
    <s v=""/>
    <d v="2022-11-07T00:00:00"/>
    <d v="2025-06-30T00:00:00"/>
    <n v="2182.81"/>
    <n v="677.56"/>
    <s v="OK"/>
    <s v=""/>
    <s v=""/>
    <n v="127.71811320754718"/>
    <n v="2860.37"/>
    <n v="121165.52"/>
    <n v="0"/>
    <s v="0-3 Monaten"/>
    <n v="0"/>
    <n v="954"/>
  </r>
  <r>
    <x v="6"/>
    <s v="U0215"/>
    <s v="Storage"/>
    <n v="767"/>
    <s v="Occupied"/>
    <s v="Tenant_24"/>
    <n v="8212.43"/>
    <n v="98549.16"/>
    <n v="98549.16"/>
    <s v=""/>
    <d v="2023-08-13T00:00:00"/>
    <d v="2024-03-07T00:00:00"/>
    <n v="800.81"/>
    <n v="1138.6199999999999"/>
    <s v="OK"/>
    <s v=""/>
    <s v=""/>
    <n v="128.48651890482398"/>
    <n v="1939.4299999999998"/>
    <n v="97410.540000000008"/>
    <n v="0"/>
    <s v="0-3 Monaten"/>
    <n v="0"/>
    <n v="767"/>
  </r>
  <r>
    <x v="6"/>
    <s v="U0216"/>
    <s v="Storage"/>
    <n v="860"/>
    <s v="Occupied"/>
    <s v="Tenant_175"/>
    <n v="5195.8500000000004"/>
    <n v="62350.2"/>
    <n v="62350.200000000004"/>
    <s v=""/>
    <d v="2023-08-02T00:00:00"/>
    <d v="2028-05-13T00:00:00"/>
    <n v="2367.65"/>
    <n v="1574.67"/>
    <s v="OK"/>
    <s v=""/>
    <s v=""/>
    <n v="72.50023255813953"/>
    <n v="3942.32"/>
    <n v="60775.53"/>
    <n v="26"/>
    <s v="12 M+"/>
    <n v="0"/>
    <n v="860"/>
  </r>
  <r>
    <x v="6"/>
    <s v="U0217"/>
    <s v="Production"/>
    <n v="651"/>
    <s v="Occupied"/>
    <s v="Tenant_162"/>
    <n v="6173.01"/>
    <n v="74076.12"/>
    <n v="74076.12"/>
    <s v=""/>
    <d v="2023-09-12T00:00:00"/>
    <d v="2027-01-23T00:00:00"/>
    <n v="1186.49"/>
    <n v="1201.5"/>
    <s v="OK"/>
    <s v=""/>
    <s v=""/>
    <n v="113.78820276497696"/>
    <n v="2387.9899999999998"/>
    <n v="72874.62"/>
    <n v="11"/>
    <s v="6-12 Monaten"/>
    <n v="0"/>
    <n v="651"/>
  </r>
  <r>
    <x v="1"/>
    <s v="U0218"/>
    <s v="Warehouse"/>
    <n v="701"/>
    <s v="Occupied"/>
    <s v="Tenant_146"/>
    <n v="10098.24"/>
    <n v="121178.88"/>
    <n v="121178.88"/>
    <s v=""/>
    <d v="2023-10-18T00:00:00"/>
    <d v="2028-05-27T00:00:00"/>
    <n v="877.49"/>
    <n v="1095.25"/>
    <s v="OK"/>
    <s v=""/>
    <s v=""/>
    <n v="172.86573466476463"/>
    <n v="1972.74"/>
    <n v="120083.63"/>
    <n v="27"/>
    <s v="12 M+"/>
    <n v="0"/>
    <n v="701"/>
  </r>
  <r>
    <x v="2"/>
    <s v="U0219"/>
    <s v="Warehouse"/>
    <n v="1438"/>
    <s v="Occupied"/>
    <s v="Tenant_200"/>
    <n v="17825.34"/>
    <n v="213904.08"/>
    <n v="213904.08000000002"/>
    <s v=""/>
    <d v="2022-04-26T00:00:00"/>
    <d v="2024-12-19T00:00:00"/>
    <n v="3381.73"/>
    <n v="1049.68"/>
    <s v="OK"/>
    <s v=""/>
    <s v=""/>
    <n v="148.75109874826146"/>
    <n v="4431.41"/>
    <n v="212854.39999999999"/>
    <n v="0"/>
    <s v="0-3 Monaten"/>
    <n v="0"/>
    <n v="1438"/>
  </r>
  <r>
    <x v="1"/>
    <s v="U0220"/>
    <s v="Warehouse"/>
    <n v="848"/>
    <s v="Occupied"/>
    <s v="Tenant_83"/>
    <n v="5143.63"/>
    <n v="61723.56"/>
    <n v="61723.56"/>
    <s v=""/>
    <d v="2022-03-19T00:00:00"/>
    <d v="2024-05-05T00:00:00"/>
    <n v="2533.9699999999998"/>
    <n v="1538.63"/>
    <s v="OK"/>
    <s v=""/>
    <s v=""/>
    <n v="72.787216981132076"/>
    <n v="4072.6"/>
    <n v="60184.93"/>
    <n v="0"/>
    <s v="0-3 Monaten"/>
    <n v="0"/>
    <n v="848"/>
  </r>
  <r>
    <x v="2"/>
    <s v="U0221"/>
    <s v="Production"/>
    <n v="485"/>
    <s v="Occupied"/>
    <s v="Tenant_86"/>
    <n v="5728.47"/>
    <n v="68741.64"/>
    <n v="68741.64"/>
    <s v=""/>
    <d v="2021-11-05T00:00:00"/>
    <d v="2023-01-22T00:00:00"/>
    <n v="975.59"/>
    <n v="1182.75"/>
    <s v="OK"/>
    <s v=""/>
    <s v=""/>
    <n v="141.73534020618555"/>
    <n v="2158.34"/>
    <n v="67558.89"/>
    <n v="0"/>
    <s v="0-3 Monaten"/>
    <n v="0"/>
    <n v="485"/>
  </r>
  <r>
    <x v="3"/>
    <s v="U0222"/>
    <s v="Storage"/>
    <n v="130"/>
    <s v="Occupied"/>
    <s v="Tenant_42"/>
    <n v="2121.5"/>
    <n v="25458"/>
    <n v="25458"/>
    <s v=""/>
    <d v="2022-02-28T00:00:00"/>
    <d v="2023-05-19T00:00:00"/>
    <n v="334.11"/>
    <n v="190.1"/>
    <s v="OK"/>
    <s v=""/>
    <s v=""/>
    <n v="195.83076923076922"/>
    <n v="524.21"/>
    <n v="25267.9"/>
    <n v="0"/>
    <s v="0-3 Monaten"/>
    <n v="0"/>
    <n v="130"/>
  </r>
  <r>
    <x v="6"/>
    <s v="U0223"/>
    <s v="Warehouse"/>
    <n v="1468"/>
    <s v="Occupied"/>
    <s v="Tenant_5"/>
    <n v="19321.05"/>
    <n v="231852.6"/>
    <n v="231852.59999999998"/>
    <s v=""/>
    <d v="2023-05-26T00:00:00"/>
    <d v="2026-12-01T00:00:00"/>
    <n v="1474.02"/>
    <n v="1438.13"/>
    <s v="OK"/>
    <s v=""/>
    <s v=""/>
    <n v="157.93773841961854"/>
    <n v="2912.15"/>
    <n v="230414.47"/>
    <n v="9"/>
    <s v="6-12 Monaten"/>
    <n v="0"/>
    <n v="1468"/>
  </r>
  <r>
    <x v="5"/>
    <s v="U0224"/>
    <s v="Production"/>
    <n v="909"/>
    <s v="Occupied"/>
    <s v="Tenant_73"/>
    <n v="8886.81"/>
    <n v="106641.72"/>
    <n v="106641.72"/>
    <s v=""/>
    <d v="2021-05-08T00:00:00"/>
    <d v="2022-02-11T00:00:00"/>
    <n v="2025.1"/>
    <n v="685.1"/>
    <s v="OK"/>
    <s v=""/>
    <s v=""/>
    <n v="117.31762376237624"/>
    <n v="2710.2"/>
    <n v="105956.62"/>
    <n v="0"/>
    <s v="0-3 Monaten"/>
    <n v="0"/>
    <n v="909"/>
  </r>
  <r>
    <x v="0"/>
    <s v="U0225"/>
    <s v="Office"/>
    <n v="1060"/>
    <s v="Occupied"/>
    <s v="Tenant_135"/>
    <n v="18311.439999999999"/>
    <n v="219737.28"/>
    <n v="219737.27999999997"/>
    <s v=""/>
    <d v="2023-03-18T00:00:00"/>
    <d v="2024-04-09T00:00:00"/>
    <n v="1672.67"/>
    <n v="1173.54"/>
    <s v="OK"/>
    <s v=""/>
    <s v=""/>
    <n v="207.29932075471697"/>
    <n v="2846.21"/>
    <n v="218563.74"/>
    <n v="0"/>
    <s v="0-3 Monaten"/>
    <n v="0"/>
    <n v="1060"/>
  </r>
  <r>
    <x v="0"/>
    <s v="U0226"/>
    <s v="Office"/>
    <n v="971"/>
    <s v="Occupied"/>
    <s v="Tenant_123"/>
    <n v="10015.14"/>
    <n v="120181.68"/>
    <n v="120181.68"/>
    <s v=""/>
    <d v="2022-06-09T00:00:00"/>
    <d v="2026-07-24T00:00:00"/>
    <n v="1353.55"/>
    <n v="1116.52"/>
    <s v="OK"/>
    <s v=""/>
    <s v=""/>
    <n v="123.77104016477857"/>
    <n v="2470.0699999999997"/>
    <n v="119065.15999999999"/>
    <n v="5"/>
    <s v="3-6 Monaten"/>
    <n v="0"/>
    <n v="971"/>
  </r>
  <r>
    <x v="3"/>
    <s v="U0227"/>
    <s v="Production"/>
    <n v="692"/>
    <s v="Occupied"/>
    <s v="Tenant_51"/>
    <n v="8867.02"/>
    <n v="106404.24"/>
    <n v="106404.24"/>
    <s v=""/>
    <d v="2021-09-04T00:00:00"/>
    <d v="2025-01-20T00:00:00"/>
    <n v="1038.9000000000001"/>
    <n v="1623.66"/>
    <s v="OK"/>
    <s v=""/>
    <s v=""/>
    <n v="153.76335260115607"/>
    <n v="2662.5600000000004"/>
    <n v="104780.58"/>
    <n v="0"/>
    <s v="0-3 Monaten"/>
    <n v="0"/>
    <n v="692"/>
  </r>
  <r>
    <x v="0"/>
    <s v="U0228"/>
    <s v="Office"/>
    <n v="1275"/>
    <s v="Vacant"/>
    <m/>
    <n v="0"/>
    <n v="0"/>
    <n v="0"/>
    <s v=""/>
    <m/>
    <m/>
    <n v="1870.48"/>
    <n v="2508.64"/>
    <s v="OK"/>
    <s v=""/>
    <s v="Rent&lt;=0"/>
    <s v=""/>
    <n v="4379.12"/>
    <s v=""/>
    <n v="0"/>
    <s v=""/>
    <n v="1275"/>
    <n v="0"/>
  </r>
  <r>
    <x v="3"/>
    <s v="U0229"/>
    <s v="Office"/>
    <n v="1317"/>
    <s v="Occupied"/>
    <s v="Tenant_154"/>
    <n v="22950.58"/>
    <n v="275406.96000000002"/>
    <n v="275406.96000000002"/>
    <s v=""/>
    <d v="2022-01-17T00:00:00"/>
    <d v="2023-12-11T00:00:00"/>
    <n v="3833.91"/>
    <n v="931.14"/>
    <s v="OK"/>
    <s v=""/>
    <s v=""/>
    <n v="209.11690205011391"/>
    <n v="4765.05"/>
    <n v="274475.82"/>
    <n v="0"/>
    <s v="0-3 Monaten"/>
    <n v="0"/>
    <n v="1317"/>
  </r>
  <r>
    <x v="5"/>
    <s v="U0230"/>
    <s v="Storage"/>
    <n v="861"/>
    <s v="Occupied"/>
    <s v="Tenant_175"/>
    <n v="7278.1"/>
    <n v="87337.2"/>
    <n v="87337.200000000012"/>
    <s v=""/>
    <d v="2023-02-18T00:00:00"/>
    <d v="2023-08-24T00:00:00"/>
    <n v="2075.2199999999998"/>
    <n v="1798.75"/>
    <s v="OK"/>
    <s v=""/>
    <s v=""/>
    <n v="101.4369337979094"/>
    <n v="3873.97"/>
    <n v="85538.45"/>
    <n v="0"/>
    <s v="0-3 Monaten"/>
    <n v="0"/>
    <n v="861"/>
  </r>
  <r>
    <x v="1"/>
    <s v="U0231"/>
    <s v="Storage"/>
    <n v="870"/>
    <s v="Vacant"/>
    <m/>
    <n v="0"/>
    <n v="0"/>
    <n v="0"/>
    <s v=""/>
    <m/>
    <m/>
    <n v="2583.94"/>
    <n v="1783.89"/>
    <s v="OK"/>
    <s v=""/>
    <s v="Rent&lt;=0"/>
    <s v=""/>
    <n v="4367.83"/>
    <s v=""/>
    <n v="0"/>
    <s v=""/>
    <n v="870"/>
    <n v="0"/>
  </r>
  <r>
    <x v="5"/>
    <s v="U0232"/>
    <s v="Storage"/>
    <n v="320"/>
    <s v="Occupied"/>
    <s v="Tenant_52"/>
    <n v="3240.91"/>
    <n v="38890.92"/>
    <n v="38890.92"/>
    <s v=""/>
    <d v="2022-02-22T00:00:00"/>
    <d v="2026-07-27T00:00:00"/>
    <n v="680.39"/>
    <n v="564.66999999999996"/>
    <s v="OK"/>
    <s v=""/>
    <s v=""/>
    <n v="121.53412499999999"/>
    <n v="1245.06"/>
    <n v="38326.25"/>
    <n v="5"/>
    <s v="3-6 Monaten"/>
    <n v="0"/>
    <n v="320"/>
  </r>
  <r>
    <x v="0"/>
    <s v="U0233"/>
    <s v="Warehouse"/>
    <n v="985"/>
    <s v="Occupied"/>
    <s v="Tenant_135"/>
    <n v="7078.44"/>
    <n v="84941.28"/>
    <n v="84941.28"/>
    <s v=""/>
    <d v="2021-12-15T00:00:00"/>
    <d v="2026-11-03T00:00:00"/>
    <n v="2236.4899999999998"/>
    <n v="2319.52"/>
    <s v="OK"/>
    <s v=""/>
    <s v=""/>
    <n v="86.234802030456848"/>
    <n v="4556.01"/>
    <n v="82621.759999999995"/>
    <n v="8"/>
    <s v="6-12 Monaten"/>
    <n v="0"/>
    <n v="985"/>
  </r>
  <r>
    <x v="5"/>
    <s v="U0234"/>
    <s v="Storage"/>
    <n v="1275"/>
    <s v="Occupied"/>
    <s v="Tenant_174"/>
    <n v="17154.490000000002"/>
    <n v="205853.88"/>
    <n v="205853.88"/>
    <s v=""/>
    <d v="2023-06-21T00:00:00"/>
    <d v="2024-11-16T00:00:00"/>
    <n v="2336.5300000000002"/>
    <n v="1047.57"/>
    <s v="OK"/>
    <s v=""/>
    <s v=""/>
    <n v="161.45402352941176"/>
    <n v="3384.1000000000004"/>
    <n v="204806.31"/>
    <n v="0"/>
    <s v="0-3 Monaten"/>
    <n v="0"/>
    <n v="1275"/>
  </r>
  <r>
    <x v="4"/>
    <s v="U0235"/>
    <s v="Office"/>
    <n v="667"/>
    <s v="Occupied"/>
    <s v="Tenant_144"/>
    <n v="11218.99"/>
    <n v="134627.88"/>
    <n v="134627.88"/>
    <s v=""/>
    <d v="2021-11-03T00:00:00"/>
    <d v="2023-08-17T00:00:00"/>
    <n v="1245.32"/>
    <n v="1037.68"/>
    <s v="OK"/>
    <s v=""/>
    <s v=""/>
    <n v="201.84089955022489"/>
    <n v="2283"/>
    <n v="133590.20000000001"/>
    <n v="0"/>
    <s v="0-3 Monaten"/>
    <n v="0"/>
    <n v="667"/>
  </r>
  <r>
    <x v="6"/>
    <s v="U0236"/>
    <s v="Production"/>
    <n v="1426"/>
    <s v="Occupied"/>
    <s v="Tenant_37"/>
    <n v="14591.64"/>
    <n v="175099.68"/>
    <n v="175099.68"/>
    <s v=""/>
    <d v="2023-10-19T00:00:00"/>
    <d v="2026-02-11T00:00:00"/>
    <n v="3859.89"/>
    <n v="2761.71"/>
    <s v="OK"/>
    <s v=""/>
    <s v=""/>
    <n v="122.79079943899018"/>
    <n v="6621.6"/>
    <n v="172337.97"/>
    <n v="0"/>
    <s v="0-3 Monaten"/>
    <n v="0"/>
    <n v="1426"/>
  </r>
  <r>
    <x v="3"/>
    <s v="U0237"/>
    <s v="Warehouse"/>
    <n v="1205"/>
    <s v="Occupied"/>
    <s v="Tenant_181"/>
    <n v="14186.75"/>
    <n v="170241"/>
    <n v="170241"/>
    <s v=""/>
    <d v="2022-11-01T00:00:00"/>
    <d v="2023-08-11T00:00:00"/>
    <n v="1442.18"/>
    <n v="2416.7600000000002"/>
    <s v="OK"/>
    <s v=""/>
    <s v=""/>
    <n v="141.27883817427386"/>
    <n v="3858.9400000000005"/>
    <n v="167824.24"/>
    <n v="0"/>
    <s v="0-3 Monaten"/>
    <n v="0"/>
    <n v="1205"/>
  </r>
  <r>
    <x v="3"/>
    <s v="U0238"/>
    <s v="Warehouse"/>
    <n v="361"/>
    <s v="Vacant"/>
    <m/>
    <n v="0"/>
    <n v="0"/>
    <n v="0"/>
    <s v=""/>
    <m/>
    <m/>
    <n v="1074.4000000000001"/>
    <n v="732.51"/>
    <s v="OK"/>
    <s v=""/>
    <s v="Rent&lt;=0"/>
    <s v=""/>
    <n v="1806.91"/>
    <s v=""/>
    <n v="0"/>
    <s v=""/>
    <n v="361"/>
    <n v="0"/>
  </r>
  <r>
    <x v="2"/>
    <s v="U0239"/>
    <s v="Warehouse"/>
    <n v="787"/>
    <s v="Occupied"/>
    <s v="Tenant_198"/>
    <n v="11863.97"/>
    <n v="142367.64000000001"/>
    <n v="142367.63999999998"/>
    <s v=""/>
    <d v="2023-01-05T00:00:00"/>
    <d v="2023-07-21T00:00:00"/>
    <n v="832.76"/>
    <n v="488.84"/>
    <s v="OK"/>
    <s v=""/>
    <s v=""/>
    <n v="180.89916137229989"/>
    <n v="1321.6"/>
    <n v="141878.80000000002"/>
    <n v="0"/>
    <s v="0-3 Monaten"/>
    <n v="0"/>
    <n v="787"/>
  </r>
  <r>
    <x v="2"/>
    <s v="U0240"/>
    <s v="Office"/>
    <n v="199"/>
    <s v="Occupied"/>
    <s v="Tenant_96"/>
    <n v="3522.71"/>
    <n v="42272.52"/>
    <n v="42272.520000000004"/>
    <s v=""/>
    <d v="2023-03-03T00:00:00"/>
    <d v="2026-05-11T00:00:00"/>
    <n v="338.68"/>
    <n v="122.67"/>
    <s v="OK"/>
    <s v=""/>
    <s v=""/>
    <n v="212.42472361809044"/>
    <n v="461.35"/>
    <n v="42149.85"/>
    <n v="2"/>
    <s v="0-3 Monaten"/>
    <n v="0"/>
    <n v="199"/>
  </r>
  <r>
    <x v="1"/>
    <s v="U0241"/>
    <s v="Storage"/>
    <n v="578"/>
    <s v="Occupied"/>
    <s v="Tenant_94"/>
    <n v="3806.78"/>
    <n v="45681.36"/>
    <n v="45681.36"/>
    <s v=""/>
    <d v="2021-08-27T00:00:00"/>
    <d v="2022-09-18T00:00:00"/>
    <n v="804.25"/>
    <n v="686.24"/>
    <s v="OK"/>
    <s v=""/>
    <s v=""/>
    <n v="79.033494809688577"/>
    <n v="1490.49"/>
    <n v="44995.12"/>
    <n v="0"/>
    <s v="0-3 Monaten"/>
    <n v="0"/>
    <n v="578"/>
  </r>
  <r>
    <x v="6"/>
    <s v="U0242"/>
    <s v="Storage"/>
    <n v="566"/>
    <s v="Occupied"/>
    <s v="Tenant_29"/>
    <n v="8728.09"/>
    <n v="104737.08"/>
    <n v="104737.08"/>
    <s v=""/>
    <d v="2023-06-17T00:00:00"/>
    <d v="2028-03-16T00:00:00"/>
    <n v="616.99"/>
    <n v="377.36"/>
    <s v="OK"/>
    <s v=""/>
    <s v=""/>
    <n v="185.04784452296821"/>
    <n v="994.35"/>
    <n v="104359.72"/>
    <n v="24"/>
    <s v="12 M+"/>
    <n v="0"/>
    <n v="566"/>
  </r>
  <r>
    <x v="2"/>
    <s v="U0243"/>
    <s v="Office"/>
    <n v="623"/>
    <s v="Occupied"/>
    <s v="Tenant_80"/>
    <n v="11101.12"/>
    <n v="133213.44"/>
    <n v="133213.44"/>
    <s v=""/>
    <d v="2023-05-14T00:00:00"/>
    <d v="2026-02-18T00:00:00"/>
    <n v="1431.69"/>
    <n v="1029.93"/>
    <s v="OK"/>
    <s v=""/>
    <s v=""/>
    <n v="213.82574638844301"/>
    <n v="2461.62"/>
    <n v="132183.51"/>
    <n v="0"/>
    <s v="0-3 Monaten"/>
    <n v="0"/>
    <n v="623"/>
  </r>
  <r>
    <x v="0"/>
    <s v="U0244"/>
    <s v="Production"/>
    <n v="1421"/>
    <s v="Occupied"/>
    <s v="Tenant_168"/>
    <n v="20684.18"/>
    <n v="248210.16"/>
    <n v="248210.16"/>
    <s v=""/>
    <d v="2023-11-10T00:00:00"/>
    <d v="2028-09-18T00:00:00"/>
    <n v="3247.84"/>
    <n v="1009.17"/>
    <s v="OK"/>
    <s v=""/>
    <s v=""/>
    <n v="174.67287825475017"/>
    <n v="4257.01"/>
    <n v="247200.99"/>
    <n v="30"/>
    <s v="12 M+"/>
    <n v="0"/>
    <n v="1421"/>
  </r>
  <r>
    <x v="6"/>
    <s v="U0245"/>
    <s v="Storage"/>
    <n v="895"/>
    <s v="Occupied"/>
    <s v="Tenant_102"/>
    <n v="10253.629999999999"/>
    <n v="123043.56"/>
    <n v="123043.56"/>
    <s v=""/>
    <d v="2022-06-12T00:00:00"/>
    <d v="2026-06-28T00:00:00"/>
    <n v="2159.2399999999998"/>
    <n v="450.28"/>
    <s v="OK"/>
    <s v=""/>
    <s v=""/>
    <n v="137.47883798882683"/>
    <n v="2609.5199999999995"/>
    <n v="122593.28"/>
    <n v="4"/>
    <s v="3-6 Monaten"/>
    <n v="0"/>
    <n v="895"/>
  </r>
  <r>
    <x v="3"/>
    <s v="U0246"/>
    <s v="Storage"/>
    <n v="1448"/>
    <s v="Occupied"/>
    <s v="Tenant_117"/>
    <n v="13469.14"/>
    <n v="161629.68"/>
    <n v="161629.68"/>
    <s v=""/>
    <d v="2021-04-26T00:00:00"/>
    <d v="2022-09-20T00:00:00"/>
    <n v="4164.13"/>
    <n v="3240.89"/>
    <s v="OK"/>
    <s v=""/>
    <s v=""/>
    <n v="111.62270718232044"/>
    <n v="7405.02"/>
    <n v="158388.78999999998"/>
    <n v="0"/>
    <s v="0-3 Monaten"/>
    <n v="0"/>
    <n v="1448"/>
  </r>
  <r>
    <x v="6"/>
    <s v="U0247"/>
    <s v="Office"/>
    <n v="291"/>
    <s v="Occupied"/>
    <s v="Tenant_156"/>
    <n v="5193.4799999999996"/>
    <n v="62321.760000000002"/>
    <n v="62321.759999999995"/>
    <s v=""/>
    <d v="2023-09-02T00:00:00"/>
    <d v="2028-01-07T00:00:00"/>
    <n v="815.6"/>
    <n v="642.96"/>
    <s v="OK"/>
    <s v=""/>
    <s v=""/>
    <n v="214.16412371134021"/>
    <n v="1458.56"/>
    <n v="61678.8"/>
    <n v="22"/>
    <s v="12 M+"/>
    <n v="0"/>
    <n v="291"/>
  </r>
  <r>
    <x v="4"/>
    <s v="U0248"/>
    <s v="Office"/>
    <n v="1284"/>
    <s v="Occupied"/>
    <s v="Tenant_71"/>
    <n v="13173.91"/>
    <n v="158086.92000000001"/>
    <n v="158086.91999999998"/>
    <s v=""/>
    <d v="2023-12-16T00:00:00"/>
    <d v="2028-10-04T00:00:00"/>
    <n v="1546.6"/>
    <n v="2354.67"/>
    <s v="OK"/>
    <s v=""/>
    <s v=""/>
    <n v="123.12065420560748"/>
    <n v="3901.27"/>
    <n v="155732.25"/>
    <n v="31"/>
    <s v="12 M+"/>
    <n v="0"/>
    <n v="1284"/>
  </r>
  <r>
    <x v="0"/>
    <s v="U0249"/>
    <s v="Storage"/>
    <n v="113"/>
    <s v="Vacant"/>
    <m/>
    <n v="0"/>
    <n v="0"/>
    <n v="0"/>
    <s v=""/>
    <m/>
    <m/>
    <n v="305.48"/>
    <n v="77.94"/>
    <s v="OK"/>
    <s v=""/>
    <s v="Rent&lt;=0"/>
    <s v=""/>
    <n v="383.42"/>
    <s v=""/>
    <n v="0"/>
    <s v=""/>
    <n v="113"/>
    <n v="0"/>
  </r>
  <r>
    <x v="4"/>
    <s v="U0250"/>
    <s v="Production"/>
    <n v="1319"/>
    <s v="Occupied"/>
    <s v="Tenant_18"/>
    <n v="13727.44"/>
    <n v="164729.28"/>
    <n v="164729.28"/>
    <s v=""/>
    <d v="2021-07-25T00:00:00"/>
    <d v="2023-05-19T00:00:00"/>
    <n v="2644.35"/>
    <n v="3270.93"/>
    <s v="OK"/>
    <s v=""/>
    <s v=""/>
    <n v="124.88952236542835"/>
    <n v="5915.28"/>
    <n v="161458.35"/>
    <n v="0"/>
    <s v="0-3 Monaten"/>
    <n v="0"/>
    <n v="1319"/>
  </r>
  <r>
    <x v="1"/>
    <s v="U0251"/>
    <s v="Warehouse"/>
    <n v="1182"/>
    <s v="Occupied"/>
    <s v="Tenant_84"/>
    <n v="11810.83"/>
    <n v="141729.96"/>
    <n v="141729.96"/>
    <s v=""/>
    <d v="2021-10-17T00:00:00"/>
    <d v="2024-03-29T00:00:00"/>
    <n v="3069.43"/>
    <n v="821.43"/>
    <s v="OK"/>
    <s v=""/>
    <s v=""/>
    <n v="119.90690355329949"/>
    <n v="3890.8599999999997"/>
    <n v="140908.53"/>
    <n v="0"/>
    <s v="0-3 Monaten"/>
    <n v="0"/>
    <n v="1182"/>
  </r>
  <r>
    <x v="1"/>
    <s v="U0252"/>
    <s v="Warehouse"/>
    <n v="663"/>
    <s v="Occupied"/>
    <s v="Tenant_101"/>
    <n v="9581.48"/>
    <n v="114977.76"/>
    <n v="114977.76"/>
    <s v=""/>
    <d v="2023-05-16T00:00:00"/>
    <d v="2026-01-29T00:00:00"/>
    <n v="1371.59"/>
    <n v="773.13"/>
    <s v="OK"/>
    <s v=""/>
    <s v=""/>
    <n v="173.42045248868777"/>
    <n v="2144.7199999999998"/>
    <n v="114204.62999999999"/>
    <n v="0"/>
    <s v="0-3 Monaten"/>
    <n v="0"/>
    <n v="663"/>
  </r>
  <r>
    <x v="0"/>
    <s v="U0253"/>
    <s v="Storage"/>
    <n v="1125"/>
    <s v="Occupied"/>
    <s v="Tenant_73"/>
    <n v="12123.8"/>
    <n v="145485.6"/>
    <n v="145485.59999999998"/>
    <s v=""/>
    <d v="2022-05-27T00:00:00"/>
    <d v="2025-12-10T00:00:00"/>
    <n v="2341.34"/>
    <n v="2169.87"/>
    <s v="OK"/>
    <s v=""/>
    <s v=""/>
    <n v="129.32053333333334"/>
    <n v="4511.21"/>
    <n v="143315.73000000001"/>
    <n v="0"/>
    <s v="0-3 Monaten"/>
    <n v="0"/>
    <n v="1125"/>
  </r>
  <r>
    <x v="4"/>
    <s v="U0254"/>
    <s v="Storage"/>
    <n v="868"/>
    <s v="Occupied"/>
    <s v="Tenant_87"/>
    <n v="12028.24"/>
    <n v="144338.88"/>
    <n v="144338.88"/>
    <s v=""/>
    <d v="2022-01-15T00:00:00"/>
    <d v="2025-07-18T00:00:00"/>
    <n v="2394.36"/>
    <n v="1357.48"/>
    <s v="OK"/>
    <s v=""/>
    <s v=""/>
    <n v="166.28903225806451"/>
    <n v="3751.84"/>
    <n v="142981.4"/>
    <n v="0"/>
    <s v="0-3 Monaten"/>
    <n v="0"/>
    <n v="868"/>
  </r>
  <r>
    <x v="3"/>
    <s v="U0255"/>
    <s v="Office"/>
    <n v="1211"/>
    <s v="Occupied"/>
    <s v="Tenant_77"/>
    <n v="11158.92"/>
    <n v="133907.04"/>
    <n v="133907.04"/>
    <s v=""/>
    <d v="2022-02-26T00:00:00"/>
    <d v="2025-03-31T00:00:00"/>
    <n v="1380.35"/>
    <n v="1312.52"/>
    <s v="OK"/>
    <s v=""/>
    <s v=""/>
    <n v="110.57559042113957"/>
    <n v="2692.87"/>
    <n v="132594.52000000002"/>
    <n v="0"/>
    <s v="0-3 Monaten"/>
    <n v="0"/>
    <n v="1211"/>
  </r>
  <r>
    <x v="4"/>
    <s v="U0256"/>
    <s v="Production"/>
    <n v="1306"/>
    <s v="Occupied"/>
    <s v="Tenant_147"/>
    <n v="21377.51"/>
    <n v="256530.12"/>
    <n v="256530.12"/>
    <s v=""/>
    <d v="2022-07-17T00:00:00"/>
    <d v="2025-01-25T00:00:00"/>
    <n v="1798.49"/>
    <n v="1707.22"/>
    <s v="OK"/>
    <s v=""/>
    <s v=""/>
    <n v="196.42428790199079"/>
    <n v="3505.71"/>
    <n v="254822.9"/>
    <n v="0"/>
    <s v="0-3 Monaten"/>
    <n v="0"/>
    <n v="1306"/>
  </r>
  <r>
    <x v="1"/>
    <s v="U0257"/>
    <s v="Office"/>
    <n v="1065"/>
    <s v="Occupied"/>
    <s v="Tenant_97"/>
    <n v="9261.65"/>
    <n v="111139.8"/>
    <n v="111139.79999999999"/>
    <s v=""/>
    <d v="2023-05-23T00:00:00"/>
    <d v="2027-11-30T00:00:00"/>
    <n v="1869.29"/>
    <n v="1399.89"/>
    <s v="OK"/>
    <s v=""/>
    <s v=""/>
    <n v="104.35661971830986"/>
    <n v="3269.1800000000003"/>
    <n v="109739.91"/>
    <n v="21"/>
    <s v="12 M+"/>
    <n v="0"/>
    <n v="1065"/>
  </r>
  <r>
    <x v="6"/>
    <s v="U0258"/>
    <s v="Office"/>
    <n v="606"/>
    <s v="Occupied"/>
    <s v="Tenant_121"/>
    <n v="9430.5300000000007"/>
    <n v="113166.36"/>
    <n v="113166.36000000002"/>
    <s v=""/>
    <d v="2021-06-15T00:00:00"/>
    <d v="2024-05-26T00:00:00"/>
    <n v="1647.28"/>
    <n v="1135.04"/>
    <s v="OK"/>
    <s v=""/>
    <s v=""/>
    <n v="186.74316831683169"/>
    <n v="2782.3199999999997"/>
    <n v="112031.32"/>
    <n v="0"/>
    <s v="0-3 Monaten"/>
    <n v="0"/>
    <n v="606"/>
  </r>
  <r>
    <x v="4"/>
    <s v="U0259"/>
    <s v="Production"/>
    <n v="1292"/>
    <s v="Occupied"/>
    <s v="Tenant_148"/>
    <n v="13841.72"/>
    <n v="166100.64000000001"/>
    <n v="166100.63999999998"/>
    <s v=""/>
    <d v="2023-06-12T00:00:00"/>
    <d v="2025-04-22T00:00:00"/>
    <n v="1464.11"/>
    <n v="2822.58"/>
    <s v="OK"/>
    <s v=""/>
    <s v=""/>
    <n v="128.56086687306504"/>
    <n v="4286.6899999999996"/>
    <n v="163278.06000000003"/>
    <n v="0"/>
    <s v="0-3 Monaten"/>
    <n v="0"/>
    <n v="1292"/>
  </r>
  <r>
    <x v="5"/>
    <s v="U0260"/>
    <s v="Production"/>
    <n v="737"/>
    <s v="Occupied"/>
    <s v="Tenant_153"/>
    <n v="11569.91"/>
    <n v="138838.92000000001"/>
    <n v="138838.91999999998"/>
    <s v=""/>
    <d v="2021-05-29T00:00:00"/>
    <d v="2024-10-26T00:00:00"/>
    <n v="1021.83"/>
    <n v="795.58"/>
    <s v="OK"/>
    <s v=""/>
    <s v=""/>
    <n v="188.38388059701495"/>
    <n v="1817.41"/>
    <n v="138043.34000000003"/>
    <n v="0"/>
    <s v="0-3 Monaten"/>
    <n v="0"/>
    <n v="737"/>
  </r>
  <r>
    <x v="3"/>
    <s v="U0261"/>
    <s v="Office"/>
    <n v="932"/>
    <s v="Occupied"/>
    <s v="Tenant_176"/>
    <n v="7401.95"/>
    <n v="88823.4"/>
    <n v="88823.4"/>
    <s v=""/>
    <d v="2022-05-14T00:00:00"/>
    <d v="2023-04-18T00:00:00"/>
    <n v="2443.35"/>
    <n v="757.45"/>
    <s v="OK"/>
    <s v=""/>
    <s v=""/>
    <n v="95.304077253218878"/>
    <n v="3200.8"/>
    <n v="88065.95"/>
    <n v="0"/>
    <s v="0-3 Monaten"/>
    <n v="0"/>
    <n v="932"/>
  </r>
  <r>
    <x v="5"/>
    <s v="U0262"/>
    <s v="Storage"/>
    <n v="907"/>
    <s v="Occupied"/>
    <s v="Tenant_102"/>
    <n v="12409.13"/>
    <n v="148909.56"/>
    <n v="148909.56"/>
    <s v=""/>
    <d v="2023-03-29T00:00:00"/>
    <d v="2025-02-12T00:00:00"/>
    <n v="1980.97"/>
    <n v="1518.78"/>
    <s v="OK"/>
    <s v=""/>
    <s v=""/>
    <n v="164.17812568908488"/>
    <n v="3499.75"/>
    <n v="147390.78"/>
    <n v="0"/>
    <s v="0-3 Monaten"/>
    <n v="0"/>
    <n v="907"/>
  </r>
  <r>
    <x v="1"/>
    <s v="U0263"/>
    <s v="Storage"/>
    <n v="1243"/>
    <s v="Occupied"/>
    <s v="Tenant_41"/>
    <n v="14047.51"/>
    <n v="168570.12"/>
    <n v="168570.12"/>
    <s v=""/>
    <d v="2021-06-09T00:00:00"/>
    <d v="2021-12-07T00:00:00"/>
    <n v="3340.25"/>
    <n v="1271.97"/>
    <s v="OK"/>
    <s v=""/>
    <s v=""/>
    <n v="135.61554304102975"/>
    <n v="4612.22"/>
    <n v="167298.15"/>
    <n v="0"/>
    <s v="0-3 Monaten"/>
    <n v="0"/>
    <n v="1243"/>
  </r>
  <r>
    <x v="0"/>
    <s v="U0264"/>
    <s v="Warehouse"/>
    <n v="1219"/>
    <s v="Occupied"/>
    <s v="Tenant_15"/>
    <n v="14433.44"/>
    <n v="173201.28"/>
    <n v="173201.28"/>
    <s v=""/>
    <d v="2021-08-05T00:00:00"/>
    <d v="2022-08-14T00:00:00"/>
    <n v="3482.79"/>
    <n v="1141.3900000000001"/>
    <s v="OK"/>
    <s v=""/>
    <s v=""/>
    <n v="142.08472518457751"/>
    <n v="4624.18"/>
    <n v="172059.88999999998"/>
    <n v="0"/>
    <s v="0-3 Monaten"/>
    <n v="0"/>
    <n v="1219"/>
  </r>
  <r>
    <x v="2"/>
    <s v="U0265"/>
    <s v="Storage"/>
    <n v="1121"/>
    <s v="Occupied"/>
    <s v="Tenant_27"/>
    <n v="10977.23"/>
    <n v="131726.76"/>
    <n v="131726.76"/>
    <s v=""/>
    <d v="2021-08-28T00:00:00"/>
    <d v="2023-06-27T00:00:00"/>
    <n v="1740.74"/>
    <n v="2055.2399999999998"/>
    <s v="OK"/>
    <s v=""/>
    <s v=""/>
    <n v="117.50826048171277"/>
    <n v="3795.9799999999996"/>
    <n v="129671.52"/>
    <n v="0"/>
    <s v="0-3 Monaten"/>
    <n v="0"/>
    <n v="1121"/>
  </r>
  <r>
    <x v="3"/>
    <s v="U0266"/>
    <s v="Production"/>
    <n v="816"/>
    <s v="Occupied"/>
    <s v="Tenant_92"/>
    <n v="7869.55"/>
    <n v="94434.6"/>
    <n v="94434.6"/>
    <s v=""/>
    <d v="2022-05-05T00:00:00"/>
    <d v="2023-02-17T00:00:00"/>
    <n v="1300.73"/>
    <n v="686.34"/>
    <s v="OK"/>
    <s v=""/>
    <s v=""/>
    <n v="115.72867647058824"/>
    <n v="1987.0700000000002"/>
    <n v="93748.260000000009"/>
    <n v="0"/>
    <s v="0-3 Monaten"/>
    <n v="0"/>
    <n v="816"/>
  </r>
  <r>
    <x v="0"/>
    <s v="U0267"/>
    <s v="Warehouse"/>
    <n v="831"/>
    <s v="Occupied"/>
    <s v="Tenant_121"/>
    <n v="6279.65"/>
    <n v="75355.8"/>
    <n v="75355.799999999988"/>
    <s v=""/>
    <d v="2021-09-13T00:00:00"/>
    <d v="2024-10-22T00:00:00"/>
    <n v="2301.5"/>
    <n v="877.18"/>
    <s v="OK"/>
    <s v=""/>
    <s v=""/>
    <n v="90.680866425992789"/>
    <n v="3178.68"/>
    <n v="74478.62000000001"/>
    <n v="0"/>
    <s v="0-3 Monaten"/>
    <n v="0"/>
    <n v="831"/>
  </r>
  <r>
    <x v="2"/>
    <s v="U0268"/>
    <s v="Production"/>
    <n v="1481"/>
    <s v="Vacant"/>
    <m/>
    <n v="0"/>
    <n v="0"/>
    <n v="0"/>
    <s v=""/>
    <m/>
    <m/>
    <n v="4308.04"/>
    <n v="3570.43"/>
    <s v="OK"/>
    <s v=""/>
    <s v="Rent&lt;=0"/>
    <s v=""/>
    <n v="7878.4699999999993"/>
    <s v=""/>
    <n v="0"/>
    <s v=""/>
    <n v="1481"/>
    <n v="0"/>
  </r>
  <r>
    <x v="3"/>
    <s v="U0269"/>
    <s v="Storage"/>
    <n v="784"/>
    <s v="Occupied"/>
    <s v="Tenant_28"/>
    <n v="6149.55"/>
    <n v="73794.600000000006"/>
    <n v="73794.600000000006"/>
    <s v=""/>
    <d v="2022-05-17T00:00:00"/>
    <d v="2023-01-27T00:00:00"/>
    <n v="1081.3699999999999"/>
    <n v="1367.92"/>
    <s v="OK"/>
    <s v=""/>
    <s v=""/>
    <n v="94.12576530612246"/>
    <n v="2449.29"/>
    <n v="72426.680000000008"/>
    <n v="0"/>
    <s v="0-3 Monaten"/>
    <n v="0"/>
    <n v="784"/>
  </r>
  <r>
    <x v="3"/>
    <s v="U0270"/>
    <s v="Production"/>
    <n v="709"/>
    <s v="Occupied"/>
    <s v="Tenant_93"/>
    <n v="8072.65"/>
    <n v="96871.8"/>
    <n v="96871.799999999988"/>
    <s v=""/>
    <d v="2023-06-01T00:00:00"/>
    <d v="2026-05-28T00:00:00"/>
    <n v="1473.89"/>
    <n v="1159.49"/>
    <s v="OK"/>
    <s v=""/>
    <s v=""/>
    <n v="136.63159379407617"/>
    <n v="2633.38"/>
    <n v="95712.31"/>
    <n v="3"/>
    <s v="0-3 Monaten"/>
    <n v="0"/>
    <n v="709"/>
  </r>
  <r>
    <x v="7"/>
    <s v="U0271"/>
    <s v="Warehouse"/>
    <n v="288"/>
    <s v="Occupied"/>
    <s v="Tenant_186"/>
    <n v="2628.04"/>
    <n v="31536.48"/>
    <n v="31536.48"/>
    <s v=""/>
    <d v="2022-01-22T00:00:00"/>
    <d v="2024-10-06T00:00:00"/>
    <n v="350.7"/>
    <n v="400.82"/>
    <s v="OK"/>
    <s v=""/>
    <s v=""/>
    <n v="109.50166666666667"/>
    <n v="751.52"/>
    <n v="31135.66"/>
    <n v="0"/>
    <s v="0-3 Monaten"/>
    <n v="0"/>
    <n v="288"/>
  </r>
  <r>
    <x v="1"/>
    <s v="U0272"/>
    <s v="Storage"/>
    <n v="1258"/>
    <s v="Occupied"/>
    <s v="Tenant_29"/>
    <n v="17573.45"/>
    <n v="210881.4"/>
    <n v="210881.40000000002"/>
    <s v=""/>
    <d v="2022-06-03T00:00:00"/>
    <d v="2023-09-09T00:00:00"/>
    <n v="1344.37"/>
    <n v="2963.51"/>
    <s v="OK"/>
    <s v=""/>
    <s v=""/>
    <n v="167.63227344992052"/>
    <n v="4307.88"/>
    <n v="207917.88999999998"/>
    <n v="0"/>
    <s v="0-3 Monaten"/>
    <n v="0"/>
    <n v="1258"/>
  </r>
  <r>
    <x v="1"/>
    <s v="U0273"/>
    <s v="Production"/>
    <n v="1187"/>
    <s v="Occupied"/>
    <s v="Tenant_85"/>
    <n v="13280.47"/>
    <n v="159365.64000000001"/>
    <n v="159365.63999999998"/>
    <s v=""/>
    <d v="2021-04-19T00:00:00"/>
    <d v="2023-12-17T00:00:00"/>
    <n v="1730.5"/>
    <n v="2733.89"/>
    <s v="OK"/>
    <s v=""/>
    <s v=""/>
    <n v="134.25917438921653"/>
    <n v="4464.3899999999994"/>
    <n v="156631.75"/>
    <n v="0"/>
    <s v="0-3 Monaten"/>
    <n v="0"/>
    <n v="1187"/>
  </r>
  <r>
    <x v="1"/>
    <s v="U0274"/>
    <s v="Storage"/>
    <n v="923"/>
    <s v="Occupied"/>
    <s v="Tenant_45"/>
    <n v="10482.98"/>
    <n v="125795.76"/>
    <n v="125795.76"/>
    <s v=""/>
    <d v="2022-10-27T00:00:00"/>
    <d v="2023-07-07T00:00:00"/>
    <n v="1449.54"/>
    <n v="556.03"/>
    <s v="OK"/>
    <s v=""/>
    <s v=""/>
    <n v="136.29009750812568"/>
    <n v="2005.57"/>
    <n v="125239.73"/>
    <n v="0"/>
    <s v="0-3 Monaten"/>
    <n v="0"/>
    <n v="923"/>
  </r>
  <r>
    <x v="7"/>
    <s v="U0275"/>
    <s v="Office"/>
    <n v="1238"/>
    <s v="Occupied"/>
    <s v="Tenant_192"/>
    <n v="20531.669999999998"/>
    <n v="246380.04"/>
    <n v="246380.03999999998"/>
    <s v=""/>
    <d v="2023-11-05T00:00:00"/>
    <d v="2026-11-28T00:00:00"/>
    <n v="2347.3200000000002"/>
    <n v="2848.92"/>
    <s v="OK"/>
    <s v=""/>
    <s v=""/>
    <n v="199.01457189014539"/>
    <n v="5196.24"/>
    <n v="243531.12"/>
    <n v="9"/>
    <s v="6-12 Monaten"/>
    <n v="0"/>
    <n v="1238"/>
  </r>
  <r>
    <x v="3"/>
    <s v="U0276"/>
    <s v="Office"/>
    <n v="976"/>
    <s v="Occupied"/>
    <s v="Tenant_86"/>
    <n v="15485.99"/>
    <n v="185831.88"/>
    <n v="185831.88"/>
    <s v=""/>
    <d v="2023-03-10T00:00:00"/>
    <d v="2023-10-03T00:00:00"/>
    <n v="1888.16"/>
    <n v="1453"/>
    <s v="OK"/>
    <s v=""/>
    <s v=""/>
    <n v="190.40151639344262"/>
    <n v="3341.16"/>
    <n v="184378.88"/>
    <n v="0"/>
    <s v="0-3 Monaten"/>
    <n v="0"/>
    <n v="976"/>
  </r>
  <r>
    <x v="0"/>
    <s v="U0277"/>
    <s v="Production"/>
    <n v="106"/>
    <s v="Occupied"/>
    <s v="Tenant_14"/>
    <n v="1138.29"/>
    <n v="13659.48"/>
    <n v="13659.48"/>
    <s v=""/>
    <d v="2023-03-09T00:00:00"/>
    <d v="2026-09-21T00:00:00"/>
    <n v="295"/>
    <n v="67.510000000000005"/>
    <s v="OK"/>
    <s v=""/>
    <s v=""/>
    <n v="128.86301886792452"/>
    <n v="362.51"/>
    <n v="13591.97"/>
    <n v="7"/>
    <s v="6-12 Monaten"/>
    <n v="0"/>
    <n v="106"/>
  </r>
  <r>
    <x v="0"/>
    <s v="U0278"/>
    <s v="Production"/>
    <n v="488"/>
    <s v="Occupied"/>
    <s v="Tenant_51"/>
    <n v="6526.15"/>
    <n v="78313.8"/>
    <n v="78313.799999999988"/>
    <s v=""/>
    <d v="2023-11-02T00:00:00"/>
    <d v="2026-03-28T00:00:00"/>
    <n v="492.15"/>
    <n v="487.89"/>
    <s v="OK"/>
    <s v=""/>
    <s v=""/>
    <n v="160.47909836065574"/>
    <n v="980.04"/>
    <n v="77825.91"/>
    <n v="1"/>
    <s v="0-3 Monaten"/>
    <n v="0"/>
    <n v="488"/>
  </r>
  <r>
    <x v="0"/>
    <s v="U0279"/>
    <s v="Storage"/>
    <n v="81"/>
    <s v="Occupied"/>
    <s v="Tenant_105"/>
    <n v="1179.27"/>
    <n v="14151.24"/>
    <n v="14151.24"/>
    <s v=""/>
    <d v="2022-03-22T00:00:00"/>
    <d v="2023-12-01T00:00:00"/>
    <n v="142.53"/>
    <n v="73.38"/>
    <s v="OK"/>
    <s v=""/>
    <s v=""/>
    <n v="174.70666666666668"/>
    <n v="215.91"/>
    <n v="14077.86"/>
    <n v="0"/>
    <s v="0-3 Monaten"/>
    <n v="0"/>
    <n v="81"/>
  </r>
  <r>
    <x v="1"/>
    <s v="U0280"/>
    <s v="Storage"/>
    <n v="1232"/>
    <s v="Occupied"/>
    <s v="Tenant_122"/>
    <n v="8562.11"/>
    <n v="102745.32"/>
    <n v="102745.32"/>
    <s v=""/>
    <d v="2022-12-28T00:00:00"/>
    <d v="2024-01-22T00:00:00"/>
    <n v="2195.6999999999998"/>
    <n v="836.15"/>
    <s v="OK"/>
    <s v=""/>
    <s v=""/>
    <n v="83.397175324675331"/>
    <n v="3031.85"/>
    <n v="101909.17000000001"/>
    <n v="0"/>
    <s v="0-3 Monaten"/>
    <n v="0"/>
    <n v="1232"/>
  </r>
  <r>
    <x v="5"/>
    <s v="U0281"/>
    <s v="Production"/>
    <n v="980"/>
    <s v="Occupied"/>
    <s v="Tenant_19"/>
    <n v="7900.49"/>
    <n v="94805.88"/>
    <n v="94805.88"/>
    <s v=""/>
    <d v="2022-07-03T00:00:00"/>
    <d v="2025-03-15T00:00:00"/>
    <n v="1837.08"/>
    <n v="625.22"/>
    <s v="OK"/>
    <s v=""/>
    <s v=""/>
    <n v="96.740693877551024"/>
    <n v="2462.3000000000002"/>
    <n v="94180.66"/>
    <n v="0"/>
    <s v="0-3 Monaten"/>
    <n v="0"/>
    <n v="980"/>
  </r>
  <r>
    <x v="7"/>
    <s v="U0282"/>
    <s v="Office"/>
    <n v="331"/>
    <s v="Occupied"/>
    <s v="Tenant_157"/>
    <n v="3165.13"/>
    <n v="37981.56"/>
    <n v="37981.56"/>
    <s v=""/>
    <d v="2021-07-29T00:00:00"/>
    <d v="2024-09-06T00:00:00"/>
    <n v="506.81"/>
    <n v="279.74"/>
    <s v="OK"/>
    <s v=""/>
    <s v=""/>
    <n v="114.74791540785498"/>
    <n v="786.55"/>
    <n v="37701.82"/>
    <n v="0"/>
    <s v="0-3 Monaten"/>
    <n v="0"/>
    <n v="331"/>
  </r>
  <r>
    <x v="4"/>
    <s v="U0283"/>
    <s v="Office"/>
    <n v="1460"/>
    <s v="Vacant"/>
    <m/>
    <n v="0"/>
    <n v="0"/>
    <n v="0"/>
    <s v=""/>
    <m/>
    <m/>
    <n v="2858.59"/>
    <n v="1129.1500000000001"/>
    <s v="OK"/>
    <s v=""/>
    <s v="Rent&lt;=0"/>
    <s v=""/>
    <n v="3987.7400000000002"/>
    <s v=""/>
    <n v="0"/>
    <s v=""/>
    <n v="1460"/>
    <n v="0"/>
  </r>
  <r>
    <x v="4"/>
    <s v="U0284"/>
    <s v="Production"/>
    <n v="1210"/>
    <s v="Occupied"/>
    <s v="Tenant_28"/>
    <n v="13787.9"/>
    <n v="165454.79999999999"/>
    <n v="165454.79999999999"/>
    <s v=""/>
    <d v="2023-08-04T00:00:00"/>
    <d v="2027-02-22T00:00:00"/>
    <n v="2390.36"/>
    <n v="862.57"/>
    <s v="OK"/>
    <s v=""/>
    <s v=""/>
    <n v="136.73950413223139"/>
    <n v="3252.9300000000003"/>
    <n v="164592.22999999998"/>
    <n v="12"/>
    <s v="6-12 Monaten"/>
    <n v="0"/>
    <n v="1210"/>
  </r>
  <r>
    <x v="1"/>
    <s v="U0285"/>
    <s v="Office"/>
    <n v="571"/>
    <s v="Occupied"/>
    <s v="Tenant_184"/>
    <n v="7851.82"/>
    <n v="94221.84"/>
    <n v="94221.84"/>
    <s v=""/>
    <d v="2022-06-16T00:00:00"/>
    <d v="2024-05-12T00:00:00"/>
    <n v="747.16"/>
    <n v="304.94"/>
    <s v="OK"/>
    <s v=""/>
    <s v=""/>
    <n v="165.01197898423817"/>
    <n v="1052.0999999999999"/>
    <n v="93916.9"/>
    <n v="0"/>
    <s v="0-3 Monaten"/>
    <n v="0"/>
    <n v="571"/>
  </r>
  <r>
    <x v="2"/>
    <s v="U0286"/>
    <s v="Storage"/>
    <n v="926"/>
    <s v="Occupied"/>
    <s v="Tenant_121"/>
    <n v="9100.9599999999991"/>
    <n v="109211.52"/>
    <n v="109211.51999999999"/>
    <s v=""/>
    <d v="2021-04-06T00:00:00"/>
    <d v="2025-08-05T00:00:00"/>
    <n v="1356.3"/>
    <n v="2238.13"/>
    <s v="OK"/>
    <s v=""/>
    <s v=""/>
    <n v="117.93900647948165"/>
    <n v="3594.4300000000003"/>
    <n v="106973.39"/>
    <n v="0"/>
    <s v="0-3 Monaten"/>
    <n v="0"/>
    <n v="926"/>
  </r>
  <r>
    <x v="6"/>
    <s v="U0287"/>
    <s v="Warehouse"/>
    <n v="49"/>
    <s v="Occupied"/>
    <s v="Tenant_12"/>
    <n v="637.78"/>
    <n v="7653.36"/>
    <n v="7653.36"/>
    <s v=""/>
    <d v="2023-02-10T00:00:00"/>
    <d v="2025-05-05T00:00:00"/>
    <n v="97.67"/>
    <n v="68.25"/>
    <s v="OK"/>
    <s v=""/>
    <s v=""/>
    <n v="156.19102040816327"/>
    <n v="165.92000000000002"/>
    <n v="7585.11"/>
    <n v="0"/>
    <s v="0-3 Monaten"/>
    <n v="0"/>
    <n v="49"/>
  </r>
  <r>
    <x v="1"/>
    <s v="U0288"/>
    <s v="Warehouse"/>
    <n v="1020"/>
    <s v="Occupied"/>
    <s v="Tenant_173"/>
    <n v="17994.990000000002"/>
    <n v="215939.88"/>
    <n v="215939.88"/>
    <s v=""/>
    <d v="2023-06-11T00:00:00"/>
    <d v="2027-06-24T00:00:00"/>
    <n v="1778.99"/>
    <n v="1874.36"/>
    <s v="OK"/>
    <s v=""/>
    <s v=""/>
    <n v="211.70576470588236"/>
    <n v="3653.35"/>
    <n v="214065.52000000002"/>
    <n v="16"/>
    <s v="12 M+"/>
    <n v="0"/>
    <n v="1020"/>
  </r>
  <r>
    <x v="3"/>
    <s v="U0289"/>
    <s v="Storage"/>
    <n v="733"/>
    <s v="Occupied"/>
    <s v="Tenant_65"/>
    <n v="7837.59"/>
    <n v="94051.08"/>
    <n v="94051.08"/>
    <s v=""/>
    <d v="2021-05-31T00:00:00"/>
    <d v="2022-05-10T00:00:00"/>
    <n v="746.48"/>
    <n v="1693.19"/>
    <s v="OK"/>
    <s v=""/>
    <s v=""/>
    <n v="128.30979536152796"/>
    <n v="2439.67"/>
    <n v="92357.89"/>
    <n v="0"/>
    <s v="0-3 Monaten"/>
    <n v="0"/>
    <n v="733"/>
  </r>
  <r>
    <x v="5"/>
    <s v="U0290"/>
    <s v="Warehouse"/>
    <n v="72"/>
    <s v="Occupied"/>
    <s v="Tenant_88"/>
    <n v="1143.33"/>
    <n v="13719.96"/>
    <n v="13719.96"/>
    <s v=""/>
    <d v="2023-08-20T00:00:00"/>
    <d v="2024-07-04T00:00:00"/>
    <n v="72.27"/>
    <n v="120.22"/>
    <s v="OK"/>
    <s v=""/>
    <s v=""/>
    <n v="190.55499999999998"/>
    <n v="192.49"/>
    <n v="13599.74"/>
    <n v="0"/>
    <s v="0-3 Monaten"/>
    <n v="0"/>
    <n v="72"/>
  </r>
  <r>
    <x v="3"/>
    <s v="U0291"/>
    <s v="Warehouse"/>
    <n v="500"/>
    <s v="Occupied"/>
    <s v="Tenant_135"/>
    <n v="4235.62"/>
    <n v="50827.44"/>
    <n v="50827.44"/>
    <s v=""/>
    <d v="2022-07-27T00:00:00"/>
    <d v="2024-09-25T00:00:00"/>
    <n v="915.81"/>
    <n v="314.49"/>
    <s v="OK"/>
    <s v=""/>
    <s v=""/>
    <n v="101.65488000000001"/>
    <n v="1230.3"/>
    <n v="50512.950000000004"/>
    <n v="0"/>
    <s v="0-3 Monaten"/>
    <n v="0"/>
    <n v="500"/>
  </r>
  <r>
    <x v="7"/>
    <s v="U0292"/>
    <s v="Warehouse"/>
    <n v="1067"/>
    <s v="Occupied"/>
    <s v="Tenant_110"/>
    <n v="8200.6"/>
    <n v="98407.2"/>
    <n v="98407.200000000012"/>
    <s v=""/>
    <d v="2021-11-26T00:00:00"/>
    <d v="2023-03-25T00:00:00"/>
    <n v="2740.96"/>
    <n v="1278.76"/>
    <s v="OK"/>
    <s v=""/>
    <s v=""/>
    <n v="92.227928772258664"/>
    <n v="4019.7200000000003"/>
    <n v="97128.44"/>
    <n v="0"/>
    <s v="0-3 Monaten"/>
    <n v="0"/>
    <n v="1067"/>
  </r>
  <r>
    <x v="5"/>
    <s v="U0293"/>
    <s v="Warehouse"/>
    <n v="317"/>
    <s v="Occupied"/>
    <s v="Tenant_138"/>
    <n v="3380.11"/>
    <n v="40561.32"/>
    <n v="40561.32"/>
    <s v=""/>
    <d v="2021-05-30T00:00:00"/>
    <d v="2024-03-01T00:00:00"/>
    <n v="350.54"/>
    <n v="375.9"/>
    <s v="OK"/>
    <s v=""/>
    <s v=""/>
    <n v="127.95369085173502"/>
    <n v="726.44"/>
    <n v="40185.42"/>
    <n v="0"/>
    <s v="0-3 Monaten"/>
    <n v="0"/>
    <n v="317"/>
  </r>
  <r>
    <x v="1"/>
    <s v="U0294"/>
    <s v="Storage"/>
    <n v="1407"/>
    <s v="Occupied"/>
    <s v="Tenant_170"/>
    <n v="10290.18"/>
    <n v="123482.16"/>
    <n v="123482.16"/>
    <s v=""/>
    <d v="2023-01-08T00:00:00"/>
    <d v="2025-05-05T00:00:00"/>
    <n v="2528.39"/>
    <n v="1708.29"/>
    <s v="OK"/>
    <s v=""/>
    <s v=""/>
    <n v="87.762729211087418"/>
    <n v="4236.68"/>
    <n v="121773.87000000001"/>
    <n v="0"/>
    <s v="0-3 Monaten"/>
    <n v="0"/>
    <n v="1407"/>
  </r>
  <r>
    <x v="2"/>
    <s v="U0295"/>
    <s v="Warehouse"/>
    <n v="230"/>
    <s v="Occupied"/>
    <s v="Tenant_89"/>
    <n v="2861.89"/>
    <n v="34342.68"/>
    <n v="34342.68"/>
    <s v=""/>
    <d v="2023-06-02T00:00:00"/>
    <d v="2025-06-30T00:00:00"/>
    <n v="673.52"/>
    <n v="304.17"/>
    <s v="OK"/>
    <s v=""/>
    <s v=""/>
    <n v="149.316"/>
    <n v="977.69"/>
    <n v="34038.51"/>
    <n v="0"/>
    <s v="0-3 Monaten"/>
    <n v="0"/>
    <n v="230"/>
  </r>
  <r>
    <x v="1"/>
    <s v="U0296"/>
    <s v="Storage"/>
    <n v="1143"/>
    <s v="Occupied"/>
    <s v="Tenant_55"/>
    <n v="11363.16"/>
    <n v="136357.92000000001"/>
    <n v="136357.91999999998"/>
    <s v=""/>
    <d v="2023-12-27T00:00:00"/>
    <d v="2028-06-13T00:00:00"/>
    <n v="2253.48"/>
    <n v="1776.11"/>
    <s v="OK"/>
    <s v=""/>
    <s v=""/>
    <n v="119.29826771653545"/>
    <n v="4029.59"/>
    <n v="134581.81000000003"/>
    <n v="27"/>
    <s v="12 M+"/>
    <n v="0"/>
    <n v="1143"/>
  </r>
  <r>
    <x v="6"/>
    <s v="U0297"/>
    <s v="Storage"/>
    <n v="610"/>
    <s v="Occupied"/>
    <s v="Tenant_47"/>
    <n v="9036.81"/>
    <n v="108441.72"/>
    <n v="108441.72"/>
    <s v=""/>
    <d v="2022-05-31T00:00:00"/>
    <d v="2025-11-11T00:00:00"/>
    <n v="1682.9"/>
    <n v="345.02"/>
    <s v="OK"/>
    <s v=""/>
    <s v=""/>
    <n v="177.77331147540983"/>
    <n v="2027.92"/>
    <n v="108096.7"/>
    <n v="0"/>
    <s v="0-3 Monaten"/>
    <n v="0"/>
    <n v="610"/>
  </r>
  <r>
    <x v="4"/>
    <s v="U0298"/>
    <s v="Warehouse"/>
    <n v="416"/>
    <s v="Vacant"/>
    <m/>
    <n v="0"/>
    <n v="0"/>
    <n v="0"/>
    <s v=""/>
    <m/>
    <m/>
    <n v="1144.53"/>
    <n v="447.46"/>
    <s v="OK"/>
    <s v=""/>
    <s v="Rent&lt;=0"/>
    <s v=""/>
    <n v="1591.99"/>
    <s v=""/>
    <n v="0"/>
    <s v=""/>
    <n v="416"/>
    <n v="0"/>
  </r>
  <r>
    <x v="1"/>
    <s v="U0299"/>
    <s v="Office"/>
    <n v="1390"/>
    <s v="Occupied"/>
    <s v="Tenant_82"/>
    <n v="11428.83"/>
    <n v="137145.96"/>
    <n v="137145.96"/>
    <s v=""/>
    <d v="2023-01-25T00:00:00"/>
    <d v="2024-08-16T00:00:00"/>
    <n v="4077.01"/>
    <n v="3088.13"/>
    <s v="OK"/>
    <s v=""/>
    <s v=""/>
    <n v="98.666158273381285"/>
    <n v="7165.14"/>
    <n v="134057.82999999999"/>
    <n v="0"/>
    <s v="0-3 Monaten"/>
    <n v="0"/>
    <n v="1390"/>
  </r>
  <r>
    <x v="5"/>
    <s v="U0300"/>
    <s v="Production"/>
    <n v="1322"/>
    <s v="Occupied"/>
    <s v="Tenant_112"/>
    <n v="12631.54"/>
    <n v="151578.48000000001"/>
    <n v="151578.48000000001"/>
    <s v=""/>
    <d v="2021-08-28T00:00:00"/>
    <d v="2025-12-22T00:00:00"/>
    <n v="2931.08"/>
    <n v="1674.42"/>
    <s v="OK"/>
    <s v=""/>
    <s v=""/>
    <n v="114.65845688350984"/>
    <n v="4605.5"/>
    <n v="149904.06"/>
    <n v="0"/>
    <s v="0-3 Monaten"/>
    <n v="0"/>
    <n v="1322"/>
  </r>
  <r>
    <x v="2"/>
    <s v="U0301"/>
    <s v="Office"/>
    <n v="417"/>
    <s v="Occupied"/>
    <s v="Tenant_200"/>
    <n v="4524.76"/>
    <n v="54297.120000000003"/>
    <n v="54297.120000000003"/>
    <s v=""/>
    <d v="2022-03-31T00:00:00"/>
    <d v="2025-03-06T00:00:00"/>
    <n v="875.91"/>
    <n v="662.07"/>
    <s v="OK"/>
    <s v=""/>
    <s v=""/>
    <n v="130.20892086330934"/>
    <n v="1537.98"/>
    <n v="53635.05"/>
    <n v="0"/>
    <s v="0-3 Monaten"/>
    <n v="0"/>
    <n v="417"/>
  </r>
  <r>
    <x v="0"/>
    <s v="U0302"/>
    <s v="Office"/>
    <n v="957"/>
    <s v="Occupied"/>
    <s v="Tenant_102"/>
    <n v="5878.29"/>
    <n v="70539.48"/>
    <n v="70539.48"/>
    <s v=""/>
    <d v="2022-07-01T00:00:00"/>
    <d v="2026-11-13T00:00:00"/>
    <n v="1360.8"/>
    <n v="1326.67"/>
    <s v="OK"/>
    <s v=""/>
    <s v=""/>
    <n v="73.708965517241381"/>
    <n v="2687.4700000000003"/>
    <n v="69212.81"/>
    <n v="8"/>
    <s v="6-12 Monaten"/>
    <n v="0"/>
    <n v="957"/>
  </r>
  <r>
    <x v="7"/>
    <s v="U0303"/>
    <s v="Warehouse"/>
    <n v="904"/>
    <s v="Occupied"/>
    <s v="Tenant_2"/>
    <n v="15566.6"/>
    <n v="186799.2"/>
    <n v="186799.2"/>
    <s v=""/>
    <d v="2023-02-03T00:00:00"/>
    <d v="2027-12-23T00:00:00"/>
    <n v="1984.63"/>
    <n v="893.09"/>
    <s v="OK"/>
    <s v=""/>
    <s v=""/>
    <n v="206.63628318584071"/>
    <n v="2877.7200000000003"/>
    <n v="185906.11000000002"/>
    <n v="22"/>
    <s v="12 M+"/>
    <n v="0"/>
    <n v="904"/>
  </r>
  <r>
    <x v="1"/>
    <s v="U0304"/>
    <s v="Storage"/>
    <n v="1055"/>
    <s v="Occupied"/>
    <s v="Tenant_24"/>
    <n v="11721.12"/>
    <n v="140653.44"/>
    <n v="140653.44"/>
    <s v=""/>
    <d v="2022-08-13T00:00:00"/>
    <d v="2024-03-30T00:00:00"/>
    <n v="1707.82"/>
    <n v="2582.69"/>
    <s v="OK"/>
    <s v=""/>
    <s v=""/>
    <n v="133.32079620853079"/>
    <n v="4290.51"/>
    <n v="138070.75"/>
    <n v="0"/>
    <s v="0-3 Monaten"/>
    <n v="0"/>
    <n v="1055"/>
  </r>
  <r>
    <x v="7"/>
    <s v="U0305"/>
    <s v="Storage"/>
    <n v="1309"/>
    <s v="Occupied"/>
    <s v="Tenant_74"/>
    <n v="22127.87"/>
    <n v="265534.44"/>
    <n v="265534.44"/>
    <s v=""/>
    <d v="2023-10-17T00:00:00"/>
    <d v="2024-05-17T00:00:00"/>
    <n v="2467.16"/>
    <n v="2862.67"/>
    <s v="OK"/>
    <s v=""/>
    <s v=""/>
    <n v="202.85289533995416"/>
    <n v="5329.83"/>
    <n v="262671.77"/>
    <n v="0"/>
    <s v="0-3 Monaten"/>
    <n v="0"/>
    <n v="1309"/>
  </r>
  <r>
    <x v="6"/>
    <s v="U0306"/>
    <s v="Storage"/>
    <n v="144"/>
    <s v="Occupied"/>
    <s v="Tenant_82"/>
    <n v="2533.36"/>
    <n v="30400.32"/>
    <n v="30400.32"/>
    <s v=""/>
    <d v="2023-11-25T00:00:00"/>
    <d v="2028-03-05T00:00:00"/>
    <n v="250.98"/>
    <n v="161.71"/>
    <s v="OK"/>
    <s v=""/>
    <s v=""/>
    <n v="211.11333333333334"/>
    <n v="412.69"/>
    <n v="30238.61"/>
    <n v="24"/>
    <s v="12 M+"/>
    <n v="0"/>
    <n v="144"/>
  </r>
  <r>
    <x v="5"/>
    <s v="U0307"/>
    <s v="Warehouse"/>
    <n v="1223"/>
    <s v="Occupied"/>
    <s v="Tenant_12"/>
    <n v="17297.29"/>
    <n v="207567.48"/>
    <n v="207567.48"/>
    <s v=""/>
    <d v="2021-04-11T00:00:00"/>
    <d v="2022-09-29T00:00:00"/>
    <n v="1762.79"/>
    <n v="1191.1400000000001"/>
    <s v="OK"/>
    <s v=""/>
    <s v=""/>
    <n v="169.71993458708096"/>
    <n v="2953.9300000000003"/>
    <n v="206376.34"/>
    <n v="0"/>
    <s v="0-3 Monaten"/>
    <n v="0"/>
    <n v="1223"/>
  </r>
  <r>
    <x v="4"/>
    <s v="U0308"/>
    <s v="Warehouse"/>
    <n v="906"/>
    <s v="Occupied"/>
    <s v="Tenant_152"/>
    <n v="7534.59"/>
    <n v="90415.08"/>
    <n v="90415.08"/>
    <s v=""/>
    <d v="2022-08-05T00:00:00"/>
    <d v="2023-04-08T00:00:00"/>
    <n v="2394.37"/>
    <n v="1256.72"/>
    <s v="OK"/>
    <s v=""/>
    <s v=""/>
    <n v="99.795894039735103"/>
    <n v="3651.09"/>
    <n v="89158.36"/>
    <n v="0"/>
    <s v="0-3 Monaten"/>
    <n v="0"/>
    <n v="906"/>
  </r>
  <r>
    <x v="7"/>
    <s v="U0309"/>
    <s v="Production"/>
    <n v="1449"/>
    <s v="Occupied"/>
    <s v="Tenant_193"/>
    <n v="20239.34"/>
    <n v="242872.08"/>
    <n v="242872.08000000002"/>
    <s v=""/>
    <d v="2023-08-30T00:00:00"/>
    <d v="2025-11-10T00:00:00"/>
    <n v="2088.81"/>
    <n v="848.51"/>
    <s v="OK"/>
    <s v=""/>
    <s v=""/>
    <n v="167.61358178053828"/>
    <n v="2937.3199999999997"/>
    <n v="242023.56999999998"/>
    <n v="0"/>
    <s v="0-3 Monaten"/>
    <n v="0"/>
    <n v="1449"/>
  </r>
  <r>
    <x v="6"/>
    <s v="U0310"/>
    <s v="Office"/>
    <n v="707"/>
    <s v="Vacant"/>
    <m/>
    <n v="0"/>
    <n v="0"/>
    <n v="0"/>
    <s v=""/>
    <m/>
    <m/>
    <n v="2051.5500000000002"/>
    <n v="1360.92"/>
    <s v="OK"/>
    <s v=""/>
    <s v="Rent&lt;=0"/>
    <s v=""/>
    <n v="3412.4700000000003"/>
    <s v=""/>
    <n v="0"/>
    <s v=""/>
    <n v="707"/>
    <n v="0"/>
  </r>
  <r>
    <x v="6"/>
    <s v="U0311"/>
    <s v="Office"/>
    <n v="124"/>
    <s v="Occupied"/>
    <s v="Tenant_69"/>
    <n v="2048.7600000000002"/>
    <n v="24585.119999999999"/>
    <n v="24585.120000000003"/>
    <s v=""/>
    <d v="2023-12-28T00:00:00"/>
    <d v="2026-06-02T00:00:00"/>
    <n v="177.34"/>
    <n v="118.93"/>
    <s v="OK"/>
    <s v=""/>
    <s v=""/>
    <n v="198.26709677419353"/>
    <n v="296.27"/>
    <n v="24466.19"/>
    <n v="3"/>
    <s v="0-3 Monaten"/>
    <n v="0"/>
    <n v="124"/>
  </r>
  <r>
    <x v="3"/>
    <s v="U0312"/>
    <s v="Production"/>
    <n v="611"/>
    <s v="Occupied"/>
    <s v="Tenant_127"/>
    <n v="6945.57"/>
    <n v="83346.84"/>
    <n v="83346.84"/>
    <s v=""/>
    <d v="2021-12-17T00:00:00"/>
    <d v="2023-06-15T00:00:00"/>
    <n v="921.15"/>
    <n v="1439.39"/>
    <s v="OK"/>
    <s v=""/>
    <s v=""/>
    <n v="136.41054009819968"/>
    <n v="2360.54"/>
    <n v="81907.45"/>
    <n v="0"/>
    <s v="0-3 Monaten"/>
    <n v="0"/>
    <n v="611"/>
  </r>
  <r>
    <x v="3"/>
    <s v="U0313"/>
    <s v="Production"/>
    <n v="845"/>
    <s v="Occupied"/>
    <s v="Tenant_132"/>
    <n v="5589.75"/>
    <n v="67077"/>
    <n v="67077"/>
    <s v=""/>
    <d v="2021-07-13T00:00:00"/>
    <d v="2026-01-29T00:00:00"/>
    <n v="1153.04"/>
    <n v="764.44"/>
    <s v="OK"/>
    <s v=""/>
    <s v=""/>
    <n v="79.381065088757396"/>
    <n v="1917.48"/>
    <n v="66312.56"/>
    <n v="0"/>
    <s v="0-3 Monaten"/>
    <n v="0"/>
    <n v="845"/>
  </r>
  <r>
    <x v="1"/>
    <s v="U0314"/>
    <s v="Office"/>
    <n v="796"/>
    <s v="Occupied"/>
    <s v="Tenant_85"/>
    <n v="13034.9"/>
    <n v="156418.79999999999"/>
    <n v="156418.79999999999"/>
    <s v=""/>
    <d v="2021-06-16T00:00:00"/>
    <d v="2024-09-27T00:00:00"/>
    <n v="1519.95"/>
    <n v="512.58000000000004"/>
    <s v="OK"/>
    <s v=""/>
    <s v=""/>
    <n v="196.50603015075376"/>
    <n v="2032.5300000000002"/>
    <n v="155906.22"/>
    <n v="0"/>
    <s v="0-3 Monaten"/>
    <n v="0"/>
    <n v="796"/>
  </r>
  <r>
    <x v="6"/>
    <s v="U0315"/>
    <s v="Office"/>
    <n v="1498"/>
    <s v="Occupied"/>
    <s v="Tenant_57"/>
    <n v="25902.71"/>
    <n v="310832.52"/>
    <n v="310832.52"/>
    <s v=""/>
    <d v="2022-02-11T00:00:00"/>
    <d v="2025-06-29T00:00:00"/>
    <n v="2605.59"/>
    <n v="1384.98"/>
    <s v="OK"/>
    <s v=""/>
    <s v=""/>
    <n v="207.49834445927905"/>
    <n v="3990.57"/>
    <n v="309447.54000000004"/>
    <n v="0"/>
    <s v="0-3 Monaten"/>
    <n v="0"/>
    <n v="1498"/>
  </r>
  <r>
    <x v="6"/>
    <s v="U0316"/>
    <s v="Storage"/>
    <n v="1435"/>
    <s v="Vacant"/>
    <m/>
    <n v="0"/>
    <n v="0"/>
    <n v="0"/>
    <s v=""/>
    <m/>
    <m/>
    <n v="3914.07"/>
    <n v="3140.88"/>
    <s v="OK"/>
    <s v=""/>
    <s v="Rent&lt;=0"/>
    <s v=""/>
    <n v="7054.9500000000007"/>
    <s v=""/>
    <n v="0"/>
    <s v=""/>
    <n v="1435"/>
    <n v="0"/>
  </r>
  <r>
    <x v="0"/>
    <s v="U0317"/>
    <s v="Production"/>
    <n v="1071"/>
    <s v="Occupied"/>
    <s v="Tenant_55"/>
    <n v="7364.38"/>
    <n v="88372.56"/>
    <n v="88372.56"/>
    <s v=""/>
    <d v="2022-10-29T00:00:00"/>
    <d v="2026-03-07T00:00:00"/>
    <n v="2733.88"/>
    <n v="2505.89"/>
    <s v="OK"/>
    <s v=""/>
    <s v=""/>
    <n v="82.514061624649855"/>
    <n v="5239.7700000000004"/>
    <n v="85866.67"/>
    <n v="0"/>
    <s v="0-3 Monaten"/>
    <n v="0"/>
    <n v="1071"/>
  </r>
  <r>
    <x v="0"/>
    <s v="U0318"/>
    <s v="Office"/>
    <n v="776"/>
    <s v="Occupied"/>
    <s v="Tenant_182"/>
    <n v="8563.9599999999991"/>
    <n v="102767.52"/>
    <n v="102767.51999999999"/>
    <s v=""/>
    <d v="2023-06-18T00:00:00"/>
    <d v="2027-08-27T00:00:00"/>
    <n v="1237.04"/>
    <n v="1760.96"/>
    <s v="OK"/>
    <s v=""/>
    <s v=""/>
    <n v="132.43237113402063"/>
    <n v="2998"/>
    <n v="101006.56"/>
    <n v="18"/>
    <s v="12 M+"/>
    <n v="0"/>
    <n v="776"/>
  </r>
  <r>
    <x v="3"/>
    <s v="U0319"/>
    <s v="Storage"/>
    <n v="315"/>
    <s v="Occupied"/>
    <s v="Tenant_90"/>
    <n v="4607.32"/>
    <n v="55287.839999999997"/>
    <n v="55287.839999999997"/>
    <s v=""/>
    <d v="2023-10-24T00:00:00"/>
    <d v="2028-01-19T00:00:00"/>
    <n v="564.84"/>
    <n v="323.02999999999997"/>
    <s v="OK"/>
    <s v=""/>
    <s v=""/>
    <n v="175.51695238095238"/>
    <n v="887.87"/>
    <n v="54964.81"/>
    <n v="22"/>
    <s v="12 M+"/>
    <n v="0"/>
    <n v="315"/>
  </r>
  <r>
    <x v="1"/>
    <s v="U0320"/>
    <s v="Production"/>
    <n v="399"/>
    <s v="Occupied"/>
    <s v="Tenant_148"/>
    <n v="3362.77"/>
    <n v="40353.24"/>
    <n v="40353.24"/>
    <s v=""/>
    <d v="2022-10-02T00:00:00"/>
    <d v="2023-08-03T00:00:00"/>
    <n v="643.52"/>
    <n v="560.03"/>
    <s v="OK"/>
    <s v=""/>
    <s v=""/>
    <n v="101.13593984962405"/>
    <n v="1203.55"/>
    <n v="39793.21"/>
    <n v="0"/>
    <s v="0-3 Monaten"/>
    <n v="0"/>
    <n v="399"/>
  </r>
  <r>
    <x v="4"/>
    <s v="U0321"/>
    <s v="Storage"/>
    <n v="1039"/>
    <s v="Occupied"/>
    <s v="Tenant_174"/>
    <n v="18377.830000000002"/>
    <n v="220533.96"/>
    <n v="220533.96000000002"/>
    <s v=""/>
    <d v="2022-11-16T00:00:00"/>
    <d v="2023-06-27T00:00:00"/>
    <n v="1076.99"/>
    <n v="1385.93"/>
    <s v="OK"/>
    <s v=""/>
    <s v=""/>
    <n v="212.25597690086622"/>
    <n v="2462.92"/>
    <n v="219148.03"/>
    <n v="0"/>
    <s v="0-3 Monaten"/>
    <n v="0"/>
    <n v="1039"/>
  </r>
  <r>
    <x v="2"/>
    <s v="U0322"/>
    <s v="Office"/>
    <n v="735"/>
    <s v="Occupied"/>
    <s v="Tenant_36"/>
    <n v="9993.8700000000008"/>
    <n v="119926.44"/>
    <n v="119926.44"/>
    <s v=""/>
    <d v="2021-10-17T00:00:00"/>
    <d v="2022-09-12T00:00:00"/>
    <n v="1377.37"/>
    <n v="1169.5999999999999"/>
    <s v="OK"/>
    <s v=""/>
    <s v=""/>
    <n v="163.16522448979592"/>
    <n v="2546.9699999999998"/>
    <n v="118756.84"/>
    <n v="0"/>
    <s v="0-3 Monaten"/>
    <n v="0"/>
    <n v="735"/>
  </r>
  <r>
    <x v="1"/>
    <s v="U0323"/>
    <s v="Production"/>
    <n v="97"/>
    <s v="Vacant"/>
    <m/>
    <n v="0"/>
    <n v="0"/>
    <n v="0"/>
    <s v=""/>
    <m/>
    <m/>
    <n v="289.79000000000002"/>
    <n v="96.66"/>
    <s v="OK"/>
    <s v=""/>
    <s v="Rent&lt;=0"/>
    <s v=""/>
    <n v="386.45000000000005"/>
    <s v=""/>
    <n v="0"/>
    <s v=""/>
    <n v="97"/>
    <n v="0"/>
  </r>
  <r>
    <x v="5"/>
    <s v="U0324"/>
    <s v="Warehouse"/>
    <n v="1150"/>
    <s v="Occupied"/>
    <s v="Tenant_50"/>
    <n v="19756.36"/>
    <n v="237076.32"/>
    <n v="237076.32"/>
    <s v=""/>
    <d v="2023-12-09T00:00:00"/>
    <d v="2028-07-01T00:00:00"/>
    <n v="2102.14"/>
    <n v="1143.9100000000001"/>
    <s v="OK"/>
    <s v=""/>
    <s v=""/>
    <n v="206.15332173913043"/>
    <n v="3246.05"/>
    <n v="235932.41"/>
    <n v="28"/>
    <s v="12 M+"/>
    <n v="0"/>
    <n v="1150"/>
  </r>
  <r>
    <x v="3"/>
    <s v="U0325"/>
    <s v="Warehouse"/>
    <n v="1389"/>
    <s v="Occupied"/>
    <s v="Tenant_142"/>
    <n v="23163.84"/>
    <n v="277966.08000000002"/>
    <n v="277966.08000000002"/>
    <s v=""/>
    <d v="2023-07-26T00:00:00"/>
    <d v="2027-02-22T00:00:00"/>
    <n v="2315.8000000000002"/>
    <n v="1647.38"/>
    <s v="OK"/>
    <s v=""/>
    <s v=""/>
    <n v="200.11956803455726"/>
    <n v="3963.1800000000003"/>
    <n v="276318.7"/>
    <n v="12"/>
    <s v="6-12 Monaten"/>
    <n v="0"/>
    <n v="1389"/>
  </r>
  <r>
    <x v="4"/>
    <s v="U0326"/>
    <s v="Production"/>
    <n v="509"/>
    <s v="Occupied"/>
    <s v="Tenant_70"/>
    <n v="4213.1099999999997"/>
    <n v="50557.32"/>
    <n v="50557.319999999992"/>
    <s v=""/>
    <d v="2022-03-21T00:00:00"/>
    <d v="2024-05-03T00:00:00"/>
    <n v="596.69000000000005"/>
    <n v="489.53"/>
    <s v="OK"/>
    <s v=""/>
    <s v=""/>
    <n v="99.326758349705301"/>
    <n v="1086.22"/>
    <n v="50067.79"/>
    <n v="0"/>
    <s v="0-3 Monaten"/>
    <n v="0"/>
    <n v="509"/>
  </r>
  <r>
    <x v="7"/>
    <s v="U0327"/>
    <s v="Storage"/>
    <n v="1238"/>
    <s v="Vacant"/>
    <m/>
    <n v="0"/>
    <n v="0"/>
    <n v="0"/>
    <s v=""/>
    <m/>
    <m/>
    <n v="2115.77"/>
    <n v="901.27"/>
    <s v="OK"/>
    <s v=""/>
    <s v="Rent&lt;=0"/>
    <s v=""/>
    <n v="3017.04"/>
    <s v=""/>
    <n v="0"/>
    <s v=""/>
    <n v="1238"/>
    <n v="0"/>
  </r>
  <r>
    <x v="3"/>
    <s v="U0328"/>
    <s v="Storage"/>
    <n v="1078"/>
    <s v="Vacant"/>
    <m/>
    <n v="0"/>
    <n v="0"/>
    <n v="0"/>
    <s v=""/>
    <m/>
    <m/>
    <n v="2848.41"/>
    <n v="948.51"/>
    <s v="OK"/>
    <s v=""/>
    <s v="Rent&lt;=0"/>
    <s v=""/>
    <n v="3796.92"/>
    <s v=""/>
    <n v="0"/>
    <s v=""/>
    <n v="1078"/>
    <n v="0"/>
  </r>
  <r>
    <x v="7"/>
    <s v="U0329"/>
    <s v="Storage"/>
    <n v="1470"/>
    <s v="Occupied"/>
    <s v="Tenant_189"/>
    <n v="25210.78"/>
    <n v="302529.36"/>
    <n v="302529.36"/>
    <s v=""/>
    <d v="2023-06-26T00:00:00"/>
    <d v="2025-03-10T00:00:00"/>
    <n v="1870.39"/>
    <n v="3527.01"/>
    <s v="OK"/>
    <s v=""/>
    <s v=""/>
    <n v="205.80228571428572"/>
    <n v="5397.4000000000005"/>
    <n v="299002.34999999998"/>
    <n v="0"/>
    <s v="0-3 Monaten"/>
    <n v="0"/>
    <n v="1470"/>
  </r>
  <r>
    <x v="3"/>
    <s v="U0330"/>
    <s v="Office"/>
    <n v="917"/>
    <s v="Occupied"/>
    <s v="Tenant_186"/>
    <n v="15789.77"/>
    <n v="189477.24"/>
    <n v="189477.24"/>
    <s v=""/>
    <d v="2023-03-25T00:00:00"/>
    <d v="2024-10-23T00:00:00"/>
    <n v="1692.7"/>
    <n v="1630.76"/>
    <s v="OK"/>
    <s v=""/>
    <s v=""/>
    <n v="206.62730643402398"/>
    <n v="3323.46"/>
    <n v="187846.47999999998"/>
    <n v="0"/>
    <s v="0-3 Monaten"/>
    <n v="0"/>
    <n v="917"/>
  </r>
  <r>
    <x v="0"/>
    <s v="U0331"/>
    <s v="Production"/>
    <n v="221"/>
    <s v="Occupied"/>
    <s v="Tenant_64"/>
    <n v="3069.84"/>
    <n v="36838.080000000002"/>
    <n v="36838.080000000002"/>
    <s v=""/>
    <d v="2022-06-22T00:00:00"/>
    <d v="2026-06-19T00:00:00"/>
    <n v="476.68"/>
    <n v="362.13"/>
    <s v="OK"/>
    <s v=""/>
    <s v=""/>
    <n v="166.6881447963801"/>
    <n v="838.81"/>
    <n v="36475.950000000004"/>
    <n v="3"/>
    <s v="0-3 Monaten"/>
    <n v="0"/>
    <n v="221"/>
  </r>
  <r>
    <x v="1"/>
    <s v="U0332"/>
    <s v="Office"/>
    <n v="393"/>
    <s v="Occupied"/>
    <s v="Tenant_28"/>
    <n v="3938.87"/>
    <n v="47266.44"/>
    <n v="47266.44"/>
    <s v=""/>
    <d v="2022-05-03T00:00:00"/>
    <d v="2023-02-04T00:00:00"/>
    <n v="1143.69"/>
    <n v="741.89"/>
    <s v="OK"/>
    <s v=""/>
    <s v=""/>
    <n v="120.27083969465649"/>
    <n v="1885.58"/>
    <n v="46524.55"/>
    <n v="0"/>
    <s v="0-3 Monaten"/>
    <n v="0"/>
    <n v="393"/>
  </r>
  <r>
    <x v="3"/>
    <s v="U0333"/>
    <s v="Office"/>
    <n v="1055"/>
    <s v="Occupied"/>
    <s v="Tenant_104"/>
    <n v="14461.26"/>
    <n v="173535.12"/>
    <n v="173535.12"/>
    <s v=""/>
    <d v="2023-04-16T00:00:00"/>
    <d v="2028-01-07T00:00:00"/>
    <n v="3014.05"/>
    <n v="2348.25"/>
    <s v="OK"/>
    <s v=""/>
    <s v=""/>
    <n v="164.48826540284361"/>
    <n v="5362.3"/>
    <n v="171186.87"/>
    <n v="22"/>
    <s v="12 M+"/>
    <n v="0"/>
    <n v="1055"/>
  </r>
  <r>
    <x v="6"/>
    <s v="U0334"/>
    <s v="Production"/>
    <n v="1297"/>
    <s v="Occupied"/>
    <s v="Tenant_11"/>
    <n v="8477.92"/>
    <n v="101735.03999999999"/>
    <n v="101735.04000000001"/>
    <s v=""/>
    <d v="2022-09-08T00:00:00"/>
    <d v="2025-09-02T00:00:00"/>
    <n v="3743.76"/>
    <n v="2650.27"/>
    <s v="OK"/>
    <s v=""/>
    <s v=""/>
    <n v="78.438735543562061"/>
    <n v="6394.0300000000007"/>
    <n v="99084.76999999999"/>
    <n v="0"/>
    <s v="0-3 Monaten"/>
    <n v="0"/>
    <n v="1297"/>
  </r>
  <r>
    <x v="4"/>
    <s v="U0335"/>
    <s v="Office"/>
    <n v="901"/>
    <s v="Occupied"/>
    <s v="Tenant_176"/>
    <n v="14194.61"/>
    <n v="170335.32"/>
    <n v="170335.32"/>
    <s v=""/>
    <d v="2021-05-15T00:00:00"/>
    <d v="2025-05-29T00:00:00"/>
    <n v="2674.58"/>
    <n v="1193.1300000000001"/>
    <s v="OK"/>
    <s v=""/>
    <s v=""/>
    <n v="189.05140954495008"/>
    <n v="3867.71"/>
    <n v="169142.19"/>
    <n v="0"/>
    <s v="0-3 Monaten"/>
    <n v="0"/>
    <n v="901"/>
  </r>
  <r>
    <x v="1"/>
    <s v="U0336"/>
    <s v="Storage"/>
    <n v="1471"/>
    <s v="Vacant"/>
    <m/>
    <n v="0"/>
    <n v="0"/>
    <n v="0"/>
    <s v=""/>
    <m/>
    <m/>
    <n v="1484.76"/>
    <n v="2212.84"/>
    <s v="OK"/>
    <s v=""/>
    <s v="Rent&lt;=0"/>
    <s v=""/>
    <n v="3697.6000000000004"/>
    <s v=""/>
    <n v="0"/>
    <s v=""/>
    <n v="1471"/>
    <n v="0"/>
  </r>
  <r>
    <x v="2"/>
    <s v="U0337"/>
    <s v="Warehouse"/>
    <n v="927"/>
    <s v="Occupied"/>
    <s v="Tenant_93"/>
    <n v="6771.59"/>
    <n v="81259.08"/>
    <n v="81259.08"/>
    <s v=""/>
    <d v="2021-08-16T00:00:00"/>
    <d v="2024-12-02T00:00:00"/>
    <n v="1834.65"/>
    <n v="1915.06"/>
    <s v="OK"/>
    <s v=""/>
    <s v=""/>
    <n v="87.658122977346281"/>
    <n v="3749.71"/>
    <n v="79344.02"/>
    <n v="0"/>
    <s v="0-3 Monaten"/>
    <n v="0"/>
    <n v="927"/>
  </r>
  <r>
    <x v="3"/>
    <s v="U0338"/>
    <s v="Production"/>
    <n v="572"/>
    <s v="Occupied"/>
    <s v="Tenant_26"/>
    <n v="8921.52"/>
    <n v="107058.24000000001"/>
    <n v="107058.24000000001"/>
    <s v=""/>
    <d v="2021-11-17T00:00:00"/>
    <d v="2022-12-28T00:00:00"/>
    <n v="1130.2"/>
    <n v="555.63"/>
    <s v="OK"/>
    <s v=""/>
    <s v=""/>
    <n v="187.16475524475524"/>
    <n v="1685.83"/>
    <n v="106502.61"/>
    <n v="0"/>
    <s v="0-3 Monaten"/>
    <n v="0"/>
    <n v="572"/>
  </r>
  <r>
    <x v="6"/>
    <s v="U0339"/>
    <s v="Warehouse"/>
    <n v="1388"/>
    <s v="Occupied"/>
    <s v="Tenant_154"/>
    <n v="15260.85"/>
    <n v="183130.2"/>
    <n v="183130.2"/>
    <s v=""/>
    <d v="2022-07-03T00:00:00"/>
    <d v="2025-04-29T00:00:00"/>
    <n v="4050.3"/>
    <n v="2859.92"/>
    <s v="OK"/>
    <s v=""/>
    <s v=""/>
    <n v="131.93818443804037"/>
    <n v="6910.22"/>
    <n v="180270.28"/>
    <n v="0"/>
    <s v="0-3 Monaten"/>
    <n v="0"/>
    <n v="1388"/>
  </r>
  <r>
    <x v="5"/>
    <s v="U0340"/>
    <s v="Office"/>
    <n v="81"/>
    <s v="Occupied"/>
    <s v="Tenant_73"/>
    <n v="750.41"/>
    <n v="9004.92"/>
    <n v="9004.92"/>
    <s v=""/>
    <d v="2021-06-13T00:00:00"/>
    <d v="2022-01-20T00:00:00"/>
    <n v="154.77000000000001"/>
    <n v="66.69"/>
    <s v="OK"/>
    <s v=""/>
    <s v=""/>
    <n v="111.17185185185186"/>
    <n v="221.46"/>
    <n v="8938.23"/>
    <n v="0"/>
    <s v="0-3 Monaten"/>
    <n v="0"/>
    <n v="81"/>
  </r>
  <r>
    <x v="1"/>
    <s v="U0341"/>
    <s v="Production"/>
    <n v="279"/>
    <s v="Occupied"/>
    <s v="Tenant_21"/>
    <n v="2970.96"/>
    <n v="35651.519999999997"/>
    <n v="35651.520000000004"/>
    <s v=""/>
    <d v="2022-09-29T00:00:00"/>
    <d v="2026-08-18T00:00:00"/>
    <n v="314.29000000000002"/>
    <n v="490.96"/>
    <s v="OK"/>
    <s v=""/>
    <s v=""/>
    <n v="127.7832258064516"/>
    <n v="805.25"/>
    <n v="35160.559999999998"/>
    <n v="5"/>
    <s v="3-6 Monaten"/>
    <n v="0"/>
    <n v="279"/>
  </r>
  <r>
    <x v="3"/>
    <s v="U0342"/>
    <s v="Office"/>
    <n v="712"/>
    <s v="Vacant"/>
    <m/>
    <n v="0"/>
    <n v="0"/>
    <n v="0"/>
    <s v=""/>
    <m/>
    <m/>
    <n v="1503.84"/>
    <n v="1525.24"/>
    <s v="OK"/>
    <s v=""/>
    <s v="Rent&lt;=0"/>
    <s v=""/>
    <n v="3029.08"/>
    <s v=""/>
    <n v="0"/>
    <s v=""/>
    <n v="712"/>
    <n v="0"/>
  </r>
  <r>
    <x v="7"/>
    <s v="U0343"/>
    <s v="Office"/>
    <n v="137"/>
    <s v="Occupied"/>
    <s v="Tenant_32"/>
    <n v="971.76"/>
    <n v="11661.12"/>
    <n v="11661.119999999999"/>
    <s v=""/>
    <d v="2023-03-11T00:00:00"/>
    <d v="2026-01-21T00:00:00"/>
    <n v="209.69"/>
    <n v="105.28"/>
    <s v="OK"/>
    <s v=""/>
    <s v=""/>
    <n v="85.117664233576647"/>
    <n v="314.97000000000003"/>
    <n v="11555.84"/>
    <n v="0"/>
    <s v="0-3 Monaten"/>
    <n v="0"/>
    <n v="137"/>
  </r>
  <r>
    <x v="7"/>
    <s v="U0344"/>
    <s v="Production"/>
    <n v="64"/>
    <s v="Occupied"/>
    <s v="Tenant_26"/>
    <n v="559.6"/>
    <n v="6715.2"/>
    <n v="6715.2000000000007"/>
    <s v=""/>
    <d v="2022-06-22T00:00:00"/>
    <d v="2027-04-27T00:00:00"/>
    <n v="179.71"/>
    <n v="49.55"/>
    <s v="OK"/>
    <s v=""/>
    <s v=""/>
    <n v="104.925"/>
    <n v="229.26"/>
    <n v="6665.65"/>
    <n v="14"/>
    <s v="12 M+"/>
    <n v="0"/>
    <n v="64"/>
  </r>
  <r>
    <x v="3"/>
    <s v="U0345"/>
    <s v="Warehouse"/>
    <n v="91"/>
    <s v="Occupied"/>
    <s v="Tenant_57"/>
    <n v="589.92999999999995"/>
    <n v="7079.16"/>
    <n v="7079.16"/>
    <s v=""/>
    <d v="2023-09-05T00:00:00"/>
    <d v="2025-08-05T00:00:00"/>
    <n v="125.8"/>
    <n v="169.73"/>
    <s v="OK"/>
    <s v=""/>
    <s v=""/>
    <n v="77.792967032967027"/>
    <n v="295.52999999999997"/>
    <n v="6909.43"/>
    <n v="0"/>
    <s v="0-3 Monaten"/>
    <n v="0"/>
    <n v="91"/>
  </r>
  <r>
    <x v="3"/>
    <s v="U0346"/>
    <s v="Warehouse"/>
    <n v="185"/>
    <s v="Occupied"/>
    <s v="Tenant_104"/>
    <n v="2621.0300000000002"/>
    <n v="31452.36"/>
    <n v="31452.36"/>
    <s v=""/>
    <d v="2022-12-06T00:00:00"/>
    <d v="2025-08-15T00:00:00"/>
    <n v="400.67"/>
    <n v="330.05"/>
    <s v="OK"/>
    <s v=""/>
    <s v=""/>
    <n v="170.01275675675677"/>
    <n v="730.72"/>
    <n v="31122.31"/>
    <n v="0"/>
    <s v="0-3 Monaten"/>
    <n v="0"/>
    <n v="185"/>
  </r>
  <r>
    <x v="6"/>
    <s v="U0347"/>
    <s v="Office"/>
    <n v="1223"/>
    <s v="Occupied"/>
    <s v="Tenant_112"/>
    <n v="10048.27"/>
    <n v="120579.24"/>
    <n v="120579.24"/>
    <s v=""/>
    <d v="2023-12-09T00:00:00"/>
    <d v="2026-05-05T00:00:00"/>
    <n v="2010.74"/>
    <n v="1576.53"/>
    <s v="OK"/>
    <s v=""/>
    <s v=""/>
    <n v="98.59300081766149"/>
    <n v="3587.27"/>
    <n v="119002.71"/>
    <n v="2"/>
    <s v="0-3 Monaten"/>
    <n v="0"/>
    <n v="1223"/>
  </r>
  <r>
    <x v="3"/>
    <s v="U0348"/>
    <s v="Storage"/>
    <n v="369"/>
    <s v="Occupied"/>
    <s v="Tenant_28"/>
    <n v="6165.81"/>
    <n v="73989.72"/>
    <n v="73989.72"/>
    <s v=""/>
    <d v="2021-07-24T00:00:00"/>
    <d v="2025-02-23T00:00:00"/>
    <n v="1070.72"/>
    <n v="751.91"/>
    <s v="OK"/>
    <s v=""/>
    <s v=""/>
    <n v="200.51414634146343"/>
    <n v="1822.63"/>
    <n v="73237.81"/>
    <n v="0"/>
    <s v="0-3 Monaten"/>
    <n v="0"/>
    <n v="369"/>
  </r>
  <r>
    <x v="2"/>
    <s v="U0349"/>
    <s v="Warehouse"/>
    <n v="1085"/>
    <s v="Occupied"/>
    <s v="Tenant_104"/>
    <n v="7816.91"/>
    <n v="93802.92"/>
    <n v="93802.92"/>
    <s v=""/>
    <d v="2023-03-15T00:00:00"/>
    <d v="2027-12-03T00:00:00"/>
    <n v="3178.47"/>
    <n v="1589.54"/>
    <s v="OK"/>
    <s v=""/>
    <s v=""/>
    <n v="86.454304147465436"/>
    <n v="4768.01"/>
    <n v="92213.38"/>
    <n v="21"/>
    <s v="12 M+"/>
    <n v="0"/>
    <n v="1085"/>
  </r>
  <r>
    <x v="1"/>
    <s v="U0350"/>
    <s v="Warehouse"/>
    <n v="1321"/>
    <s v="Occupied"/>
    <s v="Tenant_97"/>
    <n v="10263.85"/>
    <n v="123166.2"/>
    <n v="123166.20000000001"/>
    <s v=""/>
    <d v="2023-11-25T00:00:00"/>
    <d v="2027-11-15T00:00:00"/>
    <n v="3763.07"/>
    <n v="2404.23"/>
    <s v="OK"/>
    <s v=""/>
    <s v=""/>
    <n v="93.237093111279336"/>
    <n v="6167.3"/>
    <n v="120761.97"/>
    <n v="20"/>
    <s v="12 M+"/>
    <n v="0"/>
    <n v="1321"/>
  </r>
  <r>
    <x v="0"/>
    <s v="U0351"/>
    <s v="Production"/>
    <n v="941"/>
    <s v="Occupied"/>
    <s v="Tenant_93"/>
    <n v="9818.9500000000007"/>
    <n v="117827.4"/>
    <n v="117827.40000000001"/>
    <s v=""/>
    <d v="2021-07-01T00:00:00"/>
    <d v="2023-12-09T00:00:00"/>
    <n v="2362.4"/>
    <n v="710.91"/>
    <s v="OK"/>
    <s v=""/>
    <s v=""/>
    <n v="125.21509032943676"/>
    <n v="3073.31"/>
    <n v="117116.48999999999"/>
    <n v="0"/>
    <s v="0-3 Monaten"/>
    <n v="0"/>
    <n v="941"/>
  </r>
  <r>
    <x v="0"/>
    <s v="U0352"/>
    <s v="Office"/>
    <n v="1087"/>
    <s v="Occupied"/>
    <s v="Tenant_89"/>
    <n v="10029.85"/>
    <n v="120358.2"/>
    <n v="120358.20000000001"/>
    <s v=""/>
    <d v="2023-03-10T00:00:00"/>
    <d v="2025-02-22T00:00:00"/>
    <n v="1830.99"/>
    <n v="1982.45"/>
    <s v="OK"/>
    <s v=""/>
    <s v=""/>
    <n v="110.72511499540018"/>
    <n v="3813.44"/>
    <n v="118375.75"/>
    <n v="0"/>
    <s v="0-3 Monaten"/>
    <n v="0"/>
    <n v="1087"/>
  </r>
  <r>
    <x v="5"/>
    <s v="U0353"/>
    <s v="Office"/>
    <n v="545"/>
    <s v="Vacant"/>
    <m/>
    <n v="0"/>
    <n v="0"/>
    <n v="0"/>
    <s v=""/>
    <m/>
    <m/>
    <n v="1540.43"/>
    <n v="385.23"/>
    <s v="OK"/>
    <s v=""/>
    <s v="Rent&lt;=0"/>
    <s v=""/>
    <n v="1925.66"/>
    <s v=""/>
    <n v="0"/>
    <s v=""/>
    <n v="545"/>
    <n v="0"/>
  </r>
  <r>
    <x v="7"/>
    <s v="U0354"/>
    <s v="Warehouse"/>
    <n v="620"/>
    <s v="Occupied"/>
    <s v="Tenant_120"/>
    <n v="8182.13"/>
    <n v="98185.56"/>
    <n v="98185.56"/>
    <s v=""/>
    <d v="2023-05-28T00:00:00"/>
    <d v="2024-01-15T00:00:00"/>
    <n v="1647.31"/>
    <n v="1249.67"/>
    <s v="OK"/>
    <s v=""/>
    <s v=""/>
    <n v="158.3638064516129"/>
    <n v="2896.98"/>
    <n v="96935.89"/>
    <n v="0"/>
    <s v="0-3 Monaten"/>
    <n v="0"/>
    <n v="620"/>
  </r>
  <r>
    <x v="1"/>
    <s v="U0355"/>
    <s v="Office"/>
    <n v="463"/>
    <s v="Occupied"/>
    <s v="Tenant_92"/>
    <n v="5135.97"/>
    <n v="61631.64"/>
    <n v="61631.64"/>
    <s v=""/>
    <d v="2022-10-11T00:00:00"/>
    <d v="2027-06-11T00:00:00"/>
    <n v="672.99"/>
    <n v="1112.6199999999999"/>
    <s v="OK"/>
    <s v=""/>
    <s v=""/>
    <n v="133.11369330453564"/>
    <n v="1785.61"/>
    <n v="60519.02"/>
    <n v="15"/>
    <s v="12 M+"/>
    <n v="0"/>
    <n v="463"/>
  </r>
  <r>
    <x v="4"/>
    <s v="U0356"/>
    <s v="Office"/>
    <n v="1448"/>
    <s v="Occupied"/>
    <s v="Tenant_20"/>
    <n v="9486.93"/>
    <n v="113843.16"/>
    <n v="113843.16"/>
    <s v=""/>
    <d v="2021-10-01T00:00:00"/>
    <d v="2024-07-26T00:00:00"/>
    <n v="2150.16"/>
    <n v="2884.89"/>
    <s v="OK"/>
    <s v=""/>
    <s v=""/>
    <n v="78.620966850828736"/>
    <n v="5035.0499999999993"/>
    <n v="110958.27"/>
    <n v="0"/>
    <s v="0-3 Monaten"/>
    <n v="0"/>
    <n v="1448"/>
  </r>
  <r>
    <x v="5"/>
    <s v="U0357"/>
    <s v="Storage"/>
    <n v="933"/>
    <s v="Occupied"/>
    <s v="Tenant_115"/>
    <n v="6289.52"/>
    <n v="75474.240000000005"/>
    <n v="75474.240000000005"/>
    <s v=""/>
    <d v="2021-07-04T00:00:00"/>
    <d v="2023-09-30T00:00:00"/>
    <n v="2493.27"/>
    <n v="1612.55"/>
    <s v="OK"/>
    <s v=""/>
    <s v=""/>
    <n v="80.894147909967856"/>
    <n v="4105.82"/>
    <n v="73861.69"/>
    <n v="0"/>
    <s v="0-3 Monaten"/>
    <n v="0"/>
    <n v="933"/>
  </r>
  <r>
    <x v="1"/>
    <s v="U0358"/>
    <s v="Warehouse"/>
    <n v="152"/>
    <s v="Occupied"/>
    <s v="Tenant_70"/>
    <n v="2079.2600000000002"/>
    <n v="24951.119999999999"/>
    <n v="24951.120000000003"/>
    <s v=""/>
    <d v="2022-06-16T00:00:00"/>
    <d v="2023-05-27T00:00:00"/>
    <n v="406.43"/>
    <n v="138.79"/>
    <s v="OK"/>
    <s v=""/>
    <s v=""/>
    <n v="164.15210526315789"/>
    <n v="545.22"/>
    <n v="24812.329999999998"/>
    <n v="0"/>
    <s v="0-3 Monaten"/>
    <n v="0"/>
    <n v="152"/>
  </r>
  <r>
    <x v="2"/>
    <s v="U0359"/>
    <s v="Office"/>
    <n v="1041"/>
    <s v="Occupied"/>
    <s v="Tenant_105"/>
    <n v="7343.51"/>
    <n v="88122.12"/>
    <n v="88122.12"/>
    <s v=""/>
    <d v="2021-11-24T00:00:00"/>
    <d v="2026-11-13T00:00:00"/>
    <n v="2070.8200000000002"/>
    <n v="1492.42"/>
    <s v="OK"/>
    <s v=""/>
    <s v=""/>
    <n v="84.651412103746395"/>
    <n v="3563.2400000000002"/>
    <n v="86629.7"/>
    <n v="8"/>
    <s v="6-12 Monaten"/>
    <n v="0"/>
    <n v="1041"/>
  </r>
  <r>
    <x v="2"/>
    <s v="U0360"/>
    <s v="Office"/>
    <n v="978"/>
    <s v="Vacant"/>
    <m/>
    <n v="0"/>
    <n v="0"/>
    <n v="0"/>
    <s v=""/>
    <m/>
    <m/>
    <n v="2467.21"/>
    <n v="1476.81"/>
    <s v="OK"/>
    <s v=""/>
    <s v="Rent&lt;=0"/>
    <s v=""/>
    <n v="3944.02"/>
    <s v=""/>
    <n v="0"/>
    <s v=""/>
    <n v="978"/>
    <n v="0"/>
  </r>
  <r>
    <x v="6"/>
    <s v="U0361"/>
    <s v="Storage"/>
    <n v="1024"/>
    <s v="Occupied"/>
    <s v="Tenant_123"/>
    <n v="8543.24"/>
    <n v="102518.88"/>
    <n v="102518.88"/>
    <s v=""/>
    <d v="2022-02-15T00:00:00"/>
    <d v="2023-01-04T00:00:00"/>
    <n v="2448.21"/>
    <n v="1317.98"/>
    <s v="OK"/>
    <s v=""/>
    <s v=""/>
    <n v="100.11609375"/>
    <n v="3766.19"/>
    <n v="101200.90000000001"/>
    <n v="0"/>
    <s v="0-3 Monaten"/>
    <n v="0"/>
    <n v="1024"/>
  </r>
  <r>
    <x v="7"/>
    <s v="U0362"/>
    <s v="Office"/>
    <n v="319"/>
    <s v="Occupied"/>
    <s v="Tenant_25"/>
    <n v="3246.09"/>
    <n v="38953.08"/>
    <n v="38953.08"/>
    <s v=""/>
    <d v="2022-11-03T00:00:00"/>
    <d v="2023-11-09T00:00:00"/>
    <n v="955.23"/>
    <n v="174.29"/>
    <s v="OK"/>
    <s v=""/>
    <s v=""/>
    <n v="122.10996865203762"/>
    <n v="1129.52"/>
    <n v="38778.79"/>
    <n v="0"/>
    <s v="0-3 Monaten"/>
    <n v="0"/>
    <n v="319"/>
  </r>
  <r>
    <x v="3"/>
    <s v="U0363"/>
    <s v="Storage"/>
    <n v="1143"/>
    <s v="Occupied"/>
    <s v="Tenant_43"/>
    <n v="11047.86"/>
    <n v="132574.32"/>
    <n v="132574.32"/>
    <s v=""/>
    <d v="2022-12-27T00:00:00"/>
    <d v="2027-04-09T00:00:00"/>
    <n v="3122.53"/>
    <n v="847.72"/>
    <s v="OK"/>
    <s v=""/>
    <s v=""/>
    <n v="115.988031496063"/>
    <n v="3970.25"/>
    <n v="131726.6"/>
    <n v="13"/>
    <s v="12 M+"/>
    <n v="0"/>
    <n v="1143"/>
  </r>
  <r>
    <x v="2"/>
    <s v="U0364"/>
    <s v="Storage"/>
    <n v="1250"/>
    <s v="Occupied"/>
    <s v="Tenant_154"/>
    <n v="12868.99"/>
    <n v="154427.88"/>
    <n v="154427.88"/>
    <s v=""/>
    <d v="2021-04-12T00:00:00"/>
    <d v="2024-08-26T00:00:00"/>
    <n v="3288.02"/>
    <n v="1583.73"/>
    <s v="OK"/>
    <s v=""/>
    <s v=""/>
    <n v="123.542304"/>
    <n v="4871.75"/>
    <n v="152844.15"/>
    <n v="0"/>
    <s v="0-3 Monaten"/>
    <n v="0"/>
    <n v="1250"/>
  </r>
  <r>
    <x v="7"/>
    <s v="U0365"/>
    <s v="Storage"/>
    <n v="1227"/>
    <s v="Occupied"/>
    <s v="Tenant_114"/>
    <n v="16448.259999999998"/>
    <n v="197379.12"/>
    <n v="197379.12"/>
    <s v=""/>
    <d v="2022-09-30T00:00:00"/>
    <d v="2023-06-22T00:00:00"/>
    <n v="2042.61"/>
    <n v="2948.07"/>
    <s v="OK"/>
    <s v=""/>
    <s v=""/>
    <n v="160.86317848410758"/>
    <n v="4990.68"/>
    <n v="194431.05"/>
    <n v="0"/>
    <s v="0-3 Monaten"/>
    <n v="0"/>
    <n v="1227"/>
  </r>
  <r>
    <x v="4"/>
    <s v="U0366"/>
    <s v="Warehouse"/>
    <n v="832"/>
    <s v="Occupied"/>
    <s v="Tenant_128"/>
    <n v="12415.12"/>
    <n v="148981.44"/>
    <n v="148981.44"/>
    <s v=""/>
    <d v="2021-12-18T00:00:00"/>
    <d v="2026-03-13T00:00:00"/>
    <n v="1916.39"/>
    <n v="1262.4100000000001"/>
    <s v="OK"/>
    <s v=""/>
    <s v=""/>
    <n v="179.06423076923076"/>
    <n v="3178.8"/>
    <n v="147719.03"/>
    <n v="0"/>
    <s v="0-3 Monaten"/>
    <n v="0"/>
    <n v="832"/>
  </r>
  <r>
    <x v="1"/>
    <s v="U0367"/>
    <s v="Warehouse"/>
    <n v="1219"/>
    <s v="Occupied"/>
    <s v="Tenant_190"/>
    <n v="9797.17"/>
    <n v="117566.04"/>
    <n v="117566.04000000001"/>
    <s v=""/>
    <d v="2023-09-07T00:00:00"/>
    <d v="2027-11-17T00:00:00"/>
    <n v="1507.86"/>
    <n v="834.32"/>
    <s v="OK"/>
    <s v=""/>
    <s v=""/>
    <n v="96.444659557013935"/>
    <n v="2342.1799999999998"/>
    <n v="116731.71999999999"/>
    <n v="20"/>
    <s v="12 M+"/>
    <n v="0"/>
    <n v="1219"/>
  </r>
  <r>
    <x v="0"/>
    <s v="U0368"/>
    <s v="Production"/>
    <n v="461"/>
    <s v="Occupied"/>
    <s v="Tenant_75"/>
    <n v="4177.8100000000004"/>
    <n v="50133.72"/>
    <n v="50133.72"/>
    <s v=""/>
    <d v="2022-11-30T00:00:00"/>
    <d v="2023-11-20T00:00:00"/>
    <n v="672.99"/>
    <n v="503.8"/>
    <s v="OK"/>
    <s v=""/>
    <s v=""/>
    <n v="108.74993492407809"/>
    <n v="1176.79"/>
    <n v="49629.919999999998"/>
    <n v="0"/>
    <s v="0-3 Monaten"/>
    <n v="0"/>
    <n v="461"/>
  </r>
  <r>
    <x v="0"/>
    <s v="U0369"/>
    <s v="Storage"/>
    <n v="616"/>
    <s v="Occupied"/>
    <s v="Tenant_110"/>
    <n v="10892.84"/>
    <n v="130714.08"/>
    <n v="130714.08"/>
    <s v=""/>
    <d v="2021-04-14T00:00:00"/>
    <d v="2023-10-09T00:00:00"/>
    <n v="1699.62"/>
    <n v="546.44000000000005"/>
    <s v="OK"/>
    <s v=""/>
    <s v=""/>
    <n v="212.19818181818181"/>
    <n v="2246.06"/>
    <n v="130167.64"/>
    <n v="0"/>
    <s v="0-3 Monaten"/>
    <n v="0"/>
    <n v="616"/>
  </r>
  <r>
    <x v="3"/>
    <s v="U0370"/>
    <s v="Office"/>
    <n v="1261"/>
    <s v="Occupied"/>
    <s v="Tenant_118"/>
    <n v="21633.43"/>
    <n v="259601.16"/>
    <n v="259601.16"/>
    <s v=""/>
    <d v="2021-04-27T00:00:00"/>
    <d v="2022-07-14T00:00:00"/>
    <n v="3081.01"/>
    <n v="1098.1300000000001"/>
    <s v="OK"/>
    <s v=""/>
    <s v=""/>
    <n v="205.86927835051546"/>
    <n v="4179.1400000000003"/>
    <n v="258503.03"/>
    <n v="0"/>
    <s v="0-3 Monaten"/>
    <n v="0"/>
    <n v="1261"/>
  </r>
  <r>
    <x v="6"/>
    <s v="U0371"/>
    <s v="Office"/>
    <n v="363"/>
    <s v="Occupied"/>
    <s v="Tenant_71"/>
    <n v="3714.86"/>
    <n v="44578.32"/>
    <n v="44578.32"/>
    <s v=""/>
    <d v="2022-06-09T00:00:00"/>
    <d v="2026-08-30T00:00:00"/>
    <n v="640.04"/>
    <n v="542.4"/>
    <s v="OK"/>
    <s v=""/>
    <s v=""/>
    <n v="122.80528925619835"/>
    <n v="1182.44"/>
    <n v="44035.92"/>
    <n v="6"/>
    <s v="3-6 Monaten"/>
    <n v="0"/>
    <n v="363"/>
  </r>
  <r>
    <x v="5"/>
    <s v="U0372"/>
    <s v="Production"/>
    <n v="349"/>
    <s v="Vacant"/>
    <m/>
    <n v="0"/>
    <n v="0"/>
    <n v="0"/>
    <s v=""/>
    <m/>
    <m/>
    <n v="875.42"/>
    <n v="778.91"/>
    <s v="OK"/>
    <s v=""/>
    <s v="Rent&lt;=0"/>
    <s v=""/>
    <n v="1654.33"/>
    <s v=""/>
    <n v="0"/>
    <s v=""/>
    <n v="349"/>
    <n v="0"/>
  </r>
  <r>
    <x v="4"/>
    <s v="U0373"/>
    <s v="Warehouse"/>
    <n v="1117"/>
    <s v="Occupied"/>
    <s v="Tenant_89"/>
    <n v="15252.13"/>
    <n v="183025.56"/>
    <n v="183025.56"/>
    <s v=""/>
    <d v="2022-05-11T00:00:00"/>
    <d v="2024-03-09T00:00:00"/>
    <n v="1769.91"/>
    <n v="2306.02"/>
    <s v="OK"/>
    <s v=""/>
    <s v=""/>
    <n v="163.85457475380483"/>
    <n v="4075.9300000000003"/>
    <n v="180719.54"/>
    <n v="0"/>
    <s v="0-3 Monaten"/>
    <n v="0"/>
    <n v="1117"/>
  </r>
  <r>
    <x v="0"/>
    <s v="U0374"/>
    <s v="Office"/>
    <n v="979"/>
    <s v="Occupied"/>
    <s v="Tenant_66"/>
    <n v="7258.29"/>
    <n v="87099.48"/>
    <n v="87099.48"/>
    <s v=""/>
    <d v="2022-12-23T00:00:00"/>
    <d v="2023-11-19T00:00:00"/>
    <n v="2053.69"/>
    <n v="1646.9"/>
    <s v="OK"/>
    <s v=""/>
    <s v=""/>
    <n v="88.967803881511742"/>
    <n v="3700.59"/>
    <n v="85452.58"/>
    <n v="0"/>
    <s v="0-3 Monaten"/>
    <n v="0"/>
    <n v="979"/>
  </r>
  <r>
    <x v="0"/>
    <s v="U0375"/>
    <s v="Warehouse"/>
    <n v="275"/>
    <s v="Occupied"/>
    <s v="Tenant_124"/>
    <n v="2509.3200000000002"/>
    <n v="30111.84"/>
    <n v="30111.840000000004"/>
    <s v=""/>
    <d v="2023-03-16T00:00:00"/>
    <d v="2024-06-26T00:00:00"/>
    <n v="352.8"/>
    <n v="152.69999999999999"/>
    <s v="OK"/>
    <s v=""/>
    <s v=""/>
    <n v="109.49760000000001"/>
    <n v="505.5"/>
    <n v="29959.14"/>
    <n v="0"/>
    <s v="0-3 Monaten"/>
    <n v="0"/>
    <n v="275"/>
  </r>
  <r>
    <x v="7"/>
    <s v="U0376"/>
    <s v="Storage"/>
    <n v="1423"/>
    <s v="Vacant"/>
    <m/>
    <n v="0"/>
    <n v="0"/>
    <n v="0"/>
    <s v=""/>
    <m/>
    <m/>
    <n v="2184.6"/>
    <n v="1100.49"/>
    <s v="OK"/>
    <s v=""/>
    <s v="Rent&lt;=0"/>
    <s v=""/>
    <n v="3285.09"/>
    <s v=""/>
    <n v="0"/>
    <s v=""/>
    <n v="1423"/>
    <n v="0"/>
  </r>
  <r>
    <x v="4"/>
    <s v="U0377"/>
    <s v="Office"/>
    <n v="648"/>
    <s v="Occupied"/>
    <s v="Tenant_99"/>
    <n v="6723.92"/>
    <n v="80687.039999999994"/>
    <n v="80687.040000000008"/>
    <s v=""/>
    <d v="2021-07-22T00:00:00"/>
    <d v="2022-05-21T00:00:00"/>
    <n v="1477.33"/>
    <n v="712.95"/>
    <s v="OK"/>
    <s v=""/>
    <s v=""/>
    <n v="124.51703703703703"/>
    <n v="2190.2799999999997"/>
    <n v="79974.09"/>
    <n v="0"/>
    <s v="0-3 Monaten"/>
    <n v="0"/>
    <n v="648"/>
  </r>
  <r>
    <x v="5"/>
    <s v="U0378"/>
    <s v="Office"/>
    <n v="991"/>
    <s v="Occupied"/>
    <s v="Tenant_69"/>
    <n v="11378.92"/>
    <n v="136547.04"/>
    <n v="136547.04"/>
    <s v=""/>
    <d v="2023-05-04T00:00:00"/>
    <d v="2028-03-14T00:00:00"/>
    <n v="2623.38"/>
    <n v="729.16"/>
    <s v="OK"/>
    <s v=""/>
    <s v=""/>
    <n v="137.78712411705348"/>
    <n v="3352.54"/>
    <n v="135817.88"/>
    <n v="24"/>
    <s v="12 M+"/>
    <n v="0"/>
    <n v="991"/>
  </r>
  <r>
    <x v="4"/>
    <s v="U0379"/>
    <s v="Storage"/>
    <n v="1036"/>
    <s v="Occupied"/>
    <s v="Tenant_194"/>
    <n v="15907.58"/>
    <n v="190890.96"/>
    <n v="190890.96"/>
    <s v=""/>
    <d v="2021-10-30T00:00:00"/>
    <d v="2024-09-18T00:00:00"/>
    <n v="2736.27"/>
    <n v="1899.78"/>
    <s v="OK"/>
    <s v=""/>
    <s v=""/>
    <n v="184.25768339768339"/>
    <n v="4636.05"/>
    <n v="188991.18"/>
    <n v="0"/>
    <s v="0-3 Monaten"/>
    <n v="0"/>
    <n v="1036"/>
  </r>
  <r>
    <x v="4"/>
    <s v="U0380"/>
    <s v="Office"/>
    <n v="221"/>
    <s v="Occupied"/>
    <s v="Tenant_170"/>
    <n v="1713.53"/>
    <n v="20562.36"/>
    <n v="20562.36"/>
    <s v=""/>
    <d v="2021-06-27T00:00:00"/>
    <d v="2022-06-18T00:00:00"/>
    <n v="463.43"/>
    <n v="426.15"/>
    <s v="OK"/>
    <s v=""/>
    <s v=""/>
    <n v="93.042352941176475"/>
    <n v="889.57999999999993"/>
    <n v="20136.21"/>
    <n v="0"/>
    <s v="0-3 Monaten"/>
    <n v="0"/>
    <n v="221"/>
  </r>
  <r>
    <x v="6"/>
    <s v="U0381"/>
    <s v="Production"/>
    <n v="1211"/>
    <s v="Occupied"/>
    <s v="Tenant_181"/>
    <n v="12642.96"/>
    <n v="151715.51999999999"/>
    <n v="151715.51999999999"/>
    <s v=""/>
    <d v="2023-05-02T00:00:00"/>
    <d v="2026-02-22T00:00:00"/>
    <n v="3413.35"/>
    <n v="1754.03"/>
    <s v="OK"/>
    <s v=""/>
    <s v=""/>
    <n v="125.28118909991741"/>
    <n v="5167.38"/>
    <n v="149961.49"/>
    <n v="0"/>
    <s v="0-3 Monaten"/>
    <n v="0"/>
    <n v="1211"/>
  </r>
  <r>
    <x v="6"/>
    <s v="U0382"/>
    <s v="Warehouse"/>
    <n v="507"/>
    <s v="Occupied"/>
    <s v="Tenant_117"/>
    <n v="6298.58"/>
    <n v="75582.960000000006"/>
    <n v="75582.959999999992"/>
    <s v=""/>
    <d v="2021-10-27T00:00:00"/>
    <d v="2026-01-05T00:00:00"/>
    <n v="1419.73"/>
    <n v="862.77"/>
    <s v="OK"/>
    <s v=""/>
    <s v=""/>
    <n v="149.07881656804736"/>
    <n v="2282.5"/>
    <n v="74720.19"/>
    <n v="0"/>
    <s v="0-3 Monaten"/>
    <n v="0"/>
    <n v="507"/>
  </r>
  <r>
    <x v="1"/>
    <s v="U0383"/>
    <s v="Storage"/>
    <n v="605"/>
    <s v="Occupied"/>
    <s v="Tenant_37"/>
    <n v="10127.66"/>
    <n v="121531.92"/>
    <n v="121531.92"/>
    <s v=""/>
    <d v="2021-06-27T00:00:00"/>
    <d v="2023-08-29T00:00:00"/>
    <n v="902.63"/>
    <n v="1419.42"/>
    <s v="OK"/>
    <s v=""/>
    <s v=""/>
    <n v="200.87920661157025"/>
    <n v="2322.0500000000002"/>
    <n v="120112.5"/>
    <n v="0"/>
    <s v="0-3 Monaten"/>
    <n v="0"/>
    <n v="605"/>
  </r>
  <r>
    <x v="0"/>
    <s v="U0384"/>
    <s v="Production"/>
    <n v="1015"/>
    <s v="Occupied"/>
    <s v="Tenant_98"/>
    <n v="18195.12"/>
    <n v="218341.44"/>
    <n v="218341.44"/>
    <s v=""/>
    <d v="2022-09-09T00:00:00"/>
    <d v="2023-05-03T00:00:00"/>
    <n v="2522.12"/>
    <n v="2328.67"/>
    <s v="OK"/>
    <s v=""/>
    <s v=""/>
    <n v="215.11471921182266"/>
    <n v="4850.79"/>
    <n v="216012.77"/>
    <n v="0"/>
    <s v="0-3 Monaten"/>
    <n v="0"/>
    <n v="1015"/>
  </r>
  <r>
    <x v="3"/>
    <s v="U0385"/>
    <s v="Production"/>
    <n v="1139"/>
    <s v="Vacant"/>
    <m/>
    <n v="0"/>
    <n v="0"/>
    <n v="0"/>
    <s v=""/>
    <m/>
    <m/>
    <n v="2165.9499999999998"/>
    <n v="1552.78"/>
    <s v="OK"/>
    <s v=""/>
    <s v="Rent&lt;=0"/>
    <s v=""/>
    <n v="3718.7299999999996"/>
    <s v=""/>
    <n v="0"/>
    <s v=""/>
    <n v="1139"/>
    <n v="0"/>
  </r>
  <r>
    <x v="1"/>
    <s v="U0386"/>
    <s v="Storage"/>
    <n v="683"/>
    <s v="Occupied"/>
    <s v="Tenant_137"/>
    <n v="8898.0499999999993"/>
    <n v="106776.6"/>
    <n v="106776.59999999999"/>
    <s v=""/>
    <d v="2023-03-07T00:00:00"/>
    <d v="2023-09-24T00:00:00"/>
    <n v="1339.22"/>
    <n v="1480.32"/>
    <s v="OK"/>
    <s v=""/>
    <s v=""/>
    <n v="156.33469985358713"/>
    <n v="2819.54"/>
    <n v="105296.28"/>
    <n v="0"/>
    <s v="0-3 Monaten"/>
    <n v="0"/>
    <n v="683"/>
  </r>
  <r>
    <x v="1"/>
    <s v="U0387"/>
    <s v="Production"/>
    <n v="727"/>
    <s v="Occupied"/>
    <s v="Tenant_108"/>
    <n v="11485.82"/>
    <n v="137829.84"/>
    <n v="137829.84"/>
    <s v=""/>
    <d v="2023-11-11T00:00:00"/>
    <d v="2027-08-25T00:00:00"/>
    <n v="1229.3699999999999"/>
    <n v="432.69"/>
    <s v="OK"/>
    <s v=""/>
    <s v=""/>
    <n v="189.58712517193948"/>
    <n v="1662.06"/>
    <n v="137397.15"/>
    <n v="18"/>
    <s v="12 M+"/>
    <n v="0"/>
    <n v="727"/>
  </r>
  <r>
    <x v="6"/>
    <s v="U0388"/>
    <s v="Production"/>
    <n v="124"/>
    <s v="Occupied"/>
    <s v="Tenant_172"/>
    <n v="1456.94"/>
    <n v="17483.28"/>
    <n v="17483.28"/>
    <s v=""/>
    <d v="2023-01-03T00:00:00"/>
    <d v="2025-12-20T00:00:00"/>
    <n v="356.44"/>
    <n v="212.92"/>
    <s v="OK"/>
    <s v=""/>
    <s v=""/>
    <n v="140.99419354838707"/>
    <n v="569.36"/>
    <n v="17270.36"/>
    <n v="0"/>
    <s v="0-3 Monaten"/>
    <n v="0"/>
    <n v="124"/>
  </r>
  <r>
    <x v="5"/>
    <s v="U0389"/>
    <s v="Office"/>
    <n v="65"/>
    <s v="Occupied"/>
    <s v="Tenant_27"/>
    <n v="496.05"/>
    <n v="5952.6"/>
    <n v="5952.6"/>
    <s v=""/>
    <d v="2022-11-19T00:00:00"/>
    <d v="2023-07-17T00:00:00"/>
    <n v="116.56"/>
    <n v="118.53"/>
    <s v="OK"/>
    <s v=""/>
    <s v=""/>
    <n v="91.578461538461539"/>
    <n v="235.09"/>
    <n v="5834.0700000000006"/>
    <n v="0"/>
    <s v="0-3 Monaten"/>
    <n v="0"/>
    <n v="65"/>
  </r>
  <r>
    <x v="1"/>
    <s v="U0390"/>
    <s v="Production"/>
    <n v="915"/>
    <s v="Occupied"/>
    <s v="Tenant_25"/>
    <n v="15341.64"/>
    <n v="184099.68"/>
    <n v="184099.68"/>
    <s v=""/>
    <d v="2021-11-08T00:00:00"/>
    <d v="2022-11-15T00:00:00"/>
    <n v="2438.33"/>
    <n v="1536.72"/>
    <s v="OK"/>
    <s v=""/>
    <s v=""/>
    <n v="201.20183606557376"/>
    <n v="3975.05"/>
    <n v="182562.96"/>
    <n v="0"/>
    <s v="0-3 Monaten"/>
    <n v="0"/>
    <n v="915"/>
  </r>
  <r>
    <x v="1"/>
    <s v="U0391"/>
    <s v="Production"/>
    <n v="280"/>
    <s v="Occupied"/>
    <s v="Tenant_94"/>
    <n v="2037.43"/>
    <n v="24449.16"/>
    <n v="24449.16"/>
    <s v=""/>
    <d v="2022-01-09T00:00:00"/>
    <d v="2025-08-13T00:00:00"/>
    <n v="796.35"/>
    <n v="293.64"/>
    <s v="OK"/>
    <s v=""/>
    <s v=""/>
    <n v="87.318428571428569"/>
    <n v="1089.99"/>
    <n v="24155.52"/>
    <n v="0"/>
    <s v="0-3 Monaten"/>
    <n v="0"/>
    <n v="280"/>
  </r>
  <r>
    <x v="7"/>
    <s v="U0392"/>
    <s v="Production"/>
    <n v="1414"/>
    <s v="Occupied"/>
    <s v="Tenant_148"/>
    <n v="11039.26"/>
    <n v="132471.12"/>
    <n v="132471.12"/>
    <s v=""/>
    <d v="2021-11-10T00:00:00"/>
    <d v="2025-03-16T00:00:00"/>
    <n v="2126.4499999999998"/>
    <n v="2547.92"/>
    <s v="OK"/>
    <s v=""/>
    <s v=""/>
    <n v="93.685374823196597"/>
    <n v="4674.37"/>
    <n v="129923.2"/>
    <n v="0"/>
    <s v="0-3 Monaten"/>
    <n v="0"/>
    <n v="1414"/>
  </r>
  <r>
    <x v="2"/>
    <s v="U0393"/>
    <s v="Office"/>
    <n v="1304"/>
    <s v="Occupied"/>
    <s v="Tenant_193"/>
    <n v="18513.12"/>
    <n v="222157.44"/>
    <n v="222157.44"/>
    <s v=""/>
    <d v="2022-12-03T00:00:00"/>
    <d v="2027-09-10T00:00:00"/>
    <n v="3245.04"/>
    <n v="2014.59"/>
    <s v="OK"/>
    <s v=""/>
    <s v=""/>
    <n v="170.36613496932515"/>
    <n v="5259.63"/>
    <n v="220142.85"/>
    <n v="18"/>
    <s v="12 M+"/>
    <n v="0"/>
    <n v="1304"/>
  </r>
  <r>
    <x v="6"/>
    <s v="U0394"/>
    <s v="Storage"/>
    <n v="329"/>
    <s v="Occupied"/>
    <s v="Tenant_31"/>
    <n v="3209.28"/>
    <n v="38511.360000000001"/>
    <n v="38511.360000000001"/>
    <s v=""/>
    <d v="2021-12-22T00:00:00"/>
    <d v="2022-06-21T00:00:00"/>
    <n v="692.25"/>
    <n v="426.96"/>
    <s v="OK"/>
    <s v=""/>
    <s v=""/>
    <n v="117.05580547112463"/>
    <n v="1119.21"/>
    <n v="38084.400000000001"/>
    <n v="0"/>
    <s v="0-3 Monaten"/>
    <n v="0"/>
    <n v="329"/>
  </r>
  <r>
    <x v="7"/>
    <s v="U0395"/>
    <s v="Storage"/>
    <n v="1348"/>
    <s v="Vacant"/>
    <m/>
    <n v="0"/>
    <n v="0"/>
    <n v="0"/>
    <s v=""/>
    <m/>
    <m/>
    <n v="2208.75"/>
    <n v="2265.89"/>
    <s v="OK"/>
    <s v=""/>
    <s v="Rent&lt;=0"/>
    <s v=""/>
    <n v="4474.6399999999994"/>
    <s v=""/>
    <n v="0"/>
    <s v=""/>
    <n v="1348"/>
    <n v="0"/>
  </r>
  <r>
    <x v="0"/>
    <s v="U0396"/>
    <s v="Production"/>
    <n v="1444"/>
    <s v="Occupied"/>
    <s v="Tenant_128"/>
    <n v="17620.599999999999"/>
    <n v="211447.2"/>
    <n v="211447.19999999998"/>
    <s v=""/>
    <d v="2023-09-08T00:00:00"/>
    <d v="2026-05-26T00:00:00"/>
    <n v="2721.49"/>
    <n v="951.69"/>
    <s v="OK"/>
    <s v=""/>
    <s v=""/>
    <n v="146.43157894736842"/>
    <n v="3673.18"/>
    <n v="210495.51"/>
    <n v="3"/>
    <s v="0-3 Monaten"/>
    <n v="0"/>
    <n v="1444"/>
  </r>
  <r>
    <x v="2"/>
    <s v="U0397"/>
    <s v="Production"/>
    <n v="404"/>
    <s v="Occupied"/>
    <s v="Tenant_112"/>
    <n v="7023.08"/>
    <n v="84276.96"/>
    <n v="84276.959999999992"/>
    <s v=""/>
    <d v="2021-04-08T00:00:00"/>
    <d v="2021-11-22T00:00:00"/>
    <n v="869.38"/>
    <n v="832.99"/>
    <s v="OK"/>
    <s v=""/>
    <s v=""/>
    <n v="208.60633663366337"/>
    <n v="1702.37"/>
    <n v="83443.97"/>
    <n v="0"/>
    <s v="0-3 Monaten"/>
    <n v="0"/>
    <n v="404"/>
  </r>
  <r>
    <x v="0"/>
    <s v="U0398"/>
    <s v="Storage"/>
    <n v="743"/>
    <s v="Occupied"/>
    <s v="Tenant_56"/>
    <n v="7935.91"/>
    <n v="95230.92"/>
    <n v="95230.92"/>
    <s v=""/>
    <d v="2022-05-27T00:00:00"/>
    <d v="2025-07-25T00:00:00"/>
    <n v="2132.3000000000002"/>
    <n v="787.62"/>
    <s v="OK"/>
    <s v=""/>
    <s v=""/>
    <n v="128.17082099596232"/>
    <n v="2919.92"/>
    <n v="94443.3"/>
    <n v="0"/>
    <s v="0-3 Monaten"/>
    <n v="0"/>
    <n v="743"/>
  </r>
  <r>
    <x v="0"/>
    <s v="U0399"/>
    <s v="Warehouse"/>
    <n v="57"/>
    <s v="Occupied"/>
    <s v="Tenant_122"/>
    <n v="757.73"/>
    <n v="9092.76"/>
    <n v="9092.76"/>
    <s v=""/>
    <d v="2022-08-31T00:00:00"/>
    <d v="2024-08-29T00:00:00"/>
    <n v="98.16"/>
    <n v="117.62"/>
    <s v="OK"/>
    <s v=""/>
    <s v=""/>
    <n v="159.5221052631579"/>
    <n v="215.78"/>
    <n v="8975.14"/>
    <n v="0"/>
    <s v="0-3 Monaten"/>
    <n v="0"/>
    <n v="57"/>
  </r>
  <r>
    <x v="0"/>
    <s v="U0400"/>
    <s v="Production"/>
    <n v="490"/>
    <s v="Occupied"/>
    <s v="Tenant_197"/>
    <n v="3138.74"/>
    <n v="37664.879999999997"/>
    <n v="37664.879999999997"/>
    <s v=""/>
    <d v="2021-08-04T00:00:00"/>
    <d v="2024-08-16T00:00:00"/>
    <n v="1160.05"/>
    <n v="408.36"/>
    <s v="OK"/>
    <s v=""/>
    <s v=""/>
    <n v="76.86710204081632"/>
    <n v="1568.4099999999999"/>
    <n v="37256.519999999997"/>
    <n v="0"/>
    <s v="0-3 Monaten"/>
    <n v="0"/>
    <n v="490"/>
  </r>
  <r>
    <x v="5"/>
    <s v="U0401"/>
    <s v="Storage"/>
    <n v="324"/>
    <s v="Occupied"/>
    <s v="Tenant_111"/>
    <n v="3517.94"/>
    <n v="42215.28"/>
    <n v="42215.28"/>
    <s v=""/>
    <d v="2023-07-10T00:00:00"/>
    <d v="2024-10-29T00:00:00"/>
    <n v="462.67"/>
    <n v="205.46"/>
    <s v="OK"/>
    <s v=""/>
    <s v=""/>
    <n v="130.29407407407408"/>
    <n v="668.13"/>
    <n v="42009.82"/>
    <n v="0"/>
    <s v="0-3 Monaten"/>
    <n v="0"/>
    <n v="324"/>
  </r>
  <r>
    <x v="5"/>
    <s v="U0402"/>
    <s v="Production"/>
    <n v="1043"/>
    <s v="Occupied"/>
    <s v="Tenant_130"/>
    <n v="13632.51"/>
    <n v="163590.12"/>
    <n v="163590.12"/>
    <s v=""/>
    <d v="2022-10-30T00:00:00"/>
    <d v="2024-10-09T00:00:00"/>
    <n v="2104.35"/>
    <n v="1176.17"/>
    <s v="OK"/>
    <s v=""/>
    <s v=""/>
    <n v="156.84575263662512"/>
    <n v="3280.52"/>
    <n v="162413.94999999998"/>
    <n v="0"/>
    <s v="0-3 Monaten"/>
    <n v="0"/>
    <n v="1043"/>
  </r>
  <r>
    <x v="7"/>
    <s v="U0403"/>
    <s v="Warehouse"/>
    <n v="1118"/>
    <s v="Occupied"/>
    <s v="Tenant_2"/>
    <n v="9587.6200000000008"/>
    <n v="115051.44"/>
    <n v="115051.44"/>
    <s v=""/>
    <d v="2023-07-07T00:00:00"/>
    <d v="2026-08-28T00:00:00"/>
    <n v="1292.1199999999999"/>
    <n v="1226.02"/>
    <s v="OK"/>
    <s v=""/>
    <s v=""/>
    <n v="102.90826475849732"/>
    <n v="2518.14"/>
    <n v="113825.42"/>
    <n v="6"/>
    <s v="3-6 Monaten"/>
    <n v="0"/>
    <n v="1118"/>
  </r>
  <r>
    <x v="7"/>
    <s v="U0404"/>
    <s v="Storage"/>
    <n v="1117"/>
    <s v="Occupied"/>
    <s v="Tenant_130"/>
    <n v="18599.96"/>
    <n v="223199.52"/>
    <n v="223199.52"/>
    <s v=""/>
    <d v="2021-04-07T00:00:00"/>
    <d v="2025-03-10T00:00:00"/>
    <n v="2771.6"/>
    <n v="673.87"/>
    <s v="OK"/>
    <s v=""/>
    <s v=""/>
    <n v="199.82051924798566"/>
    <n v="3445.47"/>
    <n v="222525.65"/>
    <n v="0"/>
    <s v="0-3 Monaten"/>
    <n v="0"/>
    <n v="1117"/>
  </r>
  <r>
    <x v="4"/>
    <s v="U0405"/>
    <s v="Office"/>
    <n v="474"/>
    <s v="Occupied"/>
    <s v="Tenant_10"/>
    <n v="5328.85"/>
    <n v="63946.2"/>
    <n v="63946.200000000004"/>
    <s v=""/>
    <d v="2021-12-03T00:00:00"/>
    <d v="2024-03-05T00:00:00"/>
    <n v="771.45"/>
    <n v="983.42"/>
    <s v="OK"/>
    <s v=""/>
    <s v=""/>
    <n v="134.90759493670885"/>
    <n v="1754.87"/>
    <n v="62962.78"/>
    <n v="0"/>
    <s v="0-3 Monaten"/>
    <n v="0"/>
    <n v="474"/>
  </r>
  <r>
    <x v="2"/>
    <s v="U0406"/>
    <s v="Storage"/>
    <n v="1448"/>
    <s v="Occupied"/>
    <s v="Tenant_145"/>
    <n v="22443.91"/>
    <n v="269326.92"/>
    <n v="269326.92"/>
    <s v=""/>
    <d v="2022-10-20T00:00:00"/>
    <d v="2026-05-23T00:00:00"/>
    <n v="1618.67"/>
    <n v="1179.8599999999999"/>
    <s v="OK"/>
    <s v=""/>
    <s v=""/>
    <n v="185.9992541436464"/>
    <n v="2798.5299999999997"/>
    <n v="268147.06"/>
    <n v="3"/>
    <s v="0-3 Monaten"/>
    <n v="0"/>
    <n v="1448"/>
  </r>
  <r>
    <x v="1"/>
    <s v="U0407"/>
    <s v="Production"/>
    <n v="405"/>
    <s v="Occupied"/>
    <s v="Tenant_100"/>
    <n v="4865.34"/>
    <n v="58384.08"/>
    <n v="58384.08"/>
    <s v=""/>
    <d v="2023-10-02T00:00:00"/>
    <d v="2026-01-25T00:00:00"/>
    <n v="530.16"/>
    <n v="662.08"/>
    <s v="OK"/>
    <s v=""/>
    <s v=""/>
    <n v="144.15822222222224"/>
    <n v="1192.24"/>
    <n v="57722"/>
    <n v="0"/>
    <s v="0-3 Monaten"/>
    <n v="0"/>
    <n v="405"/>
  </r>
  <r>
    <x v="3"/>
    <s v="U0408"/>
    <s v="Production"/>
    <n v="694"/>
    <s v="Occupied"/>
    <s v="Tenant_7"/>
    <n v="8996.6299999999992"/>
    <n v="107959.56"/>
    <n v="107959.56"/>
    <s v=""/>
    <d v="2022-08-22T00:00:00"/>
    <d v="2025-05-23T00:00:00"/>
    <n v="903.14"/>
    <n v="1453.27"/>
    <s v="OK"/>
    <s v=""/>
    <s v=""/>
    <n v="155.56132564841499"/>
    <n v="2356.41"/>
    <n v="106506.29"/>
    <n v="0"/>
    <s v="0-3 Monaten"/>
    <n v="0"/>
    <n v="694"/>
  </r>
  <r>
    <x v="7"/>
    <s v="U0409"/>
    <s v="Office"/>
    <n v="702"/>
    <s v="Vacant"/>
    <m/>
    <n v="0"/>
    <n v="0"/>
    <n v="0"/>
    <s v=""/>
    <m/>
    <m/>
    <n v="2049.29"/>
    <n v="1699.71"/>
    <s v="OK"/>
    <s v=""/>
    <s v="Rent&lt;=0"/>
    <s v=""/>
    <n v="3749"/>
    <s v=""/>
    <n v="0"/>
    <s v=""/>
    <n v="702"/>
    <n v="0"/>
  </r>
  <r>
    <x v="5"/>
    <s v="U0410"/>
    <s v="Production"/>
    <n v="537"/>
    <s v="Occupied"/>
    <s v="Tenant_58"/>
    <n v="4225.95"/>
    <n v="50711.4"/>
    <n v="50711.399999999994"/>
    <s v=""/>
    <d v="2022-12-16T00:00:00"/>
    <d v="2026-12-13T00:00:00"/>
    <n v="1122.8699999999999"/>
    <n v="1251.68"/>
    <s v="OK"/>
    <s v=""/>
    <s v=""/>
    <n v="94.434636871508388"/>
    <n v="2374.5500000000002"/>
    <n v="49459.72"/>
    <n v="9"/>
    <s v="6-12 Monaten"/>
    <n v="0"/>
    <n v="537"/>
  </r>
  <r>
    <x v="0"/>
    <s v="U0411"/>
    <s v="Warehouse"/>
    <n v="786"/>
    <s v="Occupied"/>
    <s v="Tenant_133"/>
    <n v="10307.719999999999"/>
    <n v="123692.64"/>
    <n v="123692.63999999998"/>
    <s v=""/>
    <d v="2021-06-27T00:00:00"/>
    <d v="2024-03-23T00:00:00"/>
    <n v="945.49"/>
    <n v="730.73"/>
    <s v="OK"/>
    <s v=""/>
    <s v=""/>
    <n v="157.3697709923664"/>
    <n v="1676.22"/>
    <n v="122961.91"/>
    <n v="0"/>
    <s v="0-3 Monaten"/>
    <n v="0"/>
    <n v="786"/>
  </r>
  <r>
    <x v="7"/>
    <s v="U0412"/>
    <s v="Production"/>
    <n v="1005"/>
    <s v="Occupied"/>
    <s v="Tenant_144"/>
    <n v="16317.2"/>
    <n v="195806.4"/>
    <n v="195806.40000000002"/>
    <s v=""/>
    <d v="2022-07-02T00:00:00"/>
    <d v="2027-03-19T00:00:00"/>
    <n v="2347.85"/>
    <n v="769.89"/>
    <s v="OK"/>
    <s v=""/>
    <s v=""/>
    <n v="194.83223880597015"/>
    <n v="3117.74"/>
    <n v="195036.50999999998"/>
    <n v="12"/>
    <s v="6-12 Monaten"/>
    <n v="0"/>
    <n v="1005"/>
  </r>
  <r>
    <x v="1"/>
    <s v="U0413"/>
    <s v="Production"/>
    <n v="1428"/>
    <s v="Occupied"/>
    <s v="Tenant_47"/>
    <n v="21891.19"/>
    <n v="262694.28000000003"/>
    <n v="262694.27999999997"/>
    <s v=""/>
    <d v="2022-07-16T00:00:00"/>
    <d v="2026-08-01T00:00:00"/>
    <n v="1939.56"/>
    <n v="843.81"/>
    <s v="OK"/>
    <s v=""/>
    <s v=""/>
    <n v="183.95957983193279"/>
    <n v="2783.37"/>
    <n v="261850.47000000003"/>
    <n v="5"/>
    <s v="3-6 Monaten"/>
    <n v="0"/>
    <n v="1428"/>
  </r>
  <r>
    <x v="6"/>
    <s v="U0414"/>
    <s v="Office"/>
    <n v="575"/>
    <s v="Occupied"/>
    <s v="Tenant_200"/>
    <n v="8135.46"/>
    <n v="97625.52"/>
    <n v="97625.52"/>
    <s v=""/>
    <d v="2022-01-24T00:00:00"/>
    <d v="2026-11-06T00:00:00"/>
    <n v="719.52"/>
    <n v="525.37"/>
    <s v="OK"/>
    <s v=""/>
    <s v=""/>
    <n v="169.78351304347828"/>
    <n v="1244.8899999999999"/>
    <n v="97100.150000000009"/>
    <n v="8"/>
    <s v="6-12 Monaten"/>
    <n v="0"/>
    <n v="575"/>
  </r>
  <r>
    <x v="4"/>
    <s v="U0415"/>
    <s v="Warehouse"/>
    <n v="761"/>
    <s v="Occupied"/>
    <s v="Tenant_97"/>
    <n v="13490.54"/>
    <n v="161886.48000000001"/>
    <n v="161886.48000000001"/>
    <s v=""/>
    <d v="2022-01-09T00:00:00"/>
    <d v="2024-08-29T00:00:00"/>
    <n v="1816.2"/>
    <n v="1664.72"/>
    <s v="OK"/>
    <s v=""/>
    <s v=""/>
    <n v="212.7286202365309"/>
    <n v="3480.92"/>
    <n v="160221.76000000001"/>
    <n v="0"/>
    <s v="0-3 Monaten"/>
    <n v="0"/>
    <n v="761"/>
  </r>
  <r>
    <x v="0"/>
    <s v="U0416"/>
    <s v="Storage"/>
    <n v="1142"/>
    <s v="Occupied"/>
    <s v="Tenant_133"/>
    <n v="12479.16"/>
    <n v="149749.92000000001"/>
    <n v="149749.91999999998"/>
    <s v=""/>
    <d v="2022-10-12T00:00:00"/>
    <d v="2027-10-06T00:00:00"/>
    <n v="1522.32"/>
    <n v="2619.02"/>
    <s v="OK"/>
    <s v=""/>
    <s v=""/>
    <n v="131.12952714535902"/>
    <n v="4141.34"/>
    <n v="147130.90000000002"/>
    <n v="19"/>
    <s v="12 M+"/>
    <n v="0"/>
    <n v="1142"/>
  </r>
  <r>
    <x v="3"/>
    <s v="U0417"/>
    <s v="Storage"/>
    <n v="499"/>
    <s v="Occupied"/>
    <s v="Tenant_187"/>
    <n v="3728.12"/>
    <n v="44737.440000000002"/>
    <n v="44737.440000000002"/>
    <s v=""/>
    <d v="2021-07-23T00:00:00"/>
    <d v="2026-06-12T00:00:00"/>
    <n v="1136.1199999999999"/>
    <n v="636.99"/>
    <s v="OK"/>
    <s v=""/>
    <s v=""/>
    <n v="89.65418837675351"/>
    <n v="1773.11"/>
    <n v="44100.450000000004"/>
    <n v="3"/>
    <s v="0-3 Monaten"/>
    <n v="0"/>
    <n v="499"/>
  </r>
  <r>
    <x v="5"/>
    <s v="U0418"/>
    <s v="Production"/>
    <n v="961"/>
    <s v="Occupied"/>
    <s v="Tenant_69"/>
    <n v="6738.65"/>
    <n v="80863.8"/>
    <n v="80863.799999999988"/>
    <s v=""/>
    <d v="2023-04-04T00:00:00"/>
    <d v="2027-07-03T00:00:00"/>
    <n v="2801.66"/>
    <n v="1999.52"/>
    <s v="OK"/>
    <s v=""/>
    <s v=""/>
    <n v="84.145473465140483"/>
    <n v="4801.18"/>
    <n v="78864.28"/>
    <n v="16"/>
    <s v="12 M+"/>
    <n v="0"/>
    <n v="961"/>
  </r>
  <r>
    <x v="5"/>
    <s v="U0419"/>
    <s v="Storage"/>
    <n v="1206"/>
    <s v="Occupied"/>
    <s v="Tenant_1"/>
    <n v="7960.18"/>
    <n v="95522.16"/>
    <n v="95522.16"/>
    <s v=""/>
    <d v="2021-07-26T00:00:00"/>
    <d v="2024-05-16T00:00:00"/>
    <n v="1445.77"/>
    <n v="1462.86"/>
    <s v="OK"/>
    <s v=""/>
    <s v=""/>
    <n v="79.205771144278614"/>
    <n v="2908.63"/>
    <n v="94059.3"/>
    <n v="0"/>
    <s v="0-3 Monaten"/>
    <n v="0"/>
    <n v="1206"/>
  </r>
  <r>
    <x v="3"/>
    <s v="U0420"/>
    <s v="Production"/>
    <n v="85"/>
    <s v="Occupied"/>
    <s v="Tenant_185"/>
    <n v="916.71"/>
    <n v="11000.52"/>
    <n v="11000.52"/>
    <s v=""/>
    <d v="2022-01-04T00:00:00"/>
    <d v="2024-12-21T00:00:00"/>
    <n v="244.43"/>
    <n v="189.9"/>
    <s v="OK"/>
    <s v=""/>
    <s v=""/>
    <n v="129.41788235294118"/>
    <n v="434.33000000000004"/>
    <n v="10810.62"/>
    <n v="0"/>
    <s v="0-3 Monaten"/>
    <n v="0"/>
    <n v="85"/>
  </r>
  <r>
    <x v="2"/>
    <s v="U0421"/>
    <s v="Production"/>
    <n v="36"/>
    <s v="Vacant"/>
    <m/>
    <n v="0"/>
    <n v="0"/>
    <n v="0"/>
    <s v=""/>
    <m/>
    <m/>
    <n v="45.25"/>
    <n v="27.92"/>
    <s v="OK"/>
    <s v=""/>
    <s v="Rent&lt;=0"/>
    <s v=""/>
    <n v="73.17"/>
    <s v=""/>
    <n v="0"/>
    <s v=""/>
    <n v="36"/>
    <n v="0"/>
  </r>
  <r>
    <x v="1"/>
    <s v="U0422"/>
    <s v="Office"/>
    <n v="780"/>
    <s v="Occupied"/>
    <s v="Tenant_23"/>
    <n v="12094.08"/>
    <n v="145128.95999999999"/>
    <n v="145128.95999999999"/>
    <s v=""/>
    <d v="2021-09-28T00:00:00"/>
    <d v="2024-04-16T00:00:00"/>
    <n v="1410.31"/>
    <n v="475.11"/>
    <s v="OK"/>
    <s v=""/>
    <s v=""/>
    <n v="186.06276923076922"/>
    <n v="1885.42"/>
    <n v="144653.85"/>
    <n v="0"/>
    <s v="0-3 Monaten"/>
    <n v="0"/>
    <n v="780"/>
  </r>
  <r>
    <x v="0"/>
    <s v="U0423"/>
    <s v="Storage"/>
    <n v="1374"/>
    <s v="Occupied"/>
    <s v="Tenant_125"/>
    <n v="16819.900000000001"/>
    <n v="201838.8"/>
    <n v="201838.80000000002"/>
    <s v=""/>
    <d v="2023-09-23T00:00:00"/>
    <d v="2026-07-26T00:00:00"/>
    <n v="2183.4299999999998"/>
    <n v="1227.79"/>
    <s v="OK"/>
    <s v=""/>
    <s v=""/>
    <n v="146.89868995633188"/>
    <n v="3411.22"/>
    <n v="200611.00999999998"/>
    <n v="5"/>
    <s v="3-6 Monaten"/>
    <n v="0"/>
    <n v="1374"/>
  </r>
  <r>
    <x v="0"/>
    <s v="U0424"/>
    <s v="Storage"/>
    <n v="721"/>
    <s v="Occupied"/>
    <s v="Tenant_165"/>
    <n v="8126.64"/>
    <n v="97519.679999999993"/>
    <n v="97519.680000000008"/>
    <s v=""/>
    <d v="2023-01-17T00:00:00"/>
    <d v="2027-02-27T00:00:00"/>
    <n v="1106.69"/>
    <n v="1077.31"/>
    <s v="OK"/>
    <s v=""/>
    <s v=""/>
    <n v="135.2561442441054"/>
    <n v="2184"/>
    <n v="96442.37"/>
    <n v="12"/>
    <s v="6-12 Monaten"/>
    <n v="0"/>
    <n v="721"/>
  </r>
  <r>
    <x v="5"/>
    <s v="U0425"/>
    <s v="Storage"/>
    <n v="725"/>
    <s v="Vacant"/>
    <m/>
    <n v="0"/>
    <n v="0"/>
    <n v="0"/>
    <s v=""/>
    <m/>
    <m/>
    <n v="1732.66"/>
    <n v="965.08"/>
    <s v="OK"/>
    <s v=""/>
    <s v="Rent&lt;=0"/>
    <s v=""/>
    <n v="2697.7400000000002"/>
    <s v=""/>
    <n v="0"/>
    <s v=""/>
    <n v="725"/>
    <n v="0"/>
  </r>
  <r>
    <x v="3"/>
    <s v="U0426"/>
    <s v="Storage"/>
    <n v="246"/>
    <s v="Vacant"/>
    <m/>
    <n v="0"/>
    <n v="0"/>
    <n v="0"/>
    <s v=""/>
    <m/>
    <m/>
    <n v="565.33000000000004"/>
    <n v="603.05999999999995"/>
    <s v="OK"/>
    <s v=""/>
    <s v="Rent&lt;=0"/>
    <s v=""/>
    <n v="1168.3899999999999"/>
    <s v=""/>
    <n v="0"/>
    <s v=""/>
    <n v="246"/>
    <n v="0"/>
  </r>
  <r>
    <x v="4"/>
    <s v="U0427"/>
    <s v="Production"/>
    <n v="511"/>
    <s v="Occupied"/>
    <s v="Tenant_120"/>
    <n v="4230.09"/>
    <n v="50761.08"/>
    <n v="50761.08"/>
    <s v=""/>
    <d v="2023-09-24T00:00:00"/>
    <d v="2025-06-14T00:00:00"/>
    <n v="1213.22"/>
    <n v="666.8"/>
    <s v="OK"/>
    <s v=""/>
    <s v=""/>
    <n v="99.336751467710371"/>
    <n v="1880.02"/>
    <n v="50094.28"/>
    <n v="0"/>
    <s v="0-3 Monaten"/>
    <n v="0"/>
    <n v="511"/>
  </r>
  <r>
    <x v="5"/>
    <s v="U0428"/>
    <s v="Storage"/>
    <n v="655"/>
    <s v="Occupied"/>
    <s v="Tenant_67"/>
    <n v="10816.61"/>
    <n v="129799.32"/>
    <n v="129799.32"/>
    <s v=""/>
    <d v="2022-11-27T00:00:00"/>
    <d v="2027-11-07T00:00:00"/>
    <n v="1209.26"/>
    <n v="1342.05"/>
    <s v="OK"/>
    <s v=""/>
    <s v=""/>
    <n v="198.1669007633588"/>
    <n v="2551.31"/>
    <n v="128457.27"/>
    <n v="20"/>
    <s v="12 M+"/>
    <n v="0"/>
    <n v="655"/>
  </r>
  <r>
    <x v="7"/>
    <s v="U0429"/>
    <s v="Warehouse"/>
    <n v="823"/>
    <s v="Occupied"/>
    <s v="Tenant_125"/>
    <n v="8262.1200000000008"/>
    <n v="99145.44"/>
    <n v="99145.44"/>
    <s v=""/>
    <d v="2021-07-25T00:00:00"/>
    <d v="2024-01-28T00:00:00"/>
    <n v="1813.76"/>
    <n v="866.01"/>
    <s v="OK"/>
    <s v=""/>
    <s v=""/>
    <n v="120.46833535844472"/>
    <n v="2679.77"/>
    <n v="98279.430000000008"/>
    <n v="0"/>
    <s v="0-3 Monaten"/>
    <n v="0"/>
    <n v="823"/>
  </r>
  <r>
    <x v="6"/>
    <s v="U0430"/>
    <s v="Production"/>
    <n v="1137"/>
    <s v="Occupied"/>
    <s v="Tenant_111"/>
    <n v="9103.8799999999992"/>
    <n v="109246.56"/>
    <n v="109246.56"/>
    <s v=""/>
    <d v="2022-08-20T00:00:00"/>
    <d v="2025-09-06T00:00:00"/>
    <n v="2419.86"/>
    <n v="2680.9"/>
    <s v="OK"/>
    <s v=""/>
    <s v=""/>
    <n v="96.083166226912923"/>
    <n v="5100.76"/>
    <n v="106565.66"/>
    <n v="0"/>
    <s v="0-3 Monaten"/>
    <n v="0"/>
    <n v="1137"/>
  </r>
  <r>
    <x v="1"/>
    <s v="U0431"/>
    <s v="Storage"/>
    <n v="229"/>
    <s v="Occupied"/>
    <s v="Tenant_179"/>
    <n v="3526.37"/>
    <n v="42316.44"/>
    <n v="42316.44"/>
    <s v=""/>
    <d v="2022-02-14T00:00:00"/>
    <d v="2023-07-09T00:00:00"/>
    <n v="299.04000000000002"/>
    <n v="210.71"/>
    <s v="OK"/>
    <s v=""/>
    <s v=""/>
    <n v="184.78794759825328"/>
    <n v="509.75"/>
    <n v="42105.73"/>
    <n v="0"/>
    <s v="0-3 Monaten"/>
    <n v="0"/>
    <n v="229"/>
  </r>
  <r>
    <x v="6"/>
    <s v="U0432"/>
    <s v="Production"/>
    <n v="510"/>
    <s v="Occupied"/>
    <s v="Tenant_26"/>
    <n v="5292.64"/>
    <n v="63511.68"/>
    <n v="63511.680000000008"/>
    <s v=""/>
    <d v="2021-06-13T00:00:00"/>
    <d v="2024-04-06T00:00:00"/>
    <n v="1488.48"/>
    <n v="505.41"/>
    <s v="OK"/>
    <s v=""/>
    <s v=""/>
    <n v="124.53270588235294"/>
    <n v="1993.89"/>
    <n v="63006.27"/>
    <n v="0"/>
    <s v="0-3 Monaten"/>
    <n v="0"/>
    <n v="510"/>
  </r>
  <r>
    <x v="2"/>
    <s v="U0433"/>
    <s v="Warehouse"/>
    <n v="797"/>
    <s v="Occupied"/>
    <s v="Tenant_32"/>
    <n v="14227.12"/>
    <n v="170725.44"/>
    <n v="170725.44"/>
    <s v=""/>
    <d v="2021-07-03T00:00:00"/>
    <d v="2025-02-15T00:00:00"/>
    <n v="2285.38"/>
    <n v="1202.79"/>
    <s v="OK"/>
    <s v=""/>
    <s v=""/>
    <n v="214.21008782936011"/>
    <n v="3488.17"/>
    <n v="169522.65"/>
    <n v="0"/>
    <s v="0-3 Monaten"/>
    <n v="0"/>
    <n v="797"/>
  </r>
  <r>
    <x v="2"/>
    <s v="U0434"/>
    <s v="Production"/>
    <n v="960"/>
    <s v="Occupied"/>
    <s v="Tenant_18"/>
    <n v="6799.41"/>
    <n v="81592.92"/>
    <n v="81592.92"/>
    <s v=""/>
    <d v="2021-05-22T00:00:00"/>
    <d v="2025-09-23T00:00:00"/>
    <n v="2033.5"/>
    <n v="1996.25"/>
    <s v="OK"/>
    <s v=""/>
    <s v=""/>
    <n v="84.992625000000004"/>
    <n v="4029.75"/>
    <n v="79596.67"/>
    <n v="0"/>
    <s v="0-3 Monaten"/>
    <n v="0"/>
    <n v="960"/>
  </r>
  <r>
    <x v="2"/>
    <s v="U0435"/>
    <s v="Production"/>
    <n v="976"/>
    <s v="Vacant"/>
    <m/>
    <n v="0"/>
    <n v="0"/>
    <n v="0"/>
    <s v=""/>
    <m/>
    <m/>
    <n v="1094.49"/>
    <n v="494.1"/>
    <s v="OK"/>
    <s v=""/>
    <s v="Rent&lt;=0"/>
    <s v=""/>
    <n v="1588.5900000000001"/>
    <s v=""/>
    <n v="0"/>
    <s v=""/>
    <n v="976"/>
    <n v="0"/>
  </r>
  <r>
    <x v="2"/>
    <s v="U0436"/>
    <s v="Storage"/>
    <n v="1308"/>
    <s v="Vacant"/>
    <m/>
    <n v="0"/>
    <n v="0"/>
    <n v="0"/>
    <s v=""/>
    <m/>
    <m/>
    <n v="2116.4"/>
    <n v="2022.23"/>
    <s v="OK"/>
    <s v=""/>
    <s v="Rent&lt;=0"/>
    <s v=""/>
    <n v="4138.63"/>
    <s v=""/>
    <n v="0"/>
    <s v=""/>
    <n v="1308"/>
    <n v="0"/>
  </r>
  <r>
    <x v="2"/>
    <s v="U0437"/>
    <s v="Production"/>
    <n v="1069"/>
    <s v="Vacant"/>
    <m/>
    <n v="0"/>
    <n v="0"/>
    <n v="0"/>
    <s v=""/>
    <m/>
    <m/>
    <n v="1820.97"/>
    <n v="1542.3"/>
    <s v="OK"/>
    <s v=""/>
    <s v="Rent&lt;=0"/>
    <s v=""/>
    <n v="3363.27"/>
    <s v=""/>
    <n v="0"/>
    <s v=""/>
    <n v="1069"/>
    <n v="0"/>
  </r>
  <r>
    <x v="3"/>
    <s v="U0438"/>
    <s v="Production"/>
    <n v="721"/>
    <s v="Occupied"/>
    <s v="Tenant_167"/>
    <n v="7974.7"/>
    <n v="95696.4"/>
    <n v="95696.4"/>
    <s v=""/>
    <d v="2022-06-08T00:00:00"/>
    <d v="2025-05-30T00:00:00"/>
    <n v="1213.5899999999999"/>
    <n v="531.24"/>
    <s v="OK"/>
    <s v=""/>
    <s v=""/>
    <n v="132.72732316227462"/>
    <n v="1744.83"/>
    <n v="95165.159999999989"/>
    <n v="0"/>
    <s v="0-3 Monaten"/>
    <n v="0"/>
    <n v="721"/>
  </r>
  <r>
    <x v="6"/>
    <s v="U0439"/>
    <s v="Warehouse"/>
    <n v="253"/>
    <s v="Occupied"/>
    <s v="Tenant_141"/>
    <n v="2442"/>
    <n v="29304"/>
    <n v="29304"/>
    <s v=""/>
    <d v="2021-09-14T00:00:00"/>
    <d v="2022-07-04T00:00:00"/>
    <n v="676.61"/>
    <n v="162.53"/>
    <s v="OK"/>
    <s v=""/>
    <s v=""/>
    <n v="115.82608695652173"/>
    <n v="839.14"/>
    <n v="29141.47"/>
    <n v="0"/>
    <s v="0-3 Monaten"/>
    <n v="0"/>
    <n v="253"/>
  </r>
  <r>
    <x v="7"/>
    <s v="U0440"/>
    <s v="Storage"/>
    <n v="75"/>
    <s v="Occupied"/>
    <s v="Tenant_176"/>
    <n v="798.46"/>
    <n v="9581.52"/>
    <n v="9581.52"/>
    <s v=""/>
    <d v="2022-07-19T00:00:00"/>
    <d v="2025-06-03T00:00:00"/>
    <n v="79.010000000000005"/>
    <n v="95.71"/>
    <s v="OK"/>
    <s v=""/>
    <s v=""/>
    <n v="127.75360000000001"/>
    <n v="174.72"/>
    <n v="9485.8100000000013"/>
    <n v="0"/>
    <s v="0-3 Monaten"/>
    <n v="0"/>
    <n v="75"/>
  </r>
  <r>
    <x v="7"/>
    <s v="U0441"/>
    <s v="Production"/>
    <n v="1037"/>
    <s v="Occupied"/>
    <s v="Tenant_79"/>
    <n v="17823.32"/>
    <n v="213879.84"/>
    <n v="213879.84"/>
    <s v=""/>
    <d v="2023-02-16T00:00:00"/>
    <d v="2025-04-16T00:00:00"/>
    <n v="1084.42"/>
    <n v="1108.29"/>
    <s v="OK"/>
    <s v=""/>
    <s v=""/>
    <n v="206.24864030858245"/>
    <n v="2192.71"/>
    <n v="212771.55"/>
    <n v="0"/>
    <s v="0-3 Monaten"/>
    <n v="0"/>
    <n v="1037"/>
  </r>
  <r>
    <x v="7"/>
    <s v="U0442"/>
    <s v="Storage"/>
    <n v="728"/>
    <s v="Occupied"/>
    <s v="Tenant_45"/>
    <n v="5453.56"/>
    <n v="65442.720000000001"/>
    <n v="65442.720000000001"/>
    <s v=""/>
    <d v="2023-02-20T00:00:00"/>
    <d v="2027-11-04T00:00:00"/>
    <n v="2122.9499999999998"/>
    <n v="1792.54"/>
    <s v="OK"/>
    <s v=""/>
    <s v=""/>
    <n v="89.893846153846155"/>
    <n v="3915.49"/>
    <n v="63650.18"/>
    <n v="20"/>
    <s v="12 M+"/>
    <n v="0"/>
    <n v="728"/>
  </r>
  <r>
    <x v="4"/>
    <s v="U0443"/>
    <s v="Warehouse"/>
    <n v="309"/>
    <s v="Vacant"/>
    <m/>
    <n v="0"/>
    <n v="0"/>
    <n v="0"/>
    <s v=""/>
    <m/>
    <m/>
    <n v="668.25"/>
    <n v="500.43"/>
    <s v="OK"/>
    <s v=""/>
    <s v="Rent&lt;=0"/>
    <s v=""/>
    <n v="1168.68"/>
    <s v=""/>
    <n v="0"/>
    <s v=""/>
    <n v="309"/>
    <n v="0"/>
  </r>
  <r>
    <x v="0"/>
    <s v="U0444"/>
    <s v="Storage"/>
    <n v="1475"/>
    <s v="Occupied"/>
    <s v="Tenant_199"/>
    <n v="22632.19"/>
    <n v="271586.28000000003"/>
    <n v="271586.27999999997"/>
    <s v=""/>
    <d v="2023-10-05T00:00:00"/>
    <d v="2027-06-16T00:00:00"/>
    <n v="3001.53"/>
    <n v="2305.9299999999998"/>
    <s v="OK"/>
    <s v=""/>
    <s v=""/>
    <n v="184.12629152542374"/>
    <n v="5307.46"/>
    <n v="269280.35000000003"/>
    <n v="15"/>
    <s v="12 M+"/>
    <n v="0"/>
    <n v="1475"/>
  </r>
  <r>
    <x v="4"/>
    <s v="U0445"/>
    <s v="Production"/>
    <n v="355"/>
    <s v="Occupied"/>
    <s v="Tenant_43"/>
    <n v="3630.86"/>
    <n v="43570.32"/>
    <n v="43570.32"/>
    <s v=""/>
    <d v="2023-07-10T00:00:00"/>
    <d v="2025-12-02T00:00:00"/>
    <n v="574.75"/>
    <n v="309.58"/>
    <s v="OK"/>
    <s v=""/>
    <s v=""/>
    <n v="122.73329577464789"/>
    <n v="884.32999999999993"/>
    <n v="43260.74"/>
    <n v="0"/>
    <s v="0-3 Monaten"/>
    <n v="0"/>
    <n v="355"/>
  </r>
  <r>
    <x v="6"/>
    <s v="U0446"/>
    <s v="Production"/>
    <n v="1053"/>
    <s v="Occupied"/>
    <s v="Tenant_144"/>
    <n v="14959.17"/>
    <n v="179510.04"/>
    <n v="179510.04"/>
    <s v=""/>
    <d v="2023-12-16T00:00:00"/>
    <d v="2027-09-15T00:00:00"/>
    <n v="2741.85"/>
    <n v="1601.84"/>
    <s v="OK"/>
    <s v=""/>
    <s v=""/>
    <n v="170.4748717948718"/>
    <n v="4343.6899999999996"/>
    <n v="177908.2"/>
    <n v="18"/>
    <s v="12 M+"/>
    <n v="0"/>
    <n v="1053"/>
  </r>
  <r>
    <x v="2"/>
    <s v="U0447"/>
    <s v="Warehouse"/>
    <n v="137"/>
    <s v="Occupied"/>
    <s v="Tenant_127"/>
    <n v="1105.8399999999999"/>
    <n v="13270.08"/>
    <n v="13270.079999999998"/>
    <s v=""/>
    <d v="2021-04-22T00:00:00"/>
    <d v="2025-10-18T00:00:00"/>
    <n v="344.7"/>
    <n v="235.24"/>
    <s v="OK"/>
    <s v=""/>
    <s v=""/>
    <n v="96.861897810218977"/>
    <n v="579.94000000000005"/>
    <n v="13034.84"/>
    <n v="0"/>
    <s v="0-3 Monaten"/>
    <n v="0"/>
    <n v="137"/>
  </r>
  <r>
    <x v="7"/>
    <s v="U0448"/>
    <s v="Storage"/>
    <n v="823"/>
    <s v="Vacant"/>
    <m/>
    <n v="0"/>
    <n v="0"/>
    <n v="0"/>
    <s v=""/>
    <m/>
    <m/>
    <n v="1620.6"/>
    <n v="445.72"/>
    <s v="OK"/>
    <s v=""/>
    <s v="Rent&lt;=0"/>
    <s v=""/>
    <n v="2066.3199999999997"/>
    <s v=""/>
    <n v="0"/>
    <s v=""/>
    <n v="823"/>
    <n v="0"/>
  </r>
  <r>
    <x v="2"/>
    <s v="U0449"/>
    <s v="Production"/>
    <n v="601"/>
    <s v="Vacant"/>
    <m/>
    <n v="0"/>
    <n v="0"/>
    <n v="0"/>
    <s v=""/>
    <m/>
    <m/>
    <n v="911"/>
    <n v="1393.96"/>
    <s v="OK"/>
    <s v=""/>
    <s v="Rent&lt;=0"/>
    <s v=""/>
    <n v="2304.96"/>
    <s v=""/>
    <n v="0"/>
    <s v=""/>
    <n v="601"/>
    <n v="0"/>
  </r>
  <r>
    <x v="4"/>
    <s v="U0450"/>
    <s v="Warehouse"/>
    <n v="1047"/>
    <s v="Vacant"/>
    <m/>
    <n v="0"/>
    <n v="0"/>
    <n v="0"/>
    <s v=""/>
    <m/>
    <m/>
    <n v="1197.58"/>
    <n v="2187.56"/>
    <s v="OK"/>
    <s v=""/>
    <s v="Rent&lt;=0"/>
    <s v=""/>
    <n v="3385.14"/>
    <s v=""/>
    <n v="0"/>
    <s v=""/>
    <n v="1047"/>
    <n v="0"/>
  </r>
  <r>
    <x v="1"/>
    <s v="U0451"/>
    <s v="Storage"/>
    <n v="245"/>
    <s v="Occupied"/>
    <s v="Tenant_158"/>
    <n v="4094.65"/>
    <n v="49135.8"/>
    <n v="49135.8"/>
    <s v=""/>
    <d v="2022-03-05T00:00:00"/>
    <d v="2022-10-29T00:00:00"/>
    <n v="721.65"/>
    <n v="314.47000000000003"/>
    <s v="OK"/>
    <s v=""/>
    <s v=""/>
    <n v="200.55428571428573"/>
    <n v="1036.1199999999999"/>
    <n v="48821.33"/>
    <n v="0"/>
    <s v="0-3 Monaten"/>
    <n v="0"/>
    <n v="245"/>
  </r>
  <r>
    <x v="6"/>
    <s v="U0452"/>
    <s v="Office"/>
    <n v="661"/>
    <s v="Occupied"/>
    <s v="Tenant_77"/>
    <n v="5733.5"/>
    <n v="68802"/>
    <n v="68802"/>
    <s v=""/>
    <d v="2022-02-04T00:00:00"/>
    <d v="2023-10-18T00:00:00"/>
    <n v="1282.1199999999999"/>
    <n v="1624.64"/>
    <s v="OK"/>
    <s v=""/>
    <s v=""/>
    <n v="104.08774583963691"/>
    <n v="2906.76"/>
    <n v="67177.36"/>
    <n v="0"/>
    <s v="0-3 Monaten"/>
    <n v="0"/>
    <n v="661"/>
  </r>
  <r>
    <x v="7"/>
    <s v="U0453"/>
    <s v="Storage"/>
    <n v="1324"/>
    <s v="Vacant"/>
    <m/>
    <n v="0"/>
    <n v="0"/>
    <n v="0"/>
    <s v=""/>
    <m/>
    <m/>
    <n v="1391.72"/>
    <n v="1840.7"/>
    <s v="OK"/>
    <s v=""/>
    <s v="Rent&lt;=0"/>
    <s v=""/>
    <n v="3232.42"/>
    <s v=""/>
    <n v="0"/>
    <s v=""/>
    <n v="1324"/>
    <n v="0"/>
  </r>
  <r>
    <x v="3"/>
    <s v="U0454"/>
    <s v="Warehouse"/>
    <n v="138"/>
    <s v="Vacant"/>
    <m/>
    <n v="0"/>
    <n v="0"/>
    <n v="0"/>
    <s v=""/>
    <m/>
    <m/>
    <n v="299.39"/>
    <n v="327.54000000000002"/>
    <s v="OK"/>
    <s v=""/>
    <s v="Rent&lt;=0"/>
    <s v=""/>
    <n v="626.93000000000006"/>
    <s v=""/>
    <n v="0"/>
    <s v=""/>
    <n v="138"/>
    <n v="0"/>
  </r>
  <r>
    <x v="7"/>
    <s v="U0455"/>
    <s v="Office"/>
    <n v="1488"/>
    <s v="Occupied"/>
    <s v="Tenant_22"/>
    <n v="15233.5"/>
    <n v="182802"/>
    <n v="182802"/>
    <s v=""/>
    <d v="2022-10-13T00:00:00"/>
    <d v="2025-10-31T00:00:00"/>
    <n v="2363.21"/>
    <n v="3643.21"/>
    <s v="OK"/>
    <s v=""/>
    <s v=""/>
    <n v="122.8508064516129"/>
    <n v="6006.42"/>
    <n v="179158.79"/>
    <n v="0"/>
    <s v="0-3 Monaten"/>
    <n v="0"/>
    <n v="1488"/>
  </r>
  <r>
    <x v="7"/>
    <s v="U0456"/>
    <s v="Production"/>
    <n v="258"/>
    <s v="Vacant"/>
    <m/>
    <n v="0"/>
    <n v="0"/>
    <n v="0"/>
    <s v=""/>
    <m/>
    <m/>
    <n v="445.01"/>
    <n v="627.15"/>
    <s v="OK"/>
    <s v=""/>
    <s v="Rent&lt;=0"/>
    <s v=""/>
    <n v="1072.1599999999999"/>
    <s v=""/>
    <n v="0"/>
    <s v=""/>
    <n v="258"/>
    <n v="0"/>
  </r>
  <r>
    <x v="3"/>
    <s v="U0457"/>
    <s v="Warehouse"/>
    <n v="1053"/>
    <s v="Occupied"/>
    <s v="Tenant_28"/>
    <n v="15035.03"/>
    <n v="180420.36"/>
    <n v="180420.36000000002"/>
    <s v=""/>
    <d v="2022-09-13T00:00:00"/>
    <d v="2026-02-27T00:00:00"/>
    <n v="2785.38"/>
    <n v="540.88"/>
    <s v="OK"/>
    <s v=""/>
    <s v=""/>
    <n v="171.33937321937321"/>
    <n v="3326.26"/>
    <n v="179879.47999999998"/>
    <n v="0"/>
    <s v="0-3 Monaten"/>
    <n v="0"/>
    <n v="1053"/>
  </r>
  <r>
    <x v="5"/>
    <s v="U0458"/>
    <s v="Warehouse"/>
    <n v="1416"/>
    <s v="Occupied"/>
    <s v="Tenant_121"/>
    <n v="14922.56"/>
    <n v="179070.72"/>
    <n v="179070.72"/>
    <s v=""/>
    <d v="2023-08-17T00:00:00"/>
    <d v="2027-04-14T00:00:00"/>
    <n v="2506.4"/>
    <n v="1418.52"/>
    <s v="OK"/>
    <s v=""/>
    <s v=""/>
    <n v="126.46237288135593"/>
    <n v="3924.92"/>
    <n v="177652.2"/>
    <n v="13"/>
    <s v="12 M+"/>
    <n v="0"/>
    <n v="1416"/>
  </r>
  <r>
    <x v="4"/>
    <s v="U0459"/>
    <s v="Production"/>
    <n v="425"/>
    <s v="Vacant"/>
    <m/>
    <n v="0"/>
    <n v="0"/>
    <n v="0"/>
    <s v=""/>
    <m/>
    <m/>
    <n v="851.61"/>
    <n v="447.14"/>
    <s v="OK"/>
    <s v=""/>
    <s v="Rent&lt;=0"/>
    <s v=""/>
    <n v="1298.75"/>
    <s v=""/>
    <n v="0"/>
    <s v=""/>
    <n v="425"/>
    <n v="0"/>
  </r>
  <r>
    <x v="7"/>
    <s v="U0460"/>
    <s v="Production"/>
    <n v="1347"/>
    <s v="Vacant"/>
    <m/>
    <n v="0"/>
    <n v="0"/>
    <n v="0"/>
    <s v=""/>
    <m/>
    <m/>
    <n v="1456.09"/>
    <n v="2333.91"/>
    <s v="OK"/>
    <s v=""/>
    <s v="Rent&lt;=0"/>
    <s v=""/>
    <n v="3790"/>
    <s v=""/>
    <n v="0"/>
    <s v=""/>
    <n v="1347"/>
    <n v="0"/>
  </r>
  <r>
    <x v="7"/>
    <s v="U0461"/>
    <s v="Production"/>
    <n v="460"/>
    <s v="Occupied"/>
    <s v="Tenant_91"/>
    <n v="5589.31"/>
    <n v="67071.72"/>
    <n v="67071.72"/>
    <s v=""/>
    <d v="2022-06-26T00:00:00"/>
    <d v="2027-06-14T00:00:00"/>
    <n v="793.42"/>
    <n v="626.48"/>
    <s v="OK"/>
    <s v=""/>
    <s v=""/>
    <n v="145.80808695652175"/>
    <n v="1419.9"/>
    <n v="66445.240000000005"/>
    <n v="15"/>
    <s v="12 M+"/>
    <n v="0"/>
    <n v="460"/>
  </r>
  <r>
    <x v="3"/>
    <s v="U0462"/>
    <s v="Warehouse"/>
    <n v="1179"/>
    <s v="Occupied"/>
    <s v="Tenant_28"/>
    <n v="11773.97"/>
    <n v="141287.64000000001"/>
    <n v="141287.63999999998"/>
    <s v=""/>
    <d v="2021-11-30T00:00:00"/>
    <d v="2026-01-06T00:00:00"/>
    <n v="3380.37"/>
    <n v="788.56"/>
    <s v="OK"/>
    <s v=""/>
    <s v=""/>
    <n v="119.83684478371502"/>
    <n v="4168.93"/>
    <n v="140499.08000000002"/>
    <n v="0"/>
    <s v="0-3 Monaten"/>
    <n v="0"/>
    <n v="1179"/>
  </r>
  <r>
    <x v="6"/>
    <s v="U0463"/>
    <s v="Warehouse"/>
    <n v="46"/>
    <s v="Occupied"/>
    <s v="Tenant_42"/>
    <n v="293.83999999999997"/>
    <n v="3526.08"/>
    <n v="3526.08"/>
    <s v=""/>
    <d v="2021-07-19T00:00:00"/>
    <d v="2022-11-24T00:00:00"/>
    <n v="61.13"/>
    <n v="46.13"/>
    <s v="OK"/>
    <s v=""/>
    <s v=""/>
    <n v="76.653913043478255"/>
    <n v="107.26"/>
    <n v="3479.95"/>
    <n v="0"/>
    <s v="0-3 Monaten"/>
    <n v="0"/>
    <n v="46"/>
  </r>
  <r>
    <x v="0"/>
    <s v="U0464"/>
    <s v="Warehouse"/>
    <n v="705"/>
    <s v="Occupied"/>
    <s v="Tenant_188"/>
    <n v="9229.11"/>
    <n v="110749.32"/>
    <n v="110749.32"/>
    <s v=""/>
    <d v="2023-02-20T00:00:00"/>
    <d v="2028-02-12T00:00:00"/>
    <n v="1698.09"/>
    <n v="505.19"/>
    <s v="OK"/>
    <s v=""/>
    <s v=""/>
    <n v="157.0912340425532"/>
    <n v="2203.2799999999997"/>
    <n v="110244.13"/>
    <n v="23"/>
    <s v="12 M+"/>
    <n v="0"/>
    <n v="705"/>
  </r>
  <r>
    <x v="0"/>
    <s v="U0465"/>
    <s v="Storage"/>
    <n v="1239"/>
    <s v="Occupied"/>
    <s v="Tenant_175"/>
    <n v="11343.87"/>
    <n v="136126.44"/>
    <n v="136126.44"/>
    <s v=""/>
    <d v="2023-02-02T00:00:00"/>
    <d v="2027-06-02T00:00:00"/>
    <n v="3297.84"/>
    <n v="2564.13"/>
    <s v="OK"/>
    <s v=""/>
    <s v=""/>
    <n v="109.86799031476998"/>
    <n v="5861.97"/>
    <n v="133562.31"/>
    <n v="15"/>
    <s v="12 M+"/>
    <n v="0"/>
    <n v="1239"/>
  </r>
  <r>
    <x v="1"/>
    <s v="U0466"/>
    <s v="Storage"/>
    <n v="330"/>
    <s v="Occupied"/>
    <s v="Tenant_100"/>
    <n v="5311.71"/>
    <n v="63740.52"/>
    <n v="63740.520000000004"/>
    <s v=""/>
    <d v="2023-01-22T00:00:00"/>
    <d v="2026-10-11T00:00:00"/>
    <n v="698.24"/>
    <n v="413.22"/>
    <s v="OK"/>
    <s v=""/>
    <s v=""/>
    <n v="193.15309090909091"/>
    <n v="1111.46"/>
    <n v="63327.299999999996"/>
    <n v="7"/>
    <s v="6-12 Monaten"/>
    <n v="0"/>
    <n v="330"/>
  </r>
  <r>
    <x v="0"/>
    <s v="U0467"/>
    <s v="Production"/>
    <n v="931"/>
    <s v="Occupied"/>
    <s v="Tenant_37"/>
    <n v="11865.18"/>
    <n v="142382.16"/>
    <n v="142382.16"/>
    <s v=""/>
    <d v="2023-02-16T00:00:00"/>
    <d v="2027-01-20T00:00:00"/>
    <n v="1047.76"/>
    <n v="1883.2"/>
    <s v="OK"/>
    <s v=""/>
    <s v=""/>
    <n v="152.93465091299677"/>
    <n v="2930.96"/>
    <n v="140498.96"/>
    <n v="11"/>
    <s v="6-12 Monaten"/>
    <n v="0"/>
    <n v="931"/>
  </r>
  <r>
    <x v="2"/>
    <s v="U0468"/>
    <s v="Office"/>
    <n v="905"/>
    <s v="Occupied"/>
    <s v="Tenant_154"/>
    <n v="11050.86"/>
    <n v="132610.32"/>
    <n v="132610.32"/>
    <s v=""/>
    <d v="2023-12-22T00:00:00"/>
    <d v="2024-10-29T00:00:00"/>
    <n v="1289.67"/>
    <n v="1832.28"/>
    <s v="OK"/>
    <s v=""/>
    <s v=""/>
    <n v="146.53074033149173"/>
    <n v="3121.95"/>
    <n v="130778.04000000001"/>
    <n v="0"/>
    <s v="0-3 Monaten"/>
    <n v="0"/>
    <n v="905"/>
  </r>
  <r>
    <x v="7"/>
    <s v="U0469"/>
    <s v="Office"/>
    <n v="773"/>
    <s v="Occupied"/>
    <s v="Tenant_142"/>
    <n v="6038.58"/>
    <n v="72462.960000000006"/>
    <n v="72462.959999999992"/>
    <s v=""/>
    <d v="2022-03-24T00:00:00"/>
    <d v="2025-06-01T00:00:00"/>
    <n v="2175.7600000000002"/>
    <n v="1644.01"/>
    <s v="OK"/>
    <s v=""/>
    <s v=""/>
    <n v="93.742509702457966"/>
    <n v="3819.7700000000004"/>
    <n v="70818.950000000012"/>
    <n v="0"/>
    <s v="0-3 Monaten"/>
    <n v="0"/>
    <n v="773"/>
  </r>
  <r>
    <x v="1"/>
    <s v="U0470"/>
    <s v="Storage"/>
    <n v="949"/>
    <s v="Occupied"/>
    <s v="Tenant_173"/>
    <n v="8142.02"/>
    <n v="97704.24"/>
    <n v="97704.24"/>
    <s v=""/>
    <d v="2023-02-13T00:00:00"/>
    <d v="2024-10-03T00:00:00"/>
    <n v="2818.74"/>
    <n v="1971.93"/>
    <s v="OK"/>
    <s v=""/>
    <s v=""/>
    <n v="102.95494204425712"/>
    <n v="4790.67"/>
    <n v="95732.310000000012"/>
    <n v="0"/>
    <s v="0-3 Monaten"/>
    <n v="0"/>
    <n v="949"/>
  </r>
  <r>
    <x v="4"/>
    <s v="U0471"/>
    <s v="Storage"/>
    <n v="172"/>
    <s v="Occupied"/>
    <s v="Tenant_135"/>
    <n v="2031.12"/>
    <n v="24373.439999999999"/>
    <n v="24373.439999999999"/>
    <s v=""/>
    <d v="2023-04-17T00:00:00"/>
    <d v="2027-12-05T00:00:00"/>
    <n v="375.02"/>
    <n v="146.05000000000001"/>
    <s v="OK"/>
    <s v=""/>
    <s v=""/>
    <n v="141.7060465116279"/>
    <n v="521.06999999999994"/>
    <n v="24227.39"/>
    <n v="21"/>
    <s v="12 M+"/>
    <n v="0"/>
    <n v="172"/>
  </r>
  <r>
    <x v="1"/>
    <s v="U0472"/>
    <s v="Production"/>
    <n v="297"/>
    <s v="Occupied"/>
    <s v="Tenant_123"/>
    <n v="4088.3"/>
    <n v="49059.6"/>
    <n v="49059.600000000006"/>
    <s v=""/>
    <d v="2023-11-04T00:00:00"/>
    <d v="2027-07-18T00:00:00"/>
    <n v="642.5"/>
    <n v="149.47"/>
    <s v="OK"/>
    <s v=""/>
    <s v=""/>
    <n v="165.18383838383838"/>
    <n v="791.97"/>
    <n v="48910.13"/>
    <n v="16"/>
    <s v="12 M+"/>
    <n v="0"/>
    <n v="297"/>
  </r>
  <r>
    <x v="5"/>
    <s v="U0473"/>
    <s v="Production"/>
    <n v="497"/>
    <s v="Occupied"/>
    <s v="Tenant_45"/>
    <n v="3632.07"/>
    <n v="43584.84"/>
    <n v="43584.840000000004"/>
    <s v=""/>
    <d v="2021-06-14T00:00:00"/>
    <d v="2023-06-25T00:00:00"/>
    <n v="1488.95"/>
    <n v="1011.57"/>
    <s v="OK"/>
    <s v=""/>
    <s v=""/>
    <n v="87.695855130784707"/>
    <n v="2500.52"/>
    <n v="42573.27"/>
    <n v="0"/>
    <s v="0-3 Monaten"/>
    <n v="0"/>
    <n v="497"/>
  </r>
  <r>
    <x v="6"/>
    <s v="U0474"/>
    <s v="Storage"/>
    <n v="1255"/>
    <s v="Vacant"/>
    <m/>
    <n v="0"/>
    <n v="0"/>
    <n v="0"/>
    <s v=""/>
    <m/>
    <m/>
    <n v="2724.85"/>
    <n v="992.82"/>
    <s v="OK"/>
    <s v=""/>
    <s v="Rent&lt;=0"/>
    <s v=""/>
    <n v="3717.67"/>
    <s v=""/>
    <n v="0"/>
    <s v=""/>
    <n v="1255"/>
    <n v="0"/>
  </r>
  <r>
    <x v="5"/>
    <s v="U0475"/>
    <s v="Storage"/>
    <n v="1344"/>
    <s v="Occupied"/>
    <s v="Tenant_53"/>
    <n v="20003.39"/>
    <n v="240040.68"/>
    <n v="240040.68"/>
    <s v=""/>
    <d v="2022-06-11T00:00:00"/>
    <d v="2025-10-11T00:00:00"/>
    <n v="2783.92"/>
    <n v="1713.63"/>
    <s v="OK"/>
    <s v=""/>
    <s v=""/>
    <n v="178.60169642857142"/>
    <n v="4497.55"/>
    <n v="238327.05"/>
    <n v="0"/>
    <s v="0-3 Monaten"/>
    <n v="0"/>
    <n v="1344"/>
  </r>
  <r>
    <x v="6"/>
    <s v="U0476"/>
    <s v="Office"/>
    <n v="1069"/>
    <s v="Occupied"/>
    <s v="Tenant_90"/>
    <n v="11668.17"/>
    <n v="140018.04"/>
    <n v="140018.04"/>
    <s v=""/>
    <d v="2021-10-20T00:00:00"/>
    <d v="2023-07-22T00:00:00"/>
    <n v="2099.33"/>
    <n v="1298.1099999999999"/>
    <s v="OK"/>
    <s v=""/>
    <s v=""/>
    <n v="130.98039289055191"/>
    <n v="3397.4399999999996"/>
    <n v="138719.93000000002"/>
    <n v="0"/>
    <s v="0-3 Monaten"/>
    <n v="0"/>
    <n v="1069"/>
  </r>
  <r>
    <x v="0"/>
    <s v="U0477"/>
    <s v="Storage"/>
    <n v="72"/>
    <s v="Occupied"/>
    <s v="Tenant_161"/>
    <n v="1057.75"/>
    <n v="12693"/>
    <n v="12693"/>
    <s v=""/>
    <d v="2021-08-05T00:00:00"/>
    <d v="2022-02-12T00:00:00"/>
    <n v="85.4"/>
    <n v="108.58"/>
    <s v="OK"/>
    <s v=""/>
    <s v=""/>
    <n v="176.29166666666666"/>
    <n v="193.98000000000002"/>
    <n v="12584.42"/>
    <n v="0"/>
    <s v="0-3 Monaten"/>
    <n v="0"/>
    <n v="72"/>
  </r>
  <r>
    <x v="7"/>
    <s v="U0478"/>
    <s v="Storage"/>
    <n v="165"/>
    <s v="Occupied"/>
    <s v="Tenant_130"/>
    <n v="1329.9"/>
    <n v="15958.8"/>
    <n v="15958.800000000001"/>
    <s v=""/>
    <d v="2023-08-24T00:00:00"/>
    <d v="2026-11-12T00:00:00"/>
    <n v="238.18"/>
    <n v="348.31"/>
    <s v="OK"/>
    <s v=""/>
    <s v=""/>
    <n v="96.72"/>
    <n v="586.49"/>
    <n v="15610.49"/>
    <n v="8"/>
    <s v="6-12 Monaten"/>
    <n v="0"/>
    <n v="165"/>
  </r>
  <r>
    <x v="2"/>
    <s v="U0479"/>
    <s v="Office"/>
    <n v="116"/>
    <s v="Occupied"/>
    <s v="Tenant_200"/>
    <n v="1421.8"/>
    <n v="17061.599999999999"/>
    <n v="17061.599999999999"/>
    <s v=""/>
    <d v="2021-12-09T00:00:00"/>
    <d v="2023-07-20T00:00:00"/>
    <n v="207.49"/>
    <n v="95.39"/>
    <s v="OK"/>
    <s v=""/>
    <s v=""/>
    <n v="147.08275862068965"/>
    <n v="302.88"/>
    <n v="16966.21"/>
    <n v="0"/>
    <s v="0-3 Monaten"/>
    <n v="0"/>
    <n v="116"/>
  </r>
  <r>
    <x v="5"/>
    <s v="U0480"/>
    <s v="Office"/>
    <n v="1190"/>
    <s v="Occupied"/>
    <s v="Tenant_63"/>
    <n v="16230.87"/>
    <n v="194770.44"/>
    <n v="194770.44"/>
    <s v=""/>
    <d v="2021-06-06T00:00:00"/>
    <d v="2024-01-27T00:00:00"/>
    <n v="2592.08"/>
    <n v="2423.77"/>
    <s v="OK"/>
    <s v=""/>
    <s v=""/>
    <n v="163.67263865546218"/>
    <n v="5015.8500000000004"/>
    <n v="192346.67"/>
    <n v="0"/>
    <s v="0-3 Monaten"/>
    <n v="0"/>
    <n v="1190"/>
  </r>
  <r>
    <x v="7"/>
    <s v="U0481"/>
    <s v="Storage"/>
    <n v="1380"/>
    <s v="Occupied"/>
    <s v="Tenant_150"/>
    <n v="17122.650000000001"/>
    <n v="205471.8"/>
    <n v="205471.80000000002"/>
    <s v=""/>
    <d v="2023-01-06T00:00:00"/>
    <d v="2025-04-20T00:00:00"/>
    <n v="2813.83"/>
    <n v="713.47"/>
    <s v="OK"/>
    <s v=""/>
    <s v=""/>
    <n v="148.89260869565217"/>
    <n v="3527.3"/>
    <n v="204758.33"/>
    <n v="0"/>
    <s v="0-3 Monaten"/>
    <n v="0"/>
    <n v="1380"/>
  </r>
  <r>
    <x v="0"/>
    <s v="U0482"/>
    <s v="Warehouse"/>
    <n v="1456"/>
    <s v="Occupied"/>
    <s v="Tenant_33"/>
    <n v="25817.25"/>
    <n v="309807"/>
    <n v="309807"/>
    <s v=""/>
    <d v="2021-09-12T00:00:00"/>
    <d v="2022-10-20T00:00:00"/>
    <n v="4096.12"/>
    <n v="1894.96"/>
    <s v="OK"/>
    <s v=""/>
    <s v=""/>
    <n v="212.77953296703296"/>
    <n v="5991.08"/>
    <n v="307912.03999999998"/>
    <n v="0"/>
    <s v="0-3 Monaten"/>
    <n v="0"/>
    <n v="1456"/>
  </r>
  <r>
    <x v="7"/>
    <s v="U0483"/>
    <s v="Office"/>
    <n v="1260"/>
    <s v="Occupied"/>
    <s v="Tenant_80"/>
    <n v="15694.45"/>
    <n v="188333.4"/>
    <n v="188333.40000000002"/>
    <s v=""/>
    <d v="2021-06-16T00:00:00"/>
    <d v="2023-01-15T00:00:00"/>
    <n v="2649.87"/>
    <n v="1537.39"/>
    <s v="OK"/>
    <s v=""/>
    <s v=""/>
    <n v="149.47095238095238"/>
    <n v="4187.26"/>
    <n v="186796.00999999998"/>
    <n v="0"/>
    <s v="0-3 Monaten"/>
    <n v="0"/>
    <n v="1260"/>
  </r>
  <r>
    <x v="2"/>
    <s v="U0484"/>
    <s v="Warehouse"/>
    <n v="740"/>
    <s v="Occupied"/>
    <s v="Tenant_106"/>
    <n v="4682.0600000000004"/>
    <n v="56184.72"/>
    <n v="56184.72"/>
    <s v=""/>
    <d v="2021-06-19T00:00:00"/>
    <d v="2025-03-20T00:00:00"/>
    <n v="1873.81"/>
    <n v="1000.38"/>
    <s v="OK"/>
    <s v=""/>
    <s v=""/>
    <n v="75.925297297297305"/>
    <n v="2874.19"/>
    <n v="55184.340000000004"/>
    <n v="0"/>
    <s v="0-3 Monaten"/>
    <n v="0"/>
    <n v="740"/>
  </r>
  <r>
    <x v="3"/>
    <s v="U0485"/>
    <s v="Office"/>
    <n v="1132"/>
    <s v="Vacant"/>
    <m/>
    <n v="0"/>
    <n v="0"/>
    <n v="0"/>
    <s v=""/>
    <m/>
    <m/>
    <n v="1405.93"/>
    <n v="2240.6799999999998"/>
    <s v="OK"/>
    <s v=""/>
    <s v="Rent&lt;=0"/>
    <s v=""/>
    <n v="3646.6099999999997"/>
    <s v=""/>
    <n v="0"/>
    <s v=""/>
    <n v="1132"/>
    <n v="0"/>
  </r>
  <r>
    <x v="7"/>
    <s v="U0486"/>
    <s v="Storage"/>
    <n v="856"/>
    <s v="Occupied"/>
    <s v="Tenant_153"/>
    <n v="6414.48"/>
    <n v="76973.759999999995"/>
    <n v="76973.759999999995"/>
    <s v=""/>
    <d v="2023-02-17T00:00:00"/>
    <d v="2027-06-04T00:00:00"/>
    <n v="1727.18"/>
    <n v="710.37"/>
    <s v="OK"/>
    <s v=""/>
    <s v=""/>
    <n v="89.922616822429902"/>
    <n v="2437.5500000000002"/>
    <n v="76263.39"/>
    <n v="15"/>
    <s v="12 M+"/>
    <n v="0"/>
    <n v="856"/>
  </r>
  <r>
    <x v="7"/>
    <s v="U0487"/>
    <s v="Production"/>
    <n v="984"/>
    <s v="Occupied"/>
    <s v="Tenant_78"/>
    <n v="15068.16"/>
    <n v="180817.92000000001"/>
    <n v="180817.91999999998"/>
    <s v=""/>
    <d v="2022-08-28T00:00:00"/>
    <d v="2025-08-26T00:00:00"/>
    <n v="1323.13"/>
    <n v="1577.12"/>
    <s v="OK"/>
    <s v=""/>
    <s v=""/>
    <n v="183.75804878048783"/>
    <n v="2900.25"/>
    <n v="179240.80000000002"/>
    <n v="0"/>
    <s v="0-3 Monaten"/>
    <n v="0"/>
    <n v="984"/>
  </r>
  <r>
    <x v="4"/>
    <s v="U0488"/>
    <s v="Office"/>
    <n v="243"/>
    <s v="Occupied"/>
    <s v="Tenant_102"/>
    <n v="2576.3000000000002"/>
    <n v="30915.599999999999"/>
    <n v="30915.600000000002"/>
    <s v=""/>
    <d v="2023-11-26T00:00:00"/>
    <d v="2025-06-08T00:00:00"/>
    <n v="274.18"/>
    <n v="326.92"/>
    <s v="OK"/>
    <s v=""/>
    <s v=""/>
    <n v="127.22469135802469"/>
    <n v="601.1"/>
    <n v="30588.68"/>
    <n v="0"/>
    <s v="0-3 Monaten"/>
    <n v="0"/>
    <n v="243"/>
  </r>
  <r>
    <x v="4"/>
    <s v="U0489"/>
    <s v="Warehouse"/>
    <n v="1367"/>
    <s v="Occupied"/>
    <s v="Tenant_182"/>
    <n v="8542.5400000000009"/>
    <n v="102510.48"/>
    <n v="102510.48000000001"/>
    <s v=""/>
    <d v="2022-04-28T00:00:00"/>
    <d v="2023-06-08T00:00:00"/>
    <n v="2563.39"/>
    <n v="2795.11"/>
    <s v="OK"/>
    <s v=""/>
    <s v=""/>
    <n v="74.989378200438921"/>
    <n v="5358.5"/>
    <n v="99715.37"/>
    <n v="0"/>
    <s v="0-3 Monaten"/>
    <n v="0"/>
    <n v="1367"/>
  </r>
  <r>
    <x v="4"/>
    <s v="U0490"/>
    <s v="Office"/>
    <n v="1198"/>
    <s v="Occupied"/>
    <s v="Tenant_131"/>
    <n v="10184.14"/>
    <n v="122209.68"/>
    <n v="122209.68"/>
    <s v=""/>
    <d v="2022-01-27T00:00:00"/>
    <d v="2025-04-04T00:00:00"/>
    <n v="2297.1999999999998"/>
    <n v="2412.1999999999998"/>
    <s v="OK"/>
    <s v=""/>
    <s v=""/>
    <n v="102.01141903171953"/>
    <n v="4709.3999999999996"/>
    <n v="119797.48"/>
    <n v="0"/>
    <s v="0-3 Monaten"/>
    <n v="0"/>
    <n v="1198"/>
  </r>
  <r>
    <x v="1"/>
    <s v="U0491"/>
    <s v="Warehouse"/>
    <n v="1465"/>
    <s v="Occupied"/>
    <s v="Tenant_177"/>
    <n v="12526.25"/>
    <n v="150315"/>
    <n v="150315"/>
    <s v=""/>
    <d v="2022-06-22T00:00:00"/>
    <d v="2026-12-13T00:00:00"/>
    <n v="4142.09"/>
    <n v="3389.91"/>
    <s v="OK"/>
    <s v=""/>
    <s v=""/>
    <n v="102.60409556313994"/>
    <n v="7532"/>
    <n v="146925.09"/>
    <n v="9"/>
    <s v="6-12 Monaten"/>
    <n v="0"/>
    <n v="1465"/>
  </r>
  <r>
    <x v="7"/>
    <s v="U0492"/>
    <s v="Warehouse"/>
    <n v="1016"/>
    <s v="Occupied"/>
    <s v="Tenant_36"/>
    <n v="15719.47"/>
    <n v="188633.64"/>
    <n v="188633.63999999998"/>
    <s v=""/>
    <d v="2023-06-08T00:00:00"/>
    <d v="2025-09-04T00:00:00"/>
    <n v="1643.39"/>
    <n v="2491.0300000000002"/>
    <s v="OK"/>
    <s v=""/>
    <s v=""/>
    <n v="185.66303149606301"/>
    <n v="4134.42"/>
    <n v="186142.61000000002"/>
    <n v="0"/>
    <s v="0-3 Monaten"/>
    <n v="0"/>
    <n v="1016"/>
  </r>
  <r>
    <x v="6"/>
    <s v="U0493"/>
    <s v="Office"/>
    <n v="95"/>
    <s v="Occupied"/>
    <s v="Tenant_148"/>
    <n v="917"/>
    <n v="11004"/>
    <n v="11004"/>
    <s v=""/>
    <d v="2021-09-02T00:00:00"/>
    <d v="2025-07-08T00:00:00"/>
    <n v="222.81"/>
    <n v="228.14"/>
    <s v="OK"/>
    <s v=""/>
    <s v=""/>
    <n v="115.83157894736843"/>
    <n v="450.95"/>
    <n v="10775.86"/>
    <n v="0"/>
    <s v="0-3 Monaten"/>
    <n v="0"/>
    <n v="95"/>
  </r>
  <r>
    <x v="6"/>
    <s v="U0494"/>
    <s v="Office"/>
    <n v="771"/>
    <s v="Vacant"/>
    <m/>
    <n v="0"/>
    <n v="0"/>
    <n v="0"/>
    <s v=""/>
    <m/>
    <m/>
    <n v="806.06"/>
    <n v="1196.3800000000001"/>
    <s v="OK"/>
    <s v=""/>
    <s v="Rent&lt;=0"/>
    <s v=""/>
    <n v="2002.44"/>
    <s v=""/>
    <n v="0"/>
    <s v=""/>
    <n v="771"/>
    <n v="0"/>
  </r>
  <r>
    <x v="1"/>
    <s v="U0495"/>
    <s v="Warehouse"/>
    <n v="280"/>
    <s v="Vacant"/>
    <m/>
    <n v="0"/>
    <n v="0"/>
    <n v="0"/>
    <s v=""/>
    <m/>
    <m/>
    <n v="291.82"/>
    <n v="526.54999999999995"/>
    <s v="OK"/>
    <s v=""/>
    <s v="Rent&lt;=0"/>
    <s v=""/>
    <n v="818.36999999999989"/>
    <s v=""/>
    <n v="0"/>
    <s v=""/>
    <n v="280"/>
    <n v="0"/>
  </r>
  <r>
    <x v="3"/>
    <s v="U0496"/>
    <s v="Warehouse"/>
    <n v="447"/>
    <s v="Occupied"/>
    <s v="Tenant_186"/>
    <n v="5606.48"/>
    <n v="67277.759999999995"/>
    <n v="67277.759999999995"/>
    <s v=""/>
    <d v="2022-09-14T00:00:00"/>
    <d v="2023-06-11T00:00:00"/>
    <n v="1086.8399999999999"/>
    <n v="1045.93"/>
    <s v="OK"/>
    <s v=""/>
    <s v=""/>
    <n v="150.50953020134227"/>
    <n v="2132.77"/>
    <n v="66231.83"/>
    <n v="0"/>
    <s v="0-3 Monaten"/>
    <n v="0"/>
    <n v="447"/>
  </r>
  <r>
    <x v="2"/>
    <s v="U0497"/>
    <s v="Office"/>
    <n v="484"/>
    <s v="Occupied"/>
    <s v="Tenant_127"/>
    <n v="5284.32"/>
    <n v="63411.839999999997"/>
    <n v="63411.839999999997"/>
    <s v=""/>
    <d v="2022-12-01T00:00:00"/>
    <d v="2024-06-10T00:00:00"/>
    <n v="643.79999999999995"/>
    <n v="754.27"/>
    <s v="OK"/>
    <s v=""/>
    <s v=""/>
    <n v="131.01619834710743"/>
    <n v="1398.07"/>
    <n v="62657.57"/>
    <n v="0"/>
    <s v="0-3 Monaten"/>
    <n v="0"/>
    <n v="484"/>
  </r>
  <r>
    <x v="6"/>
    <s v="U0498"/>
    <s v="Production"/>
    <n v="511"/>
    <s v="Occupied"/>
    <s v="Tenant_32"/>
    <n v="3922.38"/>
    <n v="47068.56"/>
    <n v="47068.56"/>
    <s v=""/>
    <d v="2021-04-27T00:00:00"/>
    <d v="2023-06-20T00:00:00"/>
    <n v="795.04"/>
    <n v="265.3"/>
    <s v="OK"/>
    <s v=""/>
    <s v=""/>
    <n v="92.110684931506839"/>
    <n v="1060.3399999999999"/>
    <n v="46803.259999999995"/>
    <n v="0"/>
    <s v="0-3 Monaten"/>
    <n v="0"/>
    <n v="511"/>
  </r>
  <r>
    <x v="1"/>
    <s v="U0499"/>
    <s v="Office"/>
    <n v="699"/>
    <s v="Occupied"/>
    <s v="Tenant_131"/>
    <n v="9976.8700000000008"/>
    <n v="119722.44"/>
    <n v="119722.44"/>
    <s v=""/>
    <d v="2021-07-24T00:00:00"/>
    <d v="2026-05-07T00:00:00"/>
    <n v="929.53"/>
    <n v="1195.71"/>
    <s v="OK"/>
    <s v=""/>
    <s v=""/>
    <n v="171.27673819742489"/>
    <n v="2125.2399999999998"/>
    <n v="118526.73"/>
    <n v="2"/>
    <s v="0-3 Monaten"/>
    <n v="0"/>
    <n v="699"/>
  </r>
  <r>
    <x v="7"/>
    <s v="U0500"/>
    <s v="Warehouse"/>
    <n v="1393"/>
    <s v="Occupied"/>
    <s v="Tenant_66"/>
    <n v="14406.28"/>
    <n v="172875.36"/>
    <n v="172875.36000000002"/>
    <s v=""/>
    <d v="2023-10-26T00:00:00"/>
    <d v="2026-08-17T00:00:00"/>
    <n v="1647.07"/>
    <n v="1582.05"/>
    <s v="OK"/>
    <s v=""/>
    <s v=""/>
    <n v="124.10291457286431"/>
    <n v="3229.12"/>
    <n v="171293.31"/>
    <n v="5"/>
    <s v="3-6 Monaten"/>
    <n v="0"/>
    <n v="13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x v="0"/>
    <s v="U0001"/>
    <x v="0"/>
    <n v="1072"/>
    <x v="0"/>
    <x v="0"/>
    <n v="12532.9"/>
    <x v="0"/>
    <n v="150394.79999999999"/>
    <s v=""/>
    <d v="2021-09-29T00:00:00"/>
    <d v="2023-09-23T00:00:00"/>
    <n v="1703.34"/>
    <n v="2323.09"/>
    <s v="OK"/>
    <s v=""/>
    <s v=""/>
    <n v="140.2936567164179"/>
    <n v="4026.4300000000003"/>
    <n v="148071.71"/>
    <n v="0"/>
    <x v="0"/>
    <n v="0"/>
    <n v="1072"/>
  </r>
  <r>
    <x v="1"/>
    <s v="U0002"/>
    <x v="1"/>
    <n v="356"/>
    <x v="1"/>
    <x v="1"/>
    <n v="0"/>
    <x v="1"/>
    <n v="0"/>
    <s v=""/>
    <m/>
    <m/>
    <n v="581.04999999999995"/>
    <n v="327.43"/>
    <s v="OK"/>
    <s v=""/>
    <s v="Rent&lt;=0"/>
    <s v=""/>
    <n v="908.48"/>
    <s v=""/>
    <n v="0"/>
    <x v="1"/>
    <n v="356"/>
    <n v="0"/>
  </r>
  <r>
    <x v="2"/>
    <s v="U0003"/>
    <x v="1"/>
    <n v="920"/>
    <x v="0"/>
    <x v="2"/>
    <n v="11487.23"/>
    <x v="2"/>
    <n v="137846.76"/>
    <s v="FALSCH"/>
    <d v="2021-05-28T00:00:00"/>
    <d v="2025-07-25T00:00:00"/>
    <n v="1667.69"/>
    <n v="1006.92"/>
    <s v="OK"/>
    <s v=""/>
    <s v=""/>
    <n v="149.83291304347827"/>
    <n v="2674.61"/>
    <n v="136839.35999999999"/>
    <n v="0"/>
    <x v="0"/>
    <n v="0"/>
    <n v="920"/>
  </r>
  <r>
    <x v="3"/>
    <s v="U0004"/>
    <x v="1"/>
    <n v="659"/>
    <x v="0"/>
    <x v="3"/>
    <n v="7757.21"/>
    <x v="3"/>
    <n v="93086.52"/>
    <s v=""/>
    <d v="2022-01-17T00:00:00"/>
    <d v="2024-04-26T00:00:00"/>
    <n v="1291.24"/>
    <n v="769.66"/>
    <s v="OK"/>
    <s v=""/>
    <s v=""/>
    <n v="141.25420333839151"/>
    <n v="2060.9"/>
    <n v="92316.86"/>
    <n v="0"/>
    <x v="0"/>
    <n v="0"/>
    <n v="659"/>
  </r>
  <r>
    <x v="4"/>
    <s v="U0005"/>
    <x v="2"/>
    <n v="826"/>
    <x v="0"/>
    <x v="4"/>
    <n v="10359.75"/>
    <x v="4"/>
    <n v="124317"/>
    <s v=""/>
    <d v="2021-08-28T00:00:00"/>
    <d v="2026-07-06T00:00:00"/>
    <n v="2093.1"/>
    <n v="766.61"/>
    <s v="OK"/>
    <s v=""/>
    <s v=""/>
    <n v="150.50484261501211"/>
    <n v="2859.71"/>
    <n v="123550.39"/>
    <n v="4"/>
    <x v="2"/>
    <n v="0"/>
    <n v="826"/>
  </r>
  <r>
    <x v="5"/>
    <s v="U0006"/>
    <x v="3"/>
    <n v="482"/>
    <x v="1"/>
    <x v="1"/>
    <n v="0"/>
    <x v="1"/>
    <n v="0"/>
    <s v=""/>
    <m/>
    <m/>
    <n v="913.83"/>
    <n v="1004.86"/>
    <s v="OK"/>
    <s v=""/>
    <s v="Rent&lt;=0"/>
    <s v=""/>
    <n v="1918.69"/>
    <s v=""/>
    <n v="0"/>
    <x v="1"/>
    <n v="482"/>
    <n v="0"/>
  </r>
  <r>
    <x v="5"/>
    <s v="U0007"/>
    <x v="1"/>
    <n v="1358"/>
    <x v="0"/>
    <x v="5"/>
    <n v="23528.639999999999"/>
    <x v="5"/>
    <n v="282343.67999999999"/>
    <s v=""/>
    <d v="2023-04-28T00:00:00"/>
    <d v="2026-06-08T00:00:00"/>
    <n v="1782.23"/>
    <n v="1177.76"/>
    <s v="OK"/>
    <s v=""/>
    <s v=""/>
    <n v="207.91139911634755"/>
    <n v="2959.99"/>
    <n v="281165.92"/>
    <n v="3"/>
    <x v="0"/>
    <n v="0"/>
    <n v="1358"/>
  </r>
  <r>
    <x v="2"/>
    <s v="U0008"/>
    <x v="2"/>
    <n v="319"/>
    <x v="0"/>
    <x v="6"/>
    <n v="5107.1499999999996"/>
    <x v="6"/>
    <n v="61285.799999999996"/>
    <s v=""/>
    <d v="2021-06-30T00:00:00"/>
    <d v="2022-07-15T00:00:00"/>
    <n v="849.14"/>
    <n v="729.67"/>
    <s v="OK"/>
    <s v=""/>
    <s v=""/>
    <n v="192.11849529780565"/>
    <n v="1578.81"/>
    <n v="60556.130000000005"/>
    <n v="0"/>
    <x v="0"/>
    <n v="0"/>
    <n v="319"/>
  </r>
  <r>
    <x v="0"/>
    <s v="U0009"/>
    <x v="3"/>
    <n v="744"/>
    <x v="0"/>
    <x v="7"/>
    <n v="7237.57"/>
    <x v="7"/>
    <n v="86850.84"/>
    <s v=""/>
    <d v="2021-06-04T00:00:00"/>
    <d v="2025-05-01T00:00:00"/>
    <n v="2153.19"/>
    <n v="1468.13"/>
    <s v="OK"/>
    <s v=""/>
    <s v=""/>
    <n v="116.735"/>
    <n v="3621.32"/>
    <n v="85382.709999999992"/>
    <n v="0"/>
    <x v="0"/>
    <n v="0"/>
    <n v="744"/>
  </r>
  <r>
    <x v="3"/>
    <s v="U0010"/>
    <x v="0"/>
    <n v="1453"/>
    <x v="0"/>
    <x v="8"/>
    <n v="9945.89"/>
    <x v="8"/>
    <n v="119350.68"/>
    <s v=""/>
    <d v="2021-10-26T00:00:00"/>
    <d v="2024-06-03T00:00:00"/>
    <n v="2246.36"/>
    <n v="1532.69"/>
    <s v="OK"/>
    <s v=""/>
    <s v=""/>
    <n v="82.140867171369578"/>
    <n v="3779.05"/>
    <n v="117817.98999999999"/>
    <n v="0"/>
    <x v="0"/>
    <n v="0"/>
    <n v="1453"/>
  </r>
  <r>
    <x v="0"/>
    <s v="U0011"/>
    <x v="3"/>
    <n v="174"/>
    <x v="0"/>
    <x v="9"/>
    <n v="2991.69"/>
    <x v="9"/>
    <n v="35900.28"/>
    <s v=""/>
    <d v="2021-07-21T00:00:00"/>
    <d v="2022-12-30T00:00:00"/>
    <n v="419.85"/>
    <n v="310.98"/>
    <s v="OK"/>
    <s v=""/>
    <s v=""/>
    <n v="206.32344827586206"/>
    <n v="730.83"/>
    <n v="35589.299999999996"/>
    <n v="0"/>
    <x v="0"/>
    <n v="0"/>
    <n v="174"/>
  </r>
  <r>
    <x v="6"/>
    <s v="U0012"/>
    <x v="3"/>
    <n v="1202"/>
    <x v="0"/>
    <x v="10"/>
    <n v="7302.78"/>
    <x v="10"/>
    <n v="87633.36"/>
    <s v=""/>
    <d v="2021-12-08T00:00:00"/>
    <d v="2022-10-27T00:00:00"/>
    <n v="1807.96"/>
    <n v="1254.6600000000001"/>
    <s v="OK"/>
    <s v=""/>
    <s v=""/>
    <n v="72.906289517470881"/>
    <n v="3062.62"/>
    <n v="86378.7"/>
    <n v="0"/>
    <x v="0"/>
    <n v="0"/>
    <n v="1202"/>
  </r>
  <r>
    <x v="6"/>
    <s v="U0013"/>
    <x v="3"/>
    <n v="215"/>
    <x v="0"/>
    <x v="11"/>
    <n v="2746.09"/>
    <x v="11"/>
    <n v="32953.08"/>
    <s v=""/>
    <d v="2023-03-08T00:00:00"/>
    <d v="2027-07-17T00:00:00"/>
    <n v="457.27"/>
    <n v="453.52"/>
    <s v="OK"/>
    <s v=""/>
    <s v=""/>
    <n v="153.27013953488373"/>
    <n v="910.79"/>
    <n v="32499.56"/>
    <n v="16"/>
    <x v="3"/>
    <n v="0"/>
    <n v="215"/>
  </r>
  <r>
    <x v="0"/>
    <s v="U0014"/>
    <x v="1"/>
    <n v="1379"/>
    <x v="0"/>
    <x v="12"/>
    <n v="9289.85"/>
    <x v="12"/>
    <n v="111478.20000000001"/>
    <s v=""/>
    <d v="2022-09-27T00:00:00"/>
    <d v="2025-04-20T00:00:00"/>
    <n v="2454.8200000000002"/>
    <n v="2439.5100000000002"/>
    <s v="OK"/>
    <s v=""/>
    <s v=""/>
    <n v="80.839883973894118"/>
    <n v="4894.33"/>
    <n v="109038.69"/>
    <n v="0"/>
    <x v="0"/>
    <n v="0"/>
    <n v="1379"/>
  </r>
  <r>
    <x v="2"/>
    <s v="U0015"/>
    <x v="1"/>
    <n v="1194"/>
    <x v="0"/>
    <x v="13"/>
    <n v="21260.89"/>
    <x v="13"/>
    <n v="255130.68"/>
    <s v=""/>
    <d v="2023-09-30T00:00:00"/>
    <d v="2026-09-16T00:00:00"/>
    <n v="3224.21"/>
    <n v="808.23"/>
    <s v="OK"/>
    <s v=""/>
    <s v=""/>
    <n v="213.6772864321608"/>
    <n v="4032.44"/>
    <n v="254322.44999999998"/>
    <n v="6"/>
    <x v="2"/>
    <n v="0"/>
    <n v="1194"/>
  </r>
  <r>
    <x v="2"/>
    <s v="U0016"/>
    <x v="0"/>
    <n v="1216"/>
    <x v="0"/>
    <x v="14"/>
    <n v="20687.509999999998"/>
    <x v="14"/>
    <n v="248250.12"/>
    <s v=""/>
    <d v="2023-10-21T00:00:00"/>
    <d v="2028-10-13T00:00:00"/>
    <n v="1988.36"/>
    <n v="2060.4"/>
    <s v="OK"/>
    <s v=""/>
    <s v=""/>
    <n v="204.15305921052632"/>
    <n v="4048.76"/>
    <n v="246189.72"/>
    <n v="31"/>
    <x v="3"/>
    <n v="0"/>
    <n v="1216"/>
  </r>
  <r>
    <x v="5"/>
    <s v="U0017"/>
    <x v="1"/>
    <n v="417"/>
    <x v="1"/>
    <x v="1"/>
    <n v="0"/>
    <x v="1"/>
    <n v="0"/>
    <s v=""/>
    <m/>
    <m/>
    <n v="658.24"/>
    <n v="906.67"/>
    <s v="OK"/>
    <s v=""/>
    <s v="Rent&lt;=0"/>
    <s v=""/>
    <n v="1564.9099999999999"/>
    <s v=""/>
    <n v="0"/>
    <x v="1"/>
    <n v="417"/>
    <n v="0"/>
  </r>
  <r>
    <x v="7"/>
    <s v="U0018"/>
    <x v="3"/>
    <n v="549"/>
    <x v="0"/>
    <x v="9"/>
    <n v="4264.49"/>
    <x v="15"/>
    <n v="51173.88"/>
    <s v=""/>
    <d v="2022-10-26T00:00:00"/>
    <d v="2026-07-18T00:00:00"/>
    <n v="1396.48"/>
    <n v="672.55"/>
    <s v="OK"/>
    <s v=""/>
    <s v=""/>
    <n v="93.212896174863388"/>
    <n v="2069.0299999999997"/>
    <n v="50501.329999999994"/>
    <n v="4"/>
    <x v="2"/>
    <n v="0"/>
    <n v="549"/>
  </r>
  <r>
    <x v="7"/>
    <s v="U0019"/>
    <x v="0"/>
    <n v="754"/>
    <x v="0"/>
    <x v="15"/>
    <n v="8906.5300000000007"/>
    <x v="16"/>
    <n v="106878.36000000002"/>
    <s v=""/>
    <d v="2023-03-08T00:00:00"/>
    <d v="2026-08-07T00:00:00"/>
    <n v="805.82"/>
    <n v="1142.4100000000001"/>
    <s v="OK"/>
    <s v=""/>
    <s v=""/>
    <n v="141.74848806366049"/>
    <n v="1948.23"/>
    <n v="105735.95"/>
    <n v="5"/>
    <x v="2"/>
    <n v="0"/>
    <n v="754"/>
  </r>
  <r>
    <x v="1"/>
    <s v="U0020"/>
    <x v="2"/>
    <n v="1180"/>
    <x v="0"/>
    <x v="16"/>
    <n v="11003.3"/>
    <x v="17"/>
    <n v="132039.59999999998"/>
    <s v=""/>
    <d v="2023-02-04T00:00:00"/>
    <d v="2026-12-13T00:00:00"/>
    <n v="2489.6799999999998"/>
    <n v="2937.03"/>
    <s v="OK"/>
    <s v=""/>
    <s v=""/>
    <n v="111.89796610169492"/>
    <n v="5426.71"/>
    <n v="129102.57"/>
    <n v="9"/>
    <x v="4"/>
    <n v="0"/>
    <n v="1180"/>
  </r>
  <r>
    <x v="1"/>
    <s v="U0021"/>
    <x v="0"/>
    <n v="876"/>
    <x v="1"/>
    <x v="1"/>
    <n v="0"/>
    <x v="1"/>
    <n v="0"/>
    <s v=""/>
    <m/>
    <m/>
    <n v="1756.84"/>
    <n v="1973.19"/>
    <s v="OK"/>
    <s v=""/>
    <s v="Rent&lt;=0"/>
    <s v=""/>
    <n v="3730.0299999999997"/>
    <s v=""/>
    <n v="0"/>
    <x v="1"/>
    <n v="876"/>
    <n v="0"/>
  </r>
  <r>
    <x v="2"/>
    <s v="U0022"/>
    <x v="1"/>
    <n v="946"/>
    <x v="0"/>
    <x v="17"/>
    <n v="12902.94"/>
    <x v="18"/>
    <n v="154835.28"/>
    <s v=""/>
    <d v="2023-04-15T00:00:00"/>
    <d v="2026-10-16T00:00:00"/>
    <n v="2691.1"/>
    <n v="2173.98"/>
    <s v="OK"/>
    <s v=""/>
    <s v=""/>
    <n v="163.67365750528541"/>
    <n v="4865.08"/>
    <n v="152661.29999999999"/>
    <n v="7"/>
    <x v="4"/>
    <n v="0"/>
    <n v="946"/>
  </r>
  <r>
    <x v="7"/>
    <s v="U0023"/>
    <x v="3"/>
    <n v="1255"/>
    <x v="0"/>
    <x v="18"/>
    <n v="18391.16"/>
    <x v="19"/>
    <n v="220693.91999999998"/>
    <s v=""/>
    <d v="2023-02-22T00:00:00"/>
    <d v="2026-09-07T00:00:00"/>
    <n v="2019.26"/>
    <n v="3075.8"/>
    <s v="OK"/>
    <s v=""/>
    <s v=""/>
    <n v="175.85172908366536"/>
    <n v="5095.0600000000004"/>
    <n v="217618.12000000002"/>
    <n v="6"/>
    <x v="2"/>
    <n v="0"/>
    <n v="1255"/>
  </r>
  <r>
    <x v="5"/>
    <s v="U0024"/>
    <x v="1"/>
    <n v="484"/>
    <x v="0"/>
    <x v="19"/>
    <n v="5675.06"/>
    <x v="20"/>
    <n v="68100.72"/>
    <s v=""/>
    <d v="2022-11-03T00:00:00"/>
    <d v="2026-09-06T00:00:00"/>
    <n v="761.04"/>
    <n v="832.56"/>
    <s v="OK"/>
    <s v=""/>
    <s v=""/>
    <n v="140.70396694214875"/>
    <n v="1593.6"/>
    <n v="67268.160000000003"/>
    <n v="6"/>
    <x v="2"/>
    <n v="0"/>
    <n v="484"/>
  </r>
  <r>
    <x v="4"/>
    <s v="U0025"/>
    <x v="0"/>
    <n v="911"/>
    <x v="0"/>
    <x v="20"/>
    <n v="13032.41"/>
    <x v="21"/>
    <n v="156388.91999999998"/>
    <s v=""/>
    <d v="2022-06-16T00:00:00"/>
    <d v="2023-06-03T00:00:00"/>
    <n v="1831.9"/>
    <n v="593.03"/>
    <s v="OK"/>
    <s v=""/>
    <s v=""/>
    <n v="171.66731064763997"/>
    <n v="2424.9300000000003"/>
    <n v="155795.89000000001"/>
    <n v="0"/>
    <x v="0"/>
    <n v="0"/>
    <n v="911"/>
  </r>
  <r>
    <x v="4"/>
    <s v="U0026"/>
    <x v="1"/>
    <n v="1147"/>
    <x v="1"/>
    <x v="1"/>
    <n v="0"/>
    <x v="1"/>
    <n v="0"/>
    <s v=""/>
    <m/>
    <m/>
    <n v="1752.44"/>
    <n v="1107.1500000000001"/>
    <s v="OK"/>
    <s v=""/>
    <s v="Rent&lt;=0"/>
    <s v=""/>
    <n v="2859.59"/>
    <s v=""/>
    <n v="0"/>
    <x v="1"/>
    <n v="1147"/>
    <n v="0"/>
  </r>
  <r>
    <x v="1"/>
    <s v="U0027"/>
    <x v="2"/>
    <n v="361"/>
    <x v="1"/>
    <x v="1"/>
    <n v="0"/>
    <x v="1"/>
    <n v="0"/>
    <s v=""/>
    <m/>
    <m/>
    <n v="1012.2"/>
    <n v="293.26"/>
    <s v="OK"/>
    <s v=""/>
    <s v="Rent&lt;=0"/>
    <s v=""/>
    <n v="1305.46"/>
    <s v=""/>
    <n v="0"/>
    <x v="1"/>
    <n v="361"/>
    <n v="0"/>
  </r>
  <r>
    <x v="7"/>
    <s v="U0028"/>
    <x v="3"/>
    <n v="1301"/>
    <x v="0"/>
    <x v="21"/>
    <n v="18342.759999999998"/>
    <x v="22"/>
    <n v="220113.12"/>
    <s v=""/>
    <d v="2023-09-10T00:00:00"/>
    <d v="2026-04-15T00:00:00"/>
    <n v="3202.85"/>
    <n v="2171.44"/>
    <s v="OK"/>
    <s v=""/>
    <s v=""/>
    <n v="169.18764027671023"/>
    <n v="5374.29"/>
    <n v="217941.68"/>
    <n v="1"/>
    <x v="0"/>
    <n v="0"/>
    <n v="1301"/>
  </r>
  <r>
    <x v="5"/>
    <s v="U0029"/>
    <x v="0"/>
    <n v="1245"/>
    <x v="0"/>
    <x v="22"/>
    <n v="12000.8"/>
    <x v="23"/>
    <n v="144009.59999999998"/>
    <s v=""/>
    <d v="2023-05-24T00:00:00"/>
    <d v="2025-12-30T00:00:00"/>
    <n v="3013.82"/>
    <n v="1135.93"/>
    <s v="OK"/>
    <s v=""/>
    <s v=""/>
    <n v="115.67036144578314"/>
    <n v="4149.75"/>
    <n v="142873.67000000001"/>
    <n v="0"/>
    <x v="0"/>
    <n v="0"/>
    <n v="1245"/>
  </r>
  <r>
    <x v="4"/>
    <s v="U0030"/>
    <x v="1"/>
    <n v="1272"/>
    <x v="0"/>
    <x v="23"/>
    <n v="14498.27"/>
    <x v="24"/>
    <n v="173979.24"/>
    <s v=""/>
    <d v="2022-02-17T00:00:00"/>
    <d v="2026-10-15T00:00:00"/>
    <n v="2011.21"/>
    <n v="944.62"/>
    <s v="OK"/>
    <s v=""/>
    <s v=""/>
    <n v="136.77613207547168"/>
    <n v="2955.83"/>
    <n v="173034.62"/>
    <n v="7"/>
    <x v="4"/>
    <n v="0"/>
    <n v="1272"/>
  </r>
  <r>
    <x v="6"/>
    <s v="U0031"/>
    <x v="1"/>
    <n v="1089"/>
    <x v="0"/>
    <x v="24"/>
    <n v="18980.11"/>
    <x v="25"/>
    <n v="227761.32"/>
    <s v=""/>
    <d v="2022-06-17T00:00:00"/>
    <d v="2023-09-15T00:00:00"/>
    <n v="2653.13"/>
    <n v="990.64"/>
    <s v="OK"/>
    <s v=""/>
    <s v=""/>
    <n v="209.14721763085399"/>
    <n v="3643.77"/>
    <n v="226770.68"/>
    <n v="0"/>
    <x v="0"/>
    <n v="0"/>
    <n v="1089"/>
  </r>
  <r>
    <x v="7"/>
    <s v="U0032"/>
    <x v="3"/>
    <n v="899"/>
    <x v="0"/>
    <x v="25"/>
    <n v="12542.71"/>
    <x v="26"/>
    <n v="150512.51999999999"/>
    <s v=""/>
    <d v="2022-12-17T00:00:00"/>
    <d v="2025-05-12T00:00:00"/>
    <n v="2529.5300000000002"/>
    <n v="1111.18"/>
    <s v="OK"/>
    <s v=""/>
    <s v=""/>
    <n v="167.42215795328141"/>
    <n v="3640.71"/>
    <n v="149401.34"/>
    <n v="0"/>
    <x v="0"/>
    <n v="0"/>
    <n v="899"/>
  </r>
  <r>
    <x v="2"/>
    <s v="U0033"/>
    <x v="0"/>
    <n v="1143"/>
    <x v="0"/>
    <x v="26"/>
    <n v="14257.35"/>
    <x v="27"/>
    <n v="171088.2"/>
    <s v=""/>
    <d v="2023-07-11T00:00:00"/>
    <d v="2025-09-01T00:00:00"/>
    <n v="2345.29"/>
    <n v="1675.28"/>
    <s v="OK"/>
    <s v=""/>
    <s v=""/>
    <n v="149.68346456692913"/>
    <n v="4020.5699999999997"/>
    <n v="169412.92"/>
    <n v="0"/>
    <x v="0"/>
    <n v="0"/>
    <n v="1143"/>
  </r>
  <r>
    <x v="0"/>
    <s v="U0034"/>
    <x v="0"/>
    <n v="524"/>
    <x v="0"/>
    <x v="27"/>
    <n v="9084.25"/>
    <x v="28"/>
    <n v="109011"/>
    <s v=""/>
    <d v="2021-12-18T00:00:00"/>
    <d v="2026-04-06T00:00:00"/>
    <n v="1359.67"/>
    <n v="486.6"/>
    <s v="OK"/>
    <s v=""/>
    <s v=""/>
    <n v="208.03625954198472"/>
    <n v="1846.27"/>
    <n v="108524.4"/>
    <n v="1"/>
    <x v="0"/>
    <n v="0"/>
    <n v="524"/>
  </r>
  <r>
    <x v="5"/>
    <s v="U0035"/>
    <x v="2"/>
    <n v="376"/>
    <x v="0"/>
    <x v="28"/>
    <n v="6140.9"/>
    <x v="29"/>
    <n v="73690.799999999988"/>
    <s v=""/>
    <d v="2022-02-28T00:00:00"/>
    <d v="2025-01-03T00:00:00"/>
    <n v="809"/>
    <n v="529.23"/>
    <s v="OK"/>
    <s v=""/>
    <s v=""/>
    <n v="195.98617021276596"/>
    <n v="1338.23"/>
    <n v="73161.570000000007"/>
    <n v="0"/>
    <x v="0"/>
    <n v="0"/>
    <n v="376"/>
  </r>
  <r>
    <x v="4"/>
    <s v="U0036"/>
    <x v="3"/>
    <n v="294"/>
    <x v="0"/>
    <x v="29"/>
    <n v="2266.0100000000002"/>
    <x v="30"/>
    <n v="27192.120000000003"/>
    <s v=""/>
    <d v="2023-02-17T00:00:00"/>
    <d v="2026-02-03T00:00:00"/>
    <n v="549.35"/>
    <n v="714.69"/>
    <s v="OK"/>
    <s v=""/>
    <s v=""/>
    <n v="92.490204081632655"/>
    <n v="1264.04"/>
    <n v="26477.43"/>
    <n v="0"/>
    <x v="0"/>
    <n v="0"/>
    <n v="294"/>
  </r>
  <r>
    <x v="2"/>
    <s v="U0037"/>
    <x v="2"/>
    <n v="1052"/>
    <x v="1"/>
    <x v="1"/>
    <n v="0"/>
    <x v="1"/>
    <n v="0"/>
    <s v=""/>
    <m/>
    <m/>
    <n v="2965.03"/>
    <n v="936.19"/>
    <s v="OK"/>
    <s v=""/>
    <s v="Rent&lt;=0"/>
    <s v=""/>
    <n v="3901.2200000000003"/>
    <s v=""/>
    <n v="0"/>
    <x v="1"/>
    <n v="1052"/>
    <n v="0"/>
  </r>
  <r>
    <x v="2"/>
    <s v="U0038"/>
    <x v="0"/>
    <n v="438"/>
    <x v="0"/>
    <x v="28"/>
    <n v="3589.14"/>
    <x v="31"/>
    <n v="43069.68"/>
    <s v=""/>
    <d v="2022-11-27T00:00:00"/>
    <d v="2024-06-13T00:00:00"/>
    <n v="1016.8"/>
    <n v="322.89"/>
    <s v="OK"/>
    <s v=""/>
    <s v=""/>
    <n v="98.332602739726028"/>
    <n v="1339.69"/>
    <n v="42746.79"/>
    <n v="0"/>
    <x v="0"/>
    <n v="0"/>
    <n v="438"/>
  </r>
  <r>
    <x v="6"/>
    <s v="U0039"/>
    <x v="3"/>
    <n v="1214"/>
    <x v="1"/>
    <x v="1"/>
    <n v="0"/>
    <x v="1"/>
    <n v="0"/>
    <s v=""/>
    <m/>
    <m/>
    <n v="2066.27"/>
    <n v="2268.37"/>
    <s v="OK"/>
    <s v=""/>
    <s v="Rent&lt;=0"/>
    <s v=""/>
    <n v="4334.6399999999994"/>
    <s v=""/>
    <n v="0"/>
    <x v="1"/>
    <n v="1214"/>
    <n v="0"/>
  </r>
  <r>
    <x v="4"/>
    <s v="U0040"/>
    <x v="1"/>
    <n v="1021"/>
    <x v="0"/>
    <x v="30"/>
    <n v="16833.259999999998"/>
    <x v="32"/>
    <n v="201999.12"/>
    <s v=""/>
    <d v="2023-07-09T00:00:00"/>
    <d v="2024-09-01T00:00:00"/>
    <n v="2746.31"/>
    <n v="926.43"/>
    <s v="OK"/>
    <s v=""/>
    <s v=""/>
    <n v="197.84438785504406"/>
    <n v="3672.74"/>
    <n v="201072.69"/>
    <n v="0"/>
    <x v="0"/>
    <n v="0"/>
    <n v="1021"/>
  </r>
  <r>
    <x v="0"/>
    <s v="U0041"/>
    <x v="1"/>
    <n v="75"/>
    <x v="0"/>
    <x v="15"/>
    <n v="750.15"/>
    <x v="33"/>
    <n v="9001.7999999999993"/>
    <s v=""/>
    <d v="2021-09-23T00:00:00"/>
    <d v="2026-02-16T00:00:00"/>
    <n v="81.709999999999994"/>
    <n v="121.61"/>
    <s v="OK"/>
    <s v=""/>
    <s v=""/>
    <n v="120.02399999999999"/>
    <n v="203.32"/>
    <n v="8880.1899999999987"/>
    <n v="0"/>
    <x v="0"/>
    <n v="0"/>
    <n v="75"/>
  </r>
  <r>
    <x v="5"/>
    <s v="U0042"/>
    <x v="1"/>
    <n v="759"/>
    <x v="0"/>
    <x v="31"/>
    <n v="7066.4"/>
    <x v="34"/>
    <n v="84796.799999999988"/>
    <s v=""/>
    <d v="2022-09-05T00:00:00"/>
    <d v="2023-10-18T00:00:00"/>
    <n v="2000.18"/>
    <n v="1476.66"/>
    <s v="OK"/>
    <s v=""/>
    <s v=""/>
    <n v="111.72173913043478"/>
    <n v="3476.84"/>
    <n v="83320.14"/>
    <n v="0"/>
    <x v="0"/>
    <n v="0"/>
    <n v="759"/>
  </r>
  <r>
    <x v="4"/>
    <s v="U0043"/>
    <x v="0"/>
    <n v="1074"/>
    <x v="0"/>
    <x v="32"/>
    <n v="9469.42"/>
    <x v="35"/>
    <n v="113633.04000000001"/>
    <s v=""/>
    <d v="2023-12-06T00:00:00"/>
    <d v="2027-12-17T00:00:00"/>
    <n v="3056.36"/>
    <n v="1360.97"/>
    <s v="OK"/>
    <s v=""/>
    <s v=""/>
    <n v="105.80357541899441"/>
    <n v="4417.33"/>
    <n v="112272.06999999999"/>
    <n v="21"/>
    <x v="3"/>
    <n v="0"/>
    <n v="1074"/>
  </r>
  <r>
    <x v="0"/>
    <s v="U0044"/>
    <x v="3"/>
    <n v="1198"/>
    <x v="0"/>
    <x v="33"/>
    <n v="15588.65"/>
    <x v="36"/>
    <n v="187063.8"/>
    <s v=""/>
    <d v="2022-04-30T00:00:00"/>
    <d v="2022-12-05T00:00:00"/>
    <n v="2765.68"/>
    <n v="615.34"/>
    <s v="OK"/>
    <s v=""/>
    <s v=""/>
    <n v="156.14674457429047"/>
    <n v="3381.02"/>
    <n v="186448.46"/>
    <n v="0"/>
    <x v="0"/>
    <n v="0"/>
    <n v="1198"/>
  </r>
  <r>
    <x v="5"/>
    <s v="U0045"/>
    <x v="3"/>
    <n v="1315"/>
    <x v="0"/>
    <x v="34"/>
    <n v="17089.689999999999"/>
    <x v="37"/>
    <n v="205076.27999999997"/>
    <s v=""/>
    <d v="2021-06-16T00:00:00"/>
    <d v="2022-01-10T00:00:00"/>
    <n v="2260.16"/>
    <n v="1634.85"/>
    <s v="OK"/>
    <s v=""/>
    <s v=""/>
    <n v="155.95154372623574"/>
    <n v="3895.0099999999998"/>
    <n v="203441.43"/>
    <n v="0"/>
    <x v="0"/>
    <n v="0"/>
    <n v="1315"/>
  </r>
  <r>
    <x v="2"/>
    <s v="U0046"/>
    <x v="2"/>
    <n v="1127"/>
    <x v="0"/>
    <x v="35"/>
    <n v="9292.85"/>
    <x v="38"/>
    <n v="111514.20000000001"/>
    <s v=""/>
    <d v="2021-08-13T00:00:00"/>
    <d v="2025-07-24T00:00:00"/>
    <n v="1793.44"/>
    <n v="1129.1500000000001"/>
    <s v="OK"/>
    <s v=""/>
    <s v=""/>
    <n v="98.947826086956525"/>
    <n v="2922.59"/>
    <n v="110385.05"/>
    <n v="0"/>
    <x v="0"/>
    <n v="0"/>
    <n v="1127"/>
  </r>
  <r>
    <x v="0"/>
    <s v="U0047"/>
    <x v="3"/>
    <n v="1449"/>
    <x v="0"/>
    <x v="36"/>
    <n v="21330.01"/>
    <x v="39"/>
    <n v="255960.12"/>
    <s v=""/>
    <d v="2022-07-30T00:00:00"/>
    <d v="2024-03-19T00:00:00"/>
    <n v="2690.54"/>
    <n v="1938.54"/>
    <s v="OK"/>
    <s v=""/>
    <s v=""/>
    <n v="176.64604554865423"/>
    <n v="4629.08"/>
    <n v="254021.58"/>
    <n v="0"/>
    <x v="0"/>
    <n v="0"/>
    <n v="1449"/>
  </r>
  <r>
    <x v="6"/>
    <s v="U0048"/>
    <x v="0"/>
    <n v="45"/>
    <x v="0"/>
    <x v="31"/>
    <n v="672.55"/>
    <x v="40"/>
    <n v="8070.5999999999995"/>
    <s v=""/>
    <d v="2021-06-25T00:00:00"/>
    <d v="2023-08-18T00:00:00"/>
    <n v="73.95"/>
    <n v="63.19"/>
    <s v="OK"/>
    <s v=""/>
    <s v=""/>
    <n v="179.34666666666666"/>
    <n v="137.13999999999999"/>
    <n v="8007.4100000000008"/>
    <n v="0"/>
    <x v="0"/>
    <n v="0"/>
    <n v="45"/>
  </r>
  <r>
    <x v="7"/>
    <s v="U0049"/>
    <x v="3"/>
    <n v="324"/>
    <x v="0"/>
    <x v="37"/>
    <n v="3330.13"/>
    <x v="41"/>
    <n v="39961.56"/>
    <s v=""/>
    <d v="2021-06-26T00:00:00"/>
    <d v="2023-05-13T00:00:00"/>
    <n v="881.01"/>
    <n v="774"/>
    <s v="OK"/>
    <s v=""/>
    <s v=""/>
    <n v="123.33814814814814"/>
    <n v="1655.01"/>
    <n v="39187.56"/>
    <n v="0"/>
    <x v="0"/>
    <n v="0"/>
    <n v="324"/>
  </r>
  <r>
    <x v="1"/>
    <s v="U0050"/>
    <x v="0"/>
    <n v="1278"/>
    <x v="0"/>
    <x v="15"/>
    <n v="14012.6"/>
    <x v="42"/>
    <n v="168151.2"/>
    <s v=""/>
    <d v="2023-05-26T00:00:00"/>
    <d v="2025-02-18T00:00:00"/>
    <n v="2978.05"/>
    <n v="2596.29"/>
    <s v="OK"/>
    <s v=""/>
    <s v=""/>
    <n v="131.57370892018781"/>
    <n v="5574.34"/>
    <n v="165554.91"/>
    <n v="0"/>
    <x v="0"/>
    <n v="0"/>
    <n v="1278"/>
  </r>
  <r>
    <x v="2"/>
    <s v="U0051"/>
    <x v="2"/>
    <n v="1127"/>
    <x v="0"/>
    <x v="38"/>
    <n v="10329.219999999999"/>
    <x v="43"/>
    <n v="123950.63999999998"/>
    <s v=""/>
    <d v="2023-11-13T00:00:00"/>
    <d v="2028-09-24T00:00:00"/>
    <n v="1359.55"/>
    <n v="1127.1199999999999"/>
    <s v="OK"/>
    <s v=""/>
    <s v=""/>
    <n v="109.98282165039929"/>
    <n v="2486.67"/>
    <n v="122823.52"/>
    <n v="31"/>
    <x v="3"/>
    <n v="0"/>
    <n v="1127"/>
  </r>
  <r>
    <x v="3"/>
    <s v="U0052"/>
    <x v="2"/>
    <n v="222"/>
    <x v="1"/>
    <x v="1"/>
    <n v="0"/>
    <x v="1"/>
    <n v="0"/>
    <s v=""/>
    <m/>
    <m/>
    <n v="265.77999999999997"/>
    <n v="164.88"/>
    <s v="OK"/>
    <s v=""/>
    <s v="Rent&lt;=0"/>
    <s v=""/>
    <n v="430.65999999999997"/>
    <s v=""/>
    <n v="0"/>
    <x v="1"/>
    <n v="222"/>
    <n v="0"/>
  </r>
  <r>
    <x v="4"/>
    <s v="U0053"/>
    <x v="3"/>
    <n v="919"/>
    <x v="0"/>
    <x v="39"/>
    <n v="7589.27"/>
    <x v="44"/>
    <n v="91071.24"/>
    <s v=""/>
    <d v="2023-05-09T00:00:00"/>
    <d v="2025-02-27T00:00:00"/>
    <n v="2538.62"/>
    <n v="533.03"/>
    <s v="OK"/>
    <s v=""/>
    <s v=""/>
    <n v="99.098193688792165"/>
    <n v="3071.6499999999996"/>
    <n v="90538.21"/>
    <n v="0"/>
    <x v="0"/>
    <n v="0"/>
    <n v="919"/>
  </r>
  <r>
    <x v="6"/>
    <s v="U0054"/>
    <x v="3"/>
    <n v="124"/>
    <x v="0"/>
    <x v="40"/>
    <n v="1156.96"/>
    <x v="45"/>
    <n v="13883.52"/>
    <s v=""/>
    <d v="2022-06-09T00:00:00"/>
    <d v="2026-02-02T00:00:00"/>
    <n v="342.65"/>
    <n v="304.57"/>
    <s v="OK"/>
    <s v=""/>
    <s v=""/>
    <n v="111.96387096774194"/>
    <n v="647.22"/>
    <n v="13578.95"/>
    <n v="0"/>
    <x v="0"/>
    <n v="0"/>
    <n v="124"/>
  </r>
  <r>
    <x v="5"/>
    <s v="U0055"/>
    <x v="2"/>
    <n v="229"/>
    <x v="1"/>
    <x v="1"/>
    <n v="0"/>
    <x v="1"/>
    <n v="0"/>
    <s v=""/>
    <m/>
    <m/>
    <n v="579.84"/>
    <n v="241.56"/>
    <s v="OK"/>
    <s v=""/>
    <s v="Rent&lt;=0"/>
    <s v=""/>
    <n v="821.40000000000009"/>
    <s v=""/>
    <n v="0"/>
    <x v="1"/>
    <n v="229"/>
    <n v="0"/>
  </r>
  <r>
    <x v="4"/>
    <s v="U0056"/>
    <x v="2"/>
    <n v="536"/>
    <x v="0"/>
    <x v="41"/>
    <n v="7105.28"/>
    <x v="46"/>
    <n v="85263.360000000001"/>
    <s v=""/>
    <d v="2021-07-07T00:00:00"/>
    <d v="2024-10-17T00:00:00"/>
    <n v="718.88"/>
    <n v="844.73"/>
    <s v="OK"/>
    <s v=""/>
    <s v=""/>
    <n v="159.07343283582091"/>
    <n v="1563.6100000000001"/>
    <n v="84418.63"/>
    <n v="0"/>
    <x v="0"/>
    <n v="0"/>
    <n v="536"/>
  </r>
  <r>
    <x v="3"/>
    <s v="U0057"/>
    <x v="2"/>
    <n v="1342"/>
    <x v="0"/>
    <x v="42"/>
    <n v="9440.69"/>
    <x v="47"/>
    <n v="113288.28"/>
    <s v=""/>
    <d v="2022-04-12T00:00:00"/>
    <d v="2024-12-12T00:00:00"/>
    <n v="1382.89"/>
    <n v="1256.8599999999999"/>
    <s v="OK"/>
    <s v=""/>
    <s v=""/>
    <n v="84.417496274217584"/>
    <n v="2639.75"/>
    <n v="112031.42"/>
    <n v="0"/>
    <x v="0"/>
    <n v="0"/>
    <n v="1342"/>
  </r>
  <r>
    <x v="0"/>
    <s v="U0058"/>
    <x v="1"/>
    <n v="182"/>
    <x v="0"/>
    <x v="43"/>
    <n v="1195.51"/>
    <x v="48"/>
    <n v="14346.119999999999"/>
    <s v=""/>
    <d v="2022-01-10T00:00:00"/>
    <d v="2022-10-19T00:00:00"/>
    <n v="395.43"/>
    <n v="193.1"/>
    <s v="OK"/>
    <s v=""/>
    <s v=""/>
    <n v="78.824835164835164"/>
    <n v="588.53"/>
    <n v="14153.02"/>
    <n v="0"/>
    <x v="0"/>
    <n v="0"/>
    <n v="182"/>
  </r>
  <r>
    <x v="6"/>
    <s v="U0059"/>
    <x v="0"/>
    <n v="863"/>
    <x v="0"/>
    <x v="44"/>
    <n v="14963.99"/>
    <x v="49"/>
    <n v="179567.88"/>
    <s v=""/>
    <d v="2023-05-08T00:00:00"/>
    <d v="2027-12-12T00:00:00"/>
    <n v="1798.2"/>
    <n v="1220.48"/>
    <s v="OK"/>
    <s v=""/>
    <s v=""/>
    <n v="208.07402085747393"/>
    <n v="3018.6800000000003"/>
    <n v="178347.4"/>
    <n v="21"/>
    <x v="3"/>
    <n v="0"/>
    <n v="863"/>
  </r>
  <r>
    <x v="4"/>
    <s v="U0060"/>
    <x v="3"/>
    <n v="1307"/>
    <x v="1"/>
    <x v="1"/>
    <n v="0"/>
    <x v="1"/>
    <n v="0"/>
    <s v=""/>
    <m/>
    <m/>
    <n v="3737.68"/>
    <n v="3017.46"/>
    <s v="OK"/>
    <s v=""/>
    <s v="Rent&lt;=0"/>
    <s v=""/>
    <n v="6755.1399999999994"/>
    <s v=""/>
    <n v="0"/>
    <x v="1"/>
    <n v="1307"/>
    <n v="0"/>
  </r>
  <r>
    <x v="4"/>
    <s v="U0061"/>
    <x v="2"/>
    <n v="703"/>
    <x v="0"/>
    <x v="23"/>
    <n v="5644.59"/>
    <x v="50"/>
    <n v="67735.08"/>
    <s v=""/>
    <d v="2023-10-17T00:00:00"/>
    <d v="2028-02-06T00:00:00"/>
    <n v="1776.55"/>
    <n v="1574.09"/>
    <s v="OK"/>
    <s v=""/>
    <s v=""/>
    <n v="96.351465149359882"/>
    <n v="3350.64"/>
    <n v="66160.990000000005"/>
    <n v="23"/>
    <x v="3"/>
    <n v="0"/>
    <n v="703"/>
  </r>
  <r>
    <x v="3"/>
    <s v="U0062"/>
    <x v="2"/>
    <n v="1184"/>
    <x v="0"/>
    <x v="45"/>
    <n v="14898.1"/>
    <x v="51"/>
    <n v="178777.2"/>
    <s v=""/>
    <d v="2023-10-09T00:00:00"/>
    <d v="2025-10-29T00:00:00"/>
    <n v="1650.48"/>
    <n v="2900.02"/>
    <s v="OK"/>
    <s v=""/>
    <s v=""/>
    <n v="150.99425675675676"/>
    <n v="4550.5"/>
    <n v="175877.18000000002"/>
    <n v="0"/>
    <x v="0"/>
    <n v="0"/>
    <n v="1184"/>
  </r>
  <r>
    <x v="3"/>
    <s v="U0063"/>
    <x v="2"/>
    <n v="782"/>
    <x v="0"/>
    <x v="46"/>
    <n v="13863.33"/>
    <x v="52"/>
    <n v="166359.96"/>
    <s v=""/>
    <d v="2023-04-19T00:00:00"/>
    <d v="2024-09-16T00:00:00"/>
    <n v="2218.8000000000002"/>
    <n v="527.19000000000005"/>
    <s v="OK"/>
    <s v=""/>
    <s v=""/>
    <n v="212.73652173913044"/>
    <n v="2745.9900000000002"/>
    <n v="165832.76999999999"/>
    <n v="0"/>
    <x v="0"/>
    <n v="0"/>
    <n v="782"/>
  </r>
  <r>
    <x v="1"/>
    <s v="U0064"/>
    <x v="3"/>
    <n v="427"/>
    <x v="0"/>
    <x v="12"/>
    <n v="5377.03"/>
    <x v="53"/>
    <n v="64524.36"/>
    <s v=""/>
    <d v="2021-07-13T00:00:00"/>
    <d v="2025-10-12T00:00:00"/>
    <n v="842.2"/>
    <n v="229.69"/>
    <s v="OK"/>
    <s v=""/>
    <s v=""/>
    <n v="151.11091334894613"/>
    <n v="1071.8900000000001"/>
    <n v="64294.67"/>
    <n v="0"/>
    <x v="0"/>
    <n v="0"/>
    <n v="427"/>
  </r>
  <r>
    <x v="2"/>
    <s v="U0065"/>
    <x v="1"/>
    <n v="505"/>
    <x v="0"/>
    <x v="32"/>
    <n v="4749.78"/>
    <x v="54"/>
    <n v="56997.36"/>
    <s v=""/>
    <d v="2022-06-06T00:00:00"/>
    <d v="2023-07-27T00:00:00"/>
    <n v="901.71"/>
    <n v="844.76"/>
    <s v="OK"/>
    <s v=""/>
    <s v=""/>
    <n v="112.86605940594059"/>
    <n v="1746.47"/>
    <n v="56152.6"/>
    <n v="0"/>
    <x v="0"/>
    <n v="0"/>
    <n v="505"/>
  </r>
  <r>
    <x v="2"/>
    <s v="U0066"/>
    <x v="2"/>
    <n v="706"/>
    <x v="0"/>
    <x v="37"/>
    <n v="8659.67"/>
    <x v="55"/>
    <n v="103916.04000000001"/>
    <s v=""/>
    <d v="2023-10-04T00:00:00"/>
    <d v="2026-04-22T00:00:00"/>
    <n v="2075.9299999999998"/>
    <n v="1097.98"/>
    <s v="OK"/>
    <s v=""/>
    <s v=""/>
    <n v="147.1898583569405"/>
    <n v="3173.91"/>
    <n v="102818.06"/>
    <n v="2"/>
    <x v="0"/>
    <n v="0"/>
    <n v="706"/>
  </r>
  <r>
    <x v="2"/>
    <s v="U0067"/>
    <x v="1"/>
    <n v="866"/>
    <x v="0"/>
    <x v="47"/>
    <n v="12540.53"/>
    <x v="56"/>
    <n v="150486.36000000002"/>
    <s v=""/>
    <d v="2023-02-26T00:00:00"/>
    <d v="2028-02-10T00:00:00"/>
    <n v="2397.09"/>
    <n v="1941.58"/>
    <s v="OK"/>
    <s v=""/>
    <s v=""/>
    <n v="173.77177829099307"/>
    <n v="4338.67"/>
    <n v="148544.78"/>
    <n v="23"/>
    <x v="3"/>
    <n v="0"/>
    <n v="866"/>
  </r>
  <r>
    <x v="6"/>
    <s v="U0068"/>
    <x v="1"/>
    <n v="1372"/>
    <x v="0"/>
    <x v="43"/>
    <n v="16144.43"/>
    <x v="57"/>
    <n v="193733.16"/>
    <s v=""/>
    <d v="2021-08-27T00:00:00"/>
    <d v="2023-07-12T00:00:00"/>
    <n v="3629.66"/>
    <n v="833.68"/>
    <s v="OK"/>
    <s v=""/>
    <s v=""/>
    <n v="141.20492711370264"/>
    <n v="4463.34"/>
    <n v="192899.48"/>
    <n v="0"/>
    <x v="0"/>
    <n v="0"/>
    <n v="1372"/>
  </r>
  <r>
    <x v="1"/>
    <s v="U0069"/>
    <x v="0"/>
    <n v="1200"/>
    <x v="0"/>
    <x v="48"/>
    <n v="14950.96"/>
    <x v="58"/>
    <n v="179411.52"/>
    <s v=""/>
    <d v="2022-02-26T00:00:00"/>
    <d v="2027-01-27T00:00:00"/>
    <n v="2328.38"/>
    <n v="1199.33"/>
    <s v="OK"/>
    <s v=""/>
    <s v=""/>
    <n v="149.50959999999998"/>
    <n v="3527.71"/>
    <n v="178212.19"/>
    <n v="11"/>
    <x v="4"/>
    <n v="0"/>
    <n v="1200"/>
  </r>
  <r>
    <x v="2"/>
    <s v="U0070"/>
    <x v="1"/>
    <n v="615"/>
    <x v="0"/>
    <x v="49"/>
    <n v="7695.07"/>
    <x v="59"/>
    <n v="92340.84"/>
    <s v=""/>
    <d v="2022-08-26T00:00:00"/>
    <d v="2026-08-20T00:00:00"/>
    <n v="809.95"/>
    <n v="1409.29"/>
    <s v="OK"/>
    <s v=""/>
    <s v=""/>
    <n v="150.14770731707316"/>
    <n v="2219.2399999999998"/>
    <n v="90931.55"/>
    <n v="6"/>
    <x v="2"/>
    <n v="0"/>
    <n v="615"/>
  </r>
  <r>
    <x v="7"/>
    <s v="U0071"/>
    <x v="1"/>
    <n v="774"/>
    <x v="0"/>
    <x v="50"/>
    <n v="12430.3"/>
    <x v="60"/>
    <n v="149163.59999999998"/>
    <s v=""/>
    <d v="2022-03-30T00:00:00"/>
    <d v="2023-12-30T00:00:00"/>
    <n v="1812.45"/>
    <n v="1927.42"/>
    <s v="OK"/>
    <s v=""/>
    <s v=""/>
    <n v="192.71782945736436"/>
    <n v="3739.87"/>
    <n v="147236.18"/>
    <n v="0"/>
    <x v="0"/>
    <n v="0"/>
    <n v="774"/>
  </r>
  <r>
    <x v="7"/>
    <s v="U0072"/>
    <x v="2"/>
    <n v="459"/>
    <x v="0"/>
    <x v="51"/>
    <n v="6229.63"/>
    <x v="61"/>
    <n v="74755.56"/>
    <s v=""/>
    <d v="2023-08-28T00:00:00"/>
    <d v="2024-03-23T00:00:00"/>
    <n v="839.05"/>
    <n v="1029.51"/>
    <s v="OK"/>
    <s v=""/>
    <s v=""/>
    <n v="162.86614379084966"/>
    <n v="1868.56"/>
    <n v="73726.05"/>
    <n v="0"/>
    <x v="0"/>
    <n v="0"/>
    <n v="459"/>
  </r>
  <r>
    <x v="0"/>
    <s v="U0073"/>
    <x v="1"/>
    <n v="927"/>
    <x v="1"/>
    <x v="1"/>
    <n v="0"/>
    <x v="1"/>
    <n v="0"/>
    <s v=""/>
    <m/>
    <m/>
    <n v="1487.73"/>
    <n v="523.38"/>
    <s v="OK"/>
    <s v=""/>
    <s v="Rent&lt;=0"/>
    <s v=""/>
    <n v="2011.1100000000001"/>
    <s v=""/>
    <n v="0"/>
    <x v="1"/>
    <n v="927"/>
    <n v="0"/>
  </r>
  <r>
    <x v="5"/>
    <s v="U0074"/>
    <x v="0"/>
    <n v="1369"/>
    <x v="0"/>
    <x v="10"/>
    <n v="9098.56"/>
    <x v="62"/>
    <n v="109182.72"/>
    <s v=""/>
    <d v="2021-11-18T00:00:00"/>
    <d v="2025-11-28T00:00:00"/>
    <n v="3035.81"/>
    <n v="789.26"/>
    <s v="OK"/>
    <s v=""/>
    <s v=""/>
    <n v="79.7536303871439"/>
    <n v="3825.0699999999997"/>
    <n v="108393.46"/>
    <n v="0"/>
    <x v="0"/>
    <n v="0"/>
    <n v="1369"/>
  </r>
  <r>
    <x v="4"/>
    <s v="U0075"/>
    <x v="0"/>
    <n v="1119"/>
    <x v="1"/>
    <x v="1"/>
    <n v="0"/>
    <x v="1"/>
    <n v="0"/>
    <s v=""/>
    <m/>
    <m/>
    <n v="1460.01"/>
    <n v="1920.7"/>
    <s v="OK"/>
    <s v=""/>
    <s v="Rent&lt;=0"/>
    <s v=""/>
    <n v="3380.71"/>
    <s v=""/>
    <n v="0"/>
    <x v="1"/>
    <n v="1119"/>
    <n v="0"/>
  </r>
  <r>
    <x v="3"/>
    <s v="U0076"/>
    <x v="2"/>
    <n v="993"/>
    <x v="0"/>
    <x v="52"/>
    <n v="17011.32"/>
    <x v="63"/>
    <n v="204135.84"/>
    <s v=""/>
    <d v="2022-03-02T00:00:00"/>
    <d v="2025-11-01T00:00:00"/>
    <n v="2542.87"/>
    <n v="1820.53"/>
    <s v="OK"/>
    <s v=""/>
    <s v=""/>
    <n v="205.57486404833836"/>
    <n v="4363.3999999999996"/>
    <n v="202315.31"/>
    <n v="0"/>
    <x v="0"/>
    <n v="0"/>
    <n v="993"/>
  </r>
  <r>
    <x v="3"/>
    <s v="U0077"/>
    <x v="1"/>
    <n v="1099"/>
    <x v="0"/>
    <x v="8"/>
    <n v="11054.6"/>
    <x v="64"/>
    <n v="132655.20000000001"/>
    <s v=""/>
    <d v="2022-03-19T00:00:00"/>
    <d v="2023-04-04T00:00:00"/>
    <n v="1524.91"/>
    <n v="789.8"/>
    <s v="OK"/>
    <s v=""/>
    <s v=""/>
    <n v="120.7053685168335"/>
    <n v="2314.71"/>
    <n v="131865.40000000002"/>
    <n v="0"/>
    <x v="0"/>
    <n v="0"/>
    <n v="1099"/>
  </r>
  <r>
    <x v="3"/>
    <s v="U0078"/>
    <x v="1"/>
    <n v="943"/>
    <x v="0"/>
    <x v="53"/>
    <n v="14044.29"/>
    <x v="65"/>
    <n v="168531.48"/>
    <s v=""/>
    <d v="2022-03-28T00:00:00"/>
    <d v="2024-12-28T00:00:00"/>
    <n v="1699.11"/>
    <n v="726.23"/>
    <s v="OK"/>
    <s v=""/>
    <s v=""/>
    <n v="178.71843054082717"/>
    <n v="2425.34"/>
    <n v="167805.25"/>
    <n v="0"/>
    <x v="0"/>
    <n v="0"/>
    <n v="943"/>
  </r>
  <r>
    <x v="3"/>
    <s v="U0079"/>
    <x v="2"/>
    <n v="1382"/>
    <x v="0"/>
    <x v="54"/>
    <n v="13899.61"/>
    <x v="66"/>
    <n v="166795.32"/>
    <s v=""/>
    <d v="2022-01-21T00:00:00"/>
    <d v="2023-03-16T00:00:00"/>
    <n v="4141.54"/>
    <n v="1746.2"/>
    <s v="OK"/>
    <s v=""/>
    <s v=""/>
    <n v="120.69125904486252"/>
    <n v="5887.74"/>
    <n v="165049.12"/>
    <n v="0"/>
    <x v="0"/>
    <n v="0"/>
    <n v="1382"/>
  </r>
  <r>
    <x v="0"/>
    <s v="U0080"/>
    <x v="0"/>
    <n v="1269"/>
    <x v="0"/>
    <x v="55"/>
    <n v="14665.12"/>
    <x v="67"/>
    <n v="175981.44"/>
    <s v=""/>
    <d v="2021-10-20T00:00:00"/>
    <d v="2023-12-19T00:00:00"/>
    <n v="2450.9499999999998"/>
    <n v="1901.64"/>
    <s v="OK"/>
    <s v=""/>
    <s v=""/>
    <n v="138.67725768321515"/>
    <n v="4352.59"/>
    <n v="174079.8"/>
    <n v="0"/>
    <x v="0"/>
    <n v="0"/>
    <n v="1269"/>
  </r>
  <r>
    <x v="3"/>
    <s v="U0081"/>
    <x v="0"/>
    <n v="810"/>
    <x v="0"/>
    <x v="56"/>
    <n v="10675.32"/>
    <x v="68"/>
    <n v="128103.84"/>
    <s v=""/>
    <d v="2021-07-27T00:00:00"/>
    <d v="2026-04-24T00:00:00"/>
    <n v="2337.38"/>
    <n v="1229.04"/>
    <s v="OK"/>
    <s v=""/>
    <s v=""/>
    <n v="158.1528888888889"/>
    <n v="3566.42"/>
    <n v="126874.8"/>
    <n v="2"/>
    <x v="0"/>
    <n v="0"/>
    <n v="810"/>
  </r>
  <r>
    <x v="0"/>
    <s v="U0082"/>
    <x v="3"/>
    <n v="264"/>
    <x v="0"/>
    <x v="57"/>
    <n v="2000.76"/>
    <x v="69"/>
    <n v="24009.119999999999"/>
    <s v=""/>
    <d v="2023-08-15T00:00:00"/>
    <d v="2027-05-02T00:00:00"/>
    <n v="591.83000000000004"/>
    <n v="527.71"/>
    <s v="OK"/>
    <s v=""/>
    <s v=""/>
    <n v="90.943636363636358"/>
    <n v="1119.54"/>
    <n v="23481.41"/>
    <n v="14"/>
    <x v="3"/>
    <n v="0"/>
    <n v="264"/>
  </r>
  <r>
    <x v="2"/>
    <s v="U0083"/>
    <x v="3"/>
    <n v="1027"/>
    <x v="0"/>
    <x v="24"/>
    <n v="17595.91"/>
    <x v="70"/>
    <n v="211150.91999999998"/>
    <s v=""/>
    <d v="2023-01-13T00:00:00"/>
    <d v="2024-10-16T00:00:00"/>
    <n v="2899.64"/>
    <n v="1582.88"/>
    <s v="OK"/>
    <s v=""/>
    <s v=""/>
    <n v="205.59972736124635"/>
    <n v="4482.5200000000004"/>
    <n v="209568.04"/>
    <n v="0"/>
    <x v="0"/>
    <n v="0"/>
    <n v="1027"/>
  </r>
  <r>
    <x v="5"/>
    <s v="U0084"/>
    <x v="3"/>
    <n v="532"/>
    <x v="0"/>
    <x v="6"/>
    <n v="4854.97"/>
    <x v="71"/>
    <n v="58259.64"/>
    <s v=""/>
    <d v="2021-12-27T00:00:00"/>
    <d v="2026-05-11T00:00:00"/>
    <n v="1101.52"/>
    <n v="1322.23"/>
    <s v="OK"/>
    <s v=""/>
    <s v=""/>
    <n v="109.5106015037594"/>
    <n v="2423.75"/>
    <n v="56937.409999999996"/>
    <n v="2"/>
    <x v="0"/>
    <n v="0"/>
    <n v="532"/>
  </r>
  <r>
    <x v="2"/>
    <s v="U0085"/>
    <x v="3"/>
    <n v="851"/>
    <x v="1"/>
    <x v="1"/>
    <n v="0"/>
    <x v="1"/>
    <n v="0"/>
    <s v=""/>
    <m/>
    <m/>
    <n v="1920.99"/>
    <n v="428.76"/>
    <s v="OK"/>
    <s v=""/>
    <s v="Rent&lt;=0"/>
    <s v=""/>
    <n v="2349.75"/>
    <s v=""/>
    <n v="0"/>
    <x v="1"/>
    <n v="851"/>
    <n v="0"/>
  </r>
  <r>
    <x v="3"/>
    <s v="U0086"/>
    <x v="2"/>
    <n v="1278"/>
    <x v="0"/>
    <x v="58"/>
    <n v="22328.23"/>
    <x v="72"/>
    <n v="267938.76"/>
    <s v=""/>
    <d v="2023-11-05T00:00:00"/>
    <d v="2025-01-22T00:00:00"/>
    <n v="1461.39"/>
    <n v="1872.63"/>
    <s v="OK"/>
    <s v=""/>
    <s v=""/>
    <n v="209.65474178403755"/>
    <n v="3334.0200000000004"/>
    <n v="266066.13"/>
    <n v="0"/>
    <x v="0"/>
    <n v="0"/>
    <n v="1278"/>
  </r>
  <r>
    <x v="4"/>
    <s v="U0087"/>
    <x v="2"/>
    <n v="1251"/>
    <x v="0"/>
    <x v="12"/>
    <n v="21938.37"/>
    <x v="73"/>
    <n v="263260.44"/>
    <s v=""/>
    <d v="2022-02-19T00:00:00"/>
    <d v="2023-12-22T00:00:00"/>
    <n v="1656.17"/>
    <n v="2373.21"/>
    <s v="OK"/>
    <s v=""/>
    <s v=""/>
    <n v="210.44"/>
    <n v="4029.38"/>
    <n v="260887.23"/>
    <n v="0"/>
    <x v="0"/>
    <n v="0"/>
    <n v="1251"/>
  </r>
  <r>
    <x v="6"/>
    <s v="U0088"/>
    <x v="2"/>
    <n v="1493"/>
    <x v="1"/>
    <x v="1"/>
    <n v="0"/>
    <x v="1"/>
    <n v="0"/>
    <s v=""/>
    <m/>
    <m/>
    <n v="3277.63"/>
    <n v="1764.78"/>
    <s v="OK"/>
    <s v=""/>
    <s v="Rent&lt;=0"/>
    <s v=""/>
    <n v="5042.41"/>
    <s v=""/>
    <n v="0"/>
    <x v="1"/>
    <n v="1493"/>
    <n v="0"/>
  </r>
  <r>
    <x v="4"/>
    <s v="U0089"/>
    <x v="2"/>
    <n v="261"/>
    <x v="0"/>
    <x v="59"/>
    <n v="3617.72"/>
    <x v="74"/>
    <n v="43412.639999999999"/>
    <s v=""/>
    <d v="2021-08-19T00:00:00"/>
    <d v="2022-12-17T00:00:00"/>
    <n v="414.92"/>
    <n v="378.34"/>
    <s v="OK"/>
    <s v=""/>
    <s v=""/>
    <n v="166.3319540229885"/>
    <n v="793.26"/>
    <n v="43034.3"/>
    <n v="0"/>
    <x v="0"/>
    <n v="0"/>
    <n v="261"/>
  </r>
  <r>
    <x v="5"/>
    <s v="U0090"/>
    <x v="2"/>
    <n v="1123"/>
    <x v="0"/>
    <x v="60"/>
    <n v="8230.8700000000008"/>
    <x v="75"/>
    <n v="98770.44"/>
    <s v=""/>
    <d v="2023-07-17T00:00:00"/>
    <d v="2025-10-04T00:00:00"/>
    <n v="3281.53"/>
    <n v="1861.45"/>
    <s v="OK"/>
    <s v=""/>
    <s v=""/>
    <n v="87.95230632235085"/>
    <n v="5142.9800000000005"/>
    <n v="96908.99"/>
    <n v="0"/>
    <x v="0"/>
    <n v="0"/>
    <n v="1123"/>
  </r>
  <r>
    <x v="3"/>
    <s v="U0091"/>
    <x v="3"/>
    <n v="1373"/>
    <x v="0"/>
    <x v="61"/>
    <n v="15020.63"/>
    <x v="76"/>
    <n v="180247.56"/>
    <s v=""/>
    <d v="2022-12-01T00:00:00"/>
    <d v="2027-09-17T00:00:00"/>
    <n v="3865.96"/>
    <n v="2717.32"/>
    <s v="OK"/>
    <s v=""/>
    <s v=""/>
    <n v="131.28008739985432"/>
    <n v="6583.2800000000007"/>
    <n v="177530.23999999999"/>
    <n v="18"/>
    <x v="3"/>
    <n v="0"/>
    <n v="1373"/>
  </r>
  <r>
    <x v="7"/>
    <s v="U0092"/>
    <x v="0"/>
    <n v="231"/>
    <x v="0"/>
    <x v="62"/>
    <n v="2751.24"/>
    <x v="77"/>
    <n v="33014.879999999997"/>
    <s v=""/>
    <d v="2022-08-27T00:00:00"/>
    <d v="2025-02-01T00:00:00"/>
    <n v="639.9"/>
    <n v="403.5"/>
    <s v="OK"/>
    <s v=""/>
    <s v=""/>
    <n v="142.92155844155843"/>
    <n v="1043.4000000000001"/>
    <n v="32611.379999999997"/>
    <n v="0"/>
    <x v="0"/>
    <n v="0"/>
    <n v="231"/>
  </r>
  <r>
    <x v="4"/>
    <s v="U0093"/>
    <x v="1"/>
    <n v="1023"/>
    <x v="0"/>
    <x v="27"/>
    <n v="6654.49"/>
    <x v="78"/>
    <n v="79853.88"/>
    <s v=""/>
    <d v="2022-05-12T00:00:00"/>
    <d v="2022-12-29T00:00:00"/>
    <n v="1631.69"/>
    <n v="872.68"/>
    <s v="OK"/>
    <s v=""/>
    <s v=""/>
    <n v="78.05853372434018"/>
    <n v="2504.37"/>
    <n v="78981.200000000012"/>
    <n v="0"/>
    <x v="0"/>
    <n v="0"/>
    <n v="1023"/>
  </r>
  <r>
    <x v="7"/>
    <s v="U0094"/>
    <x v="1"/>
    <n v="497"/>
    <x v="0"/>
    <x v="63"/>
    <n v="4832.59"/>
    <x v="79"/>
    <n v="57991.08"/>
    <s v=""/>
    <d v="2022-04-14T00:00:00"/>
    <d v="2027-01-09T00:00:00"/>
    <n v="757.5"/>
    <n v="752.15"/>
    <s v="OK"/>
    <s v=""/>
    <s v=""/>
    <n v="116.68225352112677"/>
    <n v="1509.65"/>
    <n v="57238.93"/>
    <n v="10"/>
    <x v="4"/>
    <n v="0"/>
    <n v="497"/>
  </r>
  <r>
    <x v="7"/>
    <s v="U0095"/>
    <x v="1"/>
    <n v="622"/>
    <x v="1"/>
    <x v="1"/>
    <n v="0"/>
    <x v="1"/>
    <n v="0"/>
    <s v=""/>
    <m/>
    <m/>
    <n v="1683.4"/>
    <n v="1169.6500000000001"/>
    <s v="OK"/>
    <s v=""/>
    <s v="Rent&lt;=0"/>
    <s v=""/>
    <n v="2853.05"/>
    <s v=""/>
    <n v="0"/>
    <x v="1"/>
    <n v="622"/>
    <n v="0"/>
  </r>
  <r>
    <x v="5"/>
    <s v="U0096"/>
    <x v="0"/>
    <n v="849"/>
    <x v="0"/>
    <x v="64"/>
    <n v="10360.540000000001"/>
    <x v="80"/>
    <n v="124326.48000000001"/>
    <s v=""/>
    <d v="2023-01-29T00:00:00"/>
    <d v="2025-10-07T00:00:00"/>
    <n v="1006.94"/>
    <n v="2024.53"/>
    <s v="OK"/>
    <s v=""/>
    <s v=""/>
    <n v="146.43872791519433"/>
    <n v="3031.4700000000003"/>
    <n v="122301.95"/>
    <n v="0"/>
    <x v="0"/>
    <n v="0"/>
    <n v="849"/>
  </r>
  <r>
    <x v="4"/>
    <s v="U0097"/>
    <x v="2"/>
    <n v="1344"/>
    <x v="0"/>
    <x v="50"/>
    <n v="17431.07"/>
    <x v="81"/>
    <n v="209172.84"/>
    <s v=""/>
    <d v="2022-05-04T00:00:00"/>
    <d v="2026-12-07T00:00:00"/>
    <n v="1941.25"/>
    <n v="1585.33"/>
    <s v="OK"/>
    <s v=""/>
    <s v=""/>
    <n v="155.63455357142857"/>
    <n v="3526.58"/>
    <n v="207587.51"/>
    <n v="9"/>
    <x v="4"/>
    <n v="0"/>
    <n v="1344"/>
  </r>
  <r>
    <x v="2"/>
    <s v="U0098"/>
    <x v="3"/>
    <n v="116"/>
    <x v="0"/>
    <x v="25"/>
    <n v="822.62"/>
    <x v="82"/>
    <n v="9871.44"/>
    <s v=""/>
    <d v="2022-12-20T00:00:00"/>
    <d v="2027-03-20T00:00:00"/>
    <n v="223.71"/>
    <n v="73.53"/>
    <s v="OK"/>
    <s v=""/>
    <s v=""/>
    <n v="85.098620689655178"/>
    <n v="297.24"/>
    <n v="9797.91"/>
    <n v="13"/>
    <x v="3"/>
    <n v="0"/>
    <n v="116"/>
  </r>
  <r>
    <x v="7"/>
    <s v="U0099"/>
    <x v="1"/>
    <n v="183"/>
    <x v="0"/>
    <x v="11"/>
    <n v="2803.49"/>
    <x v="83"/>
    <n v="33641.879999999997"/>
    <s v=""/>
    <d v="2021-08-19T00:00:00"/>
    <d v="2024-11-16T00:00:00"/>
    <n v="539.13"/>
    <n v="268.35000000000002"/>
    <s v="OK"/>
    <s v=""/>
    <s v=""/>
    <n v="183.83540983606557"/>
    <n v="807.48"/>
    <n v="33373.53"/>
    <n v="0"/>
    <x v="0"/>
    <n v="0"/>
    <n v="183"/>
  </r>
  <r>
    <x v="1"/>
    <s v="U0100"/>
    <x v="2"/>
    <n v="1395"/>
    <x v="1"/>
    <x v="1"/>
    <n v="0"/>
    <x v="1"/>
    <n v="0"/>
    <s v=""/>
    <m/>
    <m/>
    <n v="3231.81"/>
    <n v="1310.99"/>
    <s v="OK"/>
    <s v=""/>
    <s v="Rent&lt;=0"/>
    <s v=""/>
    <n v="4542.8"/>
    <s v=""/>
    <n v="0"/>
    <x v="1"/>
    <n v="1395"/>
    <n v="0"/>
  </r>
  <r>
    <x v="5"/>
    <s v="U0101"/>
    <x v="0"/>
    <n v="1065"/>
    <x v="0"/>
    <x v="32"/>
    <n v="14858.32"/>
    <x v="84"/>
    <n v="178299.84"/>
    <s v=""/>
    <d v="2022-01-15T00:00:00"/>
    <d v="2025-02-03T00:00:00"/>
    <n v="2502.0500000000002"/>
    <n v="1156.8399999999999"/>
    <s v="OK"/>
    <s v=""/>
    <s v=""/>
    <n v="167.41769014084505"/>
    <n v="3658.8900000000003"/>
    <n v="177143"/>
    <n v="0"/>
    <x v="0"/>
    <n v="0"/>
    <n v="1065"/>
  </r>
  <r>
    <x v="5"/>
    <s v="U0102"/>
    <x v="2"/>
    <n v="721"/>
    <x v="0"/>
    <x v="65"/>
    <n v="6681.26"/>
    <x v="85"/>
    <n v="80175.12"/>
    <s v=""/>
    <d v="2023-06-21T00:00:00"/>
    <d v="2025-02-07T00:00:00"/>
    <n v="1724.32"/>
    <n v="844.5"/>
    <s v="OK"/>
    <s v=""/>
    <s v=""/>
    <n v="111.19988904299584"/>
    <n v="2568.8199999999997"/>
    <n v="79330.62"/>
    <n v="0"/>
    <x v="0"/>
    <n v="0"/>
    <n v="721"/>
  </r>
  <r>
    <x v="5"/>
    <s v="U0103"/>
    <x v="1"/>
    <n v="1463"/>
    <x v="0"/>
    <x v="66"/>
    <n v="15641.4"/>
    <x v="86"/>
    <n v="187696.8"/>
    <s v=""/>
    <d v="2023-08-03T00:00:00"/>
    <d v="2024-03-25T00:00:00"/>
    <n v="3725.54"/>
    <n v="2016.14"/>
    <s v="OK"/>
    <s v=""/>
    <s v=""/>
    <n v="128.29583048530415"/>
    <n v="5741.68"/>
    <n v="185680.65999999997"/>
    <n v="0"/>
    <x v="0"/>
    <n v="0"/>
    <n v="1463"/>
  </r>
  <r>
    <x v="4"/>
    <s v="U0104"/>
    <x v="3"/>
    <n v="1130"/>
    <x v="0"/>
    <x v="67"/>
    <n v="15994.59"/>
    <x v="87"/>
    <n v="191935.08000000002"/>
    <s v=""/>
    <d v="2023-07-11T00:00:00"/>
    <d v="2024-03-22T00:00:00"/>
    <n v="1937.67"/>
    <n v="634.20000000000005"/>
    <s v="OK"/>
    <s v=""/>
    <s v=""/>
    <n v="169.85405309734512"/>
    <n v="2571.87"/>
    <n v="191300.87999999998"/>
    <n v="0"/>
    <x v="0"/>
    <n v="0"/>
    <n v="1130"/>
  </r>
  <r>
    <x v="3"/>
    <s v="U0105"/>
    <x v="2"/>
    <n v="801"/>
    <x v="0"/>
    <x v="65"/>
    <n v="11553.99"/>
    <x v="88"/>
    <n v="138647.88"/>
    <s v=""/>
    <d v="2022-11-04T00:00:00"/>
    <d v="2023-08-29T00:00:00"/>
    <n v="2135.1799999999998"/>
    <n v="1156.3800000000001"/>
    <s v="OK"/>
    <s v=""/>
    <s v=""/>
    <n v="173.09348314606743"/>
    <n v="3291.56"/>
    <n v="137491.5"/>
    <n v="0"/>
    <x v="0"/>
    <n v="0"/>
    <n v="801"/>
  </r>
  <r>
    <x v="3"/>
    <s v="U0106"/>
    <x v="2"/>
    <n v="97"/>
    <x v="0"/>
    <x v="68"/>
    <n v="894.59"/>
    <x v="89"/>
    <n v="10735.08"/>
    <s v=""/>
    <d v="2021-12-15T00:00:00"/>
    <d v="2024-05-14T00:00:00"/>
    <n v="109.14"/>
    <n v="80.010000000000005"/>
    <s v="OK"/>
    <s v=""/>
    <s v=""/>
    <n v="110.67092783505154"/>
    <n v="189.15"/>
    <n v="10655.07"/>
    <n v="0"/>
    <x v="0"/>
    <n v="0"/>
    <n v="97"/>
  </r>
  <r>
    <x v="1"/>
    <s v="U0107"/>
    <x v="0"/>
    <n v="386"/>
    <x v="0"/>
    <x v="69"/>
    <n v="3481.61"/>
    <x v="90"/>
    <n v="41779.32"/>
    <s v=""/>
    <d v="2022-04-13T00:00:00"/>
    <d v="2023-10-15T00:00:00"/>
    <n v="855.32"/>
    <n v="736.23"/>
    <s v="OK"/>
    <s v=""/>
    <s v=""/>
    <n v="108.23658031088083"/>
    <n v="1591.5500000000002"/>
    <n v="41043.089999999997"/>
    <n v="0"/>
    <x v="0"/>
    <n v="0"/>
    <n v="386"/>
  </r>
  <r>
    <x v="4"/>
    <s v="U0108"/>
    <x v="0"/>
    <n v="345"/>
    <x v="1"/>
    <x v="1"/>
    <n v="0"/>
    <x v="1"/>
    <n v="0"/>
    <s v=""/>
    <m/>
    <m/>
    <n v="765.65"/>
    <n v="199.2"/>
    <s v="OK"/>
    <s v=""/>
    <s v="Rent&lt;=0"/>
    <s v=""/>
    <n v="964.84999999999991"/>
    <s v=""/>
    <n v="0"/>
    <x v="1"/>
    <n v="345"/>
    <n v="0"/>
  </r>
  <r>
    <x v="6"/>
    <s v="U0109"/>
    <x v="3"/>
    <n v="59"/>
    <x v="0"/>
    <x v="70"/>
    <n v="977.51"/>
    <x v="91"/>
    <n v="11730.119999999999"/>
    <s v=""/>
    <d v="2022-05-23T00:00:00"/>
    <d v="2023-04-13T00:00:00"/>
    <n v="86.67"/>
    <n v="109.31"/>
    <s v="OK"/>
    <s v=""/>
    <s v=""/>
    <n v="198.815593220339"/>
    <n v="195.98000000000002"/>
    <n v="11620.810000000001"/>
    <n v="0"/>
    <x v="0"/>
    <n v="0"/>
    <n v="59"/>
  </r>
  <r>
    <x v="4"/>
    <s v="U0110"/>
    <x v="1"/>
    <n v="1465"/>
    <x v="0"/>
    <x v="41"/>
    <n v="16343.52"/>
    <x v="92"/>
    <n v="196122.23999999999"/>
    <s v=""/>
    <d v="2022-01-17T00:00:00"/>
    <d v="2023-06-15T00:00:00"/>
    <n v="3125.12"/>
    <n v="1682.43"/>
    <s v="OK"/>
    <s v=""/>
    <s v=""/>
    <n v="133.87183617747439"/>
    <n v="4807.55"/>
    <n v="194439.81"/>
    <n v="0"/>
    <x v="0"/>
    <n v="0"/>
    <n v="1465"/>
  </r>
  <r>
    <x v="4"/>
    <s v="U0111"/>
    <x v="0"/>
    <n v="1233"/>
    <x v="0"/>
    <x v="32"/>
    <n v="9133.7800000000007"/>
    <x v="93"/>
    <n v="109605.36000000002"/>
    <s v=""/>
    <d v="2022-06-02T00:00:00"/>
    <d v="2023-05-05T00:00:00"/>
    <n v="3572.99"/>
    <n v="2834.51"/>
    <s v="OK"/>
    <s v=""/>
    <s v=""/>
    <n v="88.893236009732362"/>
    <n v="6407.5"/>
    <n v="106770.85"/>
    <n v="0"/>
    <x v="0"/>
    <n v="0"/>
    <n v="1233"/>
  </r>
  <r>
    <x v="4"/>
    <s v="U0112"/>
    <x v="3"/>
    <n v="465"/>
    <x v="0"/>
    <x v="71"/>
    <n v="6922.64"/>
    <x v="94"/>
    <n v="83071.680000000008"/>
    <s v=""/>
    <d v="2023-08-15T00:00:00"/>
    <d v="2026-01-22T00:00:00"/>
    <n v="489.24"/>
    <n v="991.64"/>
    <s v="OK"/>
    <s v=""/>
    <s v=""/>
    <n v="178.64877419354838"/>
    <n v="1480.88"/>
    <n v="82080.039999999994"/>
    <n v="0"/>
    <x v="0"/>
    <n v="0"/>
    <n v="465"/>
  </r>
  <r>
    <x v="6"/>
    <s v="U0113"/>
    <x v="1"/>
    <n v="630"/>
    <x v="0"/>
    <x v="72"/>
    <n v="6023.15"/>
    <x v="95"/>
    <n v="72277.799999999988"/>
    <s v=""/>
    <d v="2021-08-02T00:00:00"/>
    <d v="2022-02-17T00:00:00"/>
    <n v="1723.45"/>
    <n v="374.59"/>
    <s v="OK"/>
    <s v=""/>
    <s v=""/>
    <n v="114.72666666666667"/>
    <n v="2098.04"/>
    <n v="71903.210000000006"/>
    <n v="0"/>
    <x v="0"/>
    <n v="0"/>
    <n v="630"/>
  </r>
  <r>
    <x v="6"/>
    <s v="U0114"/>
    <x v="0"/>
    <n v="87"/>
    <x v="0"/>
    <x v="73"/>
    <n v="1470.37"/>
    <x v="96"/>
    <n v="17644.439999999999"/>
    <s v=""/>
    <d v="2023-08-14T00:00:00"/>
    <d v="2025-01-21T00:00:00"/>
    <n v="99.7"/>
    <n v="100.81"/>
    <s v="OK"/>
    <s v=""/>
    <s v=""/>
    <n v="202.80965517241378"/>
    <n v="200.51"/>
    <n v="17543.629999999997"/>
    <n v="0"/>
    <x v="0"/>
    <n v="0"/>
    <n v="87"/>
  </r>
  <r>
    <x v="7"/>
    <s v="U0115"/>
    <x v="3"/>
    <n v="1287"/>
    <x v="0"/>
    <x v="23"/>
    <n v="13446.79"/>
    <x v="97"/>
    <n v="161361.48000000001"/>
    <s v=""/>
    <d v="2023-05-03T00:00:00"/>
    <d v="2025-04-04T00:00:00"/>
    <n v="1738.18"/>
    <n v="1274.7"/>
    <s v="OK"/>
    <s v=""/>
    <s v=""/>
    <n v="125.37799533799534"/>
    <n v="3012.88"/>
    <n v="160086.78"/>
    <n v="0"/>
    <x v="0"/>
    <n v="0"/>
    <n v="1287"/>
  </r>
  <r>
    <x v="0"/>
    <s v="U0116"/>
    <x v="1"/>
    <n v="1093"/>
    <x v="0"/>
    <x v="74"/>
    <n v="9060.3799999999992"/>
    <x v="98"/>
    <n v="108724.56"/>
    <s v=""/>
    <d v="2021-06-04T00:00:00"/>
    <d v="2022-08-30T00:00:00"/>
    <n v="2071.89"/>
    <n v="1149.04"/>
    <s v="OK"/>
    <s v=""/>
    <s v=""/>
    <n v="99.473522415370539"/>
    <n v="3220.93"/>
    <n v="107575.52"/>
    <n v="0"/>
    <x v="0"/>
    <n v="0"/>
    <n v="1093"/>
  </r>
  <r>
    <x v="2"/>
    <s v="U0117"/>
    <x v="0"/>
    <n v="933"/>
    <x v="0"/>
    <x v="75"/>
    <n v="9759.31"/>
    <x v="99"/>
    <n v="117111.72"/>
    <s v=""/>
    <d v="2022-12-17T00:00:00"/>
    <d v="2026-01-17T00:00:00"/>
    <n v="1922.44"/>
    <n v="2006.19"/>
    <s v="OK"/>
    <s v=""/>
    <s v=""/>
    <n v="125.52167202572348"/>
    <n v="3928.63"/>
    <n v="115105.53"/>
    <n v="0"/>
    <x v="0"/>
    <n v="0"/>
    <n v="933"/>
  </r>
  <r>
    <x v="3"/>
    <s v="U0118"/>
    <x v="2"/>
    <n v="888"/>
    <x v="0"/>
    <x v="76"/>
    <n v="11089.95"/>
    <x v="100"/>
    <n v="133079.40000000002"/>
    <s v=""/>
    <d v="2023-04-25T00:00:00"/>
    <d v="2026-09-08T00:00:00"/>
    <n v="1887.83"/>
    <n v="1468.82"/>
    <s v="OK"/>
    <s v=""/>
    <s v=""/>
    <n v="149.86418918918918"/>
    <n v="3356.6499999999996"/>
    <n v="131610.57999999999"/>
    <n v="6"/>
    <x v="2"/>
    <n v="0"/>
    <n v="888"/>
  </r>
  <r>
    <x v="3"/>
    <s v="U0119"/>
    <x v="0"/>
    <n v="169"/>
    <x v="0"/>
    <x v="77"/>
    <n v="1236.1199999999999"/>
    <x v="101"/>
    <n v="14833.439999999999"/>
    <s v=""/>
    <d v="2022-11-07T00:00:00"/>
    <d v="2027-04-03T00:00:00"/>
    <n v="468.8"/>
    <n v="305.07"/>
    <s v="OK"/>
    <s v=""/>
    <s v=""/>
    <n v="87.771834319526633"/>
    <n v="773.87"/>
    <n v="14528.37"/>
    <n v="13"/>
    <x v="3"/>
    <n v="0"/>
    <n v="169"/>
  </r>
  <r>
    <x v="2"/>
    <s v="U0120"/>
    <x v="0"/>
    <n v="527"/>
    <x v="1"/>
    <x v="1"/>
    <n v="0"/>
    <x v="1"/>
    <n v="0"/>
    <s v=""/>
    <m/>
    <m/>
    <n v="1506.38"/>
    <n v="521.04"/>
    <s v="OK"/>
    <s v=""/>
    <s v="Rent&lt;=0"/>
    <s v=""/>
    <n v="2027.42"/>
    <s v=""/>
    <n v="0"/>
    <x v="1"/>
    <n v="527"/>
    <n v="0"/>
  </r>
  <r>
    <x v="0"/>
    <s v="U0121"/>
    <x v="3"/>
    <n v="477"/>
    <x v="0"/>
    <x v="78"/>
    <n v="8416.06"/>
    <x v="102"/>
    <n v="100992.72"/>
    <s v=""/>
    <d v="2023-10-02T00:00:00"/>
    <d v="2027-06-22T00:00:00"/>
    <n v="912.3"/>
    <n v="585.48"/>
    <s v="OK"/>
    <s v=""/>
    <s v=""/>
    <n v="211.72477987421385"/>
    <n v="1497.78"/>
    <n v="100407.24"/>
    <n v="16"/>
    <x v="3"/>
    <n v="0"/>
    <n v="477"/>
  </r>
  <r>
    <x v="7"/>
    <s v="U0122"/>
    <x v="0"/>
    <n v="1400"/>
    <x v="0"/>
    <x v="56"/>
    <n v="16978.580000000002"/>
    <x v="103"/>
    <n v="203742.96000000002"/>
    <s v=""/>
    <d v="2021-07-25T00:00:00"/>
    <d v="2023-01-19T00:00:00"/>
    <n v="2305.11"/>
    <n v="1813.17"/>
    <s v="OK"/>
    <s v=""/>
    <s v=""/>
    <n v="145.53068571428571"/>
    <n v="4118.2800000000007"/>
    <n v="201929.78999999998"/>
    <n v="0"/>
    <x v="0"/>
    <n v="0"/>
    <n v="1400"/>
  </r>
  <r>
    <x v="7"/>
    <s v="U0123"/>
    <x v="1"/>
    <n v="150"/>
    <x v="0"/>
    <x v="79"/>
    <n v="1137.44"/>
    <x v="104"/>
    <n v="13649.28"/>
    <s v=""/>
    <d v="2021-11-02T00:00:00"/>
    <d v="2026-06-05T00:00:00"/>
    <n v="419.71"/>
    <n v="288.17"/>
    <s v="OK"/>
    <s v=""/>
    <s v=""/>
    <n v="90.995200000000011"/>
    <n v="707.88"/>
    <n v="13361.11"/>
    <n v="3"/>
    <x v="0"/>
    <n v="0"/>
    <n v="150"/>
  </r>
  <r>
    <x v="1"/>
    <s v="U0124"/>
    <x v="1"/>
    <n v="1370"/>
    <x v="0"/>
    <x v="19"/>
    <n v="10873.29"/>
    <x v="105"/>
    <n v="130479.48000000001"/>
    <s v=""/>
    <d v="2022-10-18T00:00:00"/>
    <d v="2026-10-12T00:00:00"/>
    <n v="4001.92"/>
    <n v="1098.17"/>
    <s v="OK"/>
    <s v=""/>
    <s v=""/>
    <n v="95.240496350364964"/>
    <n v="5100.09"/>
    <n v="129381.31"/>
    <n v="7"/>
    <x v="4"/>
    <n v="0"/>
    <n v="1370"/>
  </r>
  <r>
    <x v="0"/>
    <s v="U0125"/>
    <x v="0"/>
    <n v="1413"/>
    <x v="0"/>
    <x v="36"/>
    <n v="20651.169999999998"/>
    <x v="106"/>
    <n v="247814.03999999998"/>
    <s v=""/>
    <d v="2022-03-13T00:00:00"/>
    <d v="2025-03-14T00:00:00"/>
    <n v="2830.58"/>
    <n v="2820.6"/>
    <s v="OK"/>
    <s v=""/>
    <s v=""/>
    <n v="175.38148619957536"/>
    <n v="5651.18"/>
    <n v="244993.44"/>
    <n v="0"/>
    <x v="0"/>
    <n v="0"/>
    <n v="1413"/>
  </r>
  <r>
    <x v="3"/>
    <s v="U0126"/>
    <x v="3"/>
    <n v="1292"/>
    <x v="0"/>
    <x v="80"/>
    <n v="18273.009999999998"/>
    <x v="107"/>
    <n v="219276.12"/>
    <s v=""/>
    <d v="2023-05-25T00:00:00"/>
    <d v="2025-10-06T00:00:00"/>
    <n v="2717.01"/>
    <n v="2641.22"/>
    <s v="OK"/>
    <s v=""/>
    <s v=""/>
    <n v="169.71835913312694"/>
    <n v="5358.23"/>
    <n v="216634.9"/>
    <n v="0"/>
    <x v="0"/>
    <n v="0"/>
    <n v="1292"/>
  </r>
  <r>
    <x v="7"/>
    <s v="U0127"/>
    <x v="3"/>
    <n v="1474"/>
    <x v="0"/>
    <x v="81"/>
    <n v="12489.04"/>
    <x v="108"/>
    <n v="149868.48000000001"/>
    <s v=""/>
    <d v="2021-10-13T00:00:00"/>
    <d v="2025-11-29T00:00:00"/>
    <n v="2508.23"/>
    <n v="2535.34"/>
    <s v="OK"/>
    <s v=""/>
    <s v=""/>
    <n v="101.67468113975578"/>
    <n v="5043.57"/>
    <n v="147333.14000000001"/>
    <n v="0"/>
    <x v="0"/>
    <n v="0"/>
    <n v="1474"/>
  </r>
  <r>
    <x v="4"/>
    <s v="U0128"/>
    <x v="3"/>
    <n v="1225"/>
    <x v="0"/>
    <x v="82"/>
    <n v="14304.18"/>
    <x v="109"/>
    <n v="171650.16"/>
    <s v=""/>
    <d v="2022-09-29T00:00:00"/>
    <d v="2024-08-05T00:00:00"/>
    <n v="3609.61"/>
    <n v="918.32"/>
    <s v="OK"/>
    <s v=""/>
    <s v=""/>
    <n v="140.12257959183674"/>
    <n v="4527.93"/>
    <n v="170731.84"/>
    <n v="0"/>
    <x v="0"/>
    <n v="0"/>
    <n v="1225"/>
  </r>
  <r>
    <x v="5"/>
    <s v="U0129"/>
    <x v="1"/>
    <n v="1378"/>
    <x v="0"/>
    <x v="83"/>
    <n v="15987.33"/>
    <x v="110"/>
    <n v="191847.96"/>
    <s v=""/>
    <d v="2021-07-06T00:00:00"/>
    <d v="2025-01-26T00:00:00"/>
    <n v="3719.22"/>
    <n v="811.41"/>
    <s v="OK"/>
    <s v=""/>
    <s v=""/>
    <n v="139.2220319303338"/>
    <n v="4530.63"/>
    <n v="191036.55"/>
    <n v="0"/>
    <x v="0"/>
    <n v="0"/>
    <n v="1378"/>
  </r>
  <r>
    <x v="1"/>
    <s v="U0130"/>
    <x v="1"/>
    <n v="621"/>
    <x v="1"/>
    <x v="1"/>
    <n v="0"/>
    <x v="1"/>
    <n v="0"/>
    <s v=""/>
    <m/>
    <m/>
    <n v="1530.41"/>
    <n v="963.88"/>
    <s v="OK"/>
    <s v=""/>
    <s v="Rent&lt;=0"/>
    <s v=""/>
    <n v="2494.29"/>
    <s v=""/>
    <n v="0"/>
    <x v="1"/>
    <n v="621"/>
    <n v="0"/>
  </r>
  <r>
    <x v="5"/>
    <s v="U0131"/>
    <x v="1"/>
    <n v="265"/>
    <x v="0"/>
    <x v="20"/>
    <n v="4558.95"/>
    <x v="111"/>
    <n v="54707.399999999994"/>
    <s v=""/>
    <d v="2021-08-16T00:00:00"/>
    <d v="2024-12-21T00:00:00"/>
    <n v="510.13"/>
    <n v="327.23"/>
    <s v="OK"/>
    <s v=""/>
    <s v=""/>
    <n v="206.44301886792454"/>
    <n v="837.36"/>
    <n v="54380.17"/>
    <n v="0"/>
    <x v="0"/>
    <n v="0"/>
    <n v="265"/>
  </r>
  <r>
    <x v="6"/>
    <s v="U0132"/>
    <x v="2"/>
    <n v="1329"/>
    <x v="0"/>
    <x v="84"/>
    <n v="21552"/>
    <x v="112"/>
    <n v="258624"/>
    <s v=""/>
    <d v="2023-04-30T00:00:00"/>
    <d v="2025-04-21T00:00:00"/>
    <n v="2758"/>
    <n v="1530.66"/>
    <s v="OK"/>
    <s v=""/>
    <s v=""/>
    <n v="194.60045146726861"/>
    <n v="4288.66"/>
    <n v="257093.34"/>
    <n v="0"/>
    <x v="0"/>
    <n v="0"/>
    <n v="1329"/>
  </r>
  <r>
    <x v="6"/>
    <s v="U0133"/>
    <x v="2"/>
    <n v="720"/>
    <x v="0"/>
    <x v="85"/>
    <n v="8217.56"/>
    <x v="113"/>
    <n v="98610.72"/>
    <s v=""/>
    <d v="2023-02-05T00:00:00"/>
    <d v="2025-08-22T00:00:00"/>
    <n v="951.34"/>
    <n v="1092.56"/>
    <s v="OK"/>
    <s v=""/>
    <s v=""/>
    <n v="136.95933333333335"/>
    <n v="2043.9"/>
    <n v="97518.16"/>
    <n v="0"/>
    <x v="0"/>
    <n v="0"/>
    <n v="720"/>
  </r>
  <r>
    <x v="1"/>
    <s v="U0134"/>
    <x v="1"/>
    <n v="717"/>
    <x v="0"/>
    <x v="83"/>
    <n v="7969.82"/>
    <x v="114"/>
    <n v="95637.84"/>
    <s v=""/>
    <d v="2022-06-25T00:00:00"/>
    <d v="2027-05-12T00:00:00"/>
    <n v="1312.69"/>
    <n v="1207.94"/>
    <s v="OK"/>
    <s v=""/>
    <s v=""/>
    <n v="133.38610878661086"/>
    <n v="2520.63"/>
    <n v="94429.9"/>
    <n v="14"/>
    <x v="3"/>
    <n v="0"/>
    <n v="717"/>
  </r>
  <r>
    <x v="7"/>
    <s v="U0135"/>
    <x v="0"/>
    <n v="794"/>
    <x v="1"/>
    <x v="1"/>
    <n v="0"/>
    <x v="1"/>
    <n v="0"/>
    <s v=""/>
    <m/>
    <m/>
    <n v="1195.74"/>
    <n v="1212.1400000000001"/>
    <s v="OK"/>
    <s v=""/>
    <s v="Rent&lt;=0"/>
    <s v=""/>
    <n v="2407.88"/>
    <s v=""/>
    <n v="0"/>
    <x v="1"/>
    <n v="794"/>
    <n v="0"/>
  </r>
  <r>
    <x v="5"/>
    <s v="U0136"/>
    <x v="2"/>
    <n v="484"/>
    <x v="0"/>
    <x v="86"/>
    <n v="2978.34"/>
    <x v="115"/>
    <n v="35740.080000000002"/>
    <s v=""/>
    <d v="2023-03-27T00:00:00"/>
    <d v="2027-11-02T00:00:00"/>
    <n v="1150.81"/>
    <n v="471.75"/>
    <s v="OK"/>
    <s v=""/>
    <s v=""/>
    <n v="73.843140495867772"/>
    <n v="1622.56"/>
    <n v="35268.33"/>
    <n v="20"/>
    <x v="3"/>
    <n v="0"/>
    <n v="484"/>
  </r>
  <r>
    <x v="7"/>
    <s v="U0137"/>
    <x v="1"/>
    <n v="1024"/>
    <x v="0"/>
    <x v="87"/>
    <n v="8410.08"/>
    <x v="116"/>
    <n v="100920.95999999999"/>
    <s v=""/>
    <d v="2023-02-27T00:00:00"/>
    <d v="2027-01-26T00:00:00"/>
    <n v="1260.0999999999999"/>
    <n v="1157.5999999999999"/>
    <s v="OK"/>
    <s v=""/>
    <s v=""/>
    <n v="98.555625000000006"/>
    <n v="2417.6999999999998"/>
    <n v="99763.36"/>
    <n v="11"/>
    <x v="4"/>
    <n v="0"/>
    <n v="1024"/>
  </r>
  <r>
    <x v="7"/>
    <s v="U0138"/>
    <x v="0"/>
    <n v="999"/>
    <x v="0"/>
    <x v="88"/>
    <n v="6966.64"/>
    <x v="117"/>
    <n v="83599.680000000008"/>
    <s v=""/>
    <d v="2021-09-16T00:00:00"/>
    <d v="2026-06-26T00:00:00"/>
    <n v="1310.47"/>
    <n v="595.6"/>
    <s v="OK"/>
    <s v=""/>
    <s v=""/>
    <n v="83.683363363363355"/>
    <n v="1906.0700000000002"/>
    <n v="83004.079999999987"/>
    <n v="4"/>
    <x v="2"/>
    <n v="0"/>
    <n v="999"/>
  </r>
  <r>
    <x v="2"/>
    <s v="U0139"/>
    <x v="3"/>
    <n v="1024"/>
    <x v="1"/>
    <x v="1"/>
    <n v="0"/>
    <x v="1"/>
    <n v="0"/>
    <s v=""/>
    <m/>
    <m/>
    <n v="2609.42"/>
    <n v="946.26"/>
    <s v="OK"/>
    <s v=""/>
    <s v="Rent&lt;=0"/>
    <s v=""/>
    <n v="3555.6800000000003"/>
    <s v=""/>
    <n v="0"/>
    <x v="1"/>
    <n v="1024"/>
    <n v="0"/>
  </r>
  <r>
    <x v="0"/>
    <s v="U0140"/>
    <x v="3"/>
    <n v="672"/>
    <x v="0"/>
    <x v="89"/>
    <n v="10504.52"/>
    <x v="118"/>
    <n v="126054.24"/>
    <s v=""/>
    <d v="2022-04-30T00:00:00"/>
    <d v="2024-08-12T00:00:00"/>
    <n v="721.85"/>
    <n v="1512.7"/>
    <s v="OK"/>
    <s v=""/>
    <s v=""/>
    <n v="187.58071428571429"/>
    <n v="2234.5500000000002"/>
    <n v="124541.54000000001"/>
    <n v="0"/>
    <x v="0"/>
    <n v="0"/>
    <n v="672"/>
  </r>
  <r>
    <x v="6"/>
    <s v="U0141"/>
    <x v="2"/>
    <n v="126"/>
    <x v="0"/>
    <x v="66"/>
    <n v="1300.0999999999999"/>
    <x v="119"/>
    <n v="15601.199999999999"/>
    <s v=""/>
    <d v="2022-09-05T00:00:00"/>
    <d v="2025-04-06T00:00:00"/>
    <n v="169.1"/>
    <n v="81.25"/>
    <s v="OK"/>
    <s v=""/>
    <s v=""/>
    <n v="123.81904761904762"/>
    <n v="250.35"/>
    <n v="15519.95"/>
    <n v="0"/>
    <x v="0"/>
    <n v="0"/>
    <n v="126"/>
  </r>
  <r>
    <x v="3"/>
    <s v="U0142"/>
    <x v="3"/>
    <n v="404"/>
    <x v="0"/>
    <x v="90"/>
    <n v="4066.55"/>
    <x v="120"/>
    <n v="48798.600000000006"/>
    <s v=""/>
    <d v="2023-01-05T00:00:00"/>
    <d v="2023-07-29T00:00:00"/>
    <n v="455.55"/>
    <n v="779.82"/>
    <s v="OK"/>
    <s v=""/>
    <s v=""/>
    <n v="120.78861386138614"/>
    <n v="1235.3700000000001"/>
    <n v="48018.78"/>
    <n v="0"/>
    <x v="0"/>
    <n v="0"/>
    <n v="404"/>
  </r>
  <r>
    <x v="6"/>
    <s v="U0143"/>
    <x v="3"/>
    <n v="916"/>
    <x v="0"/>
    <x v="85"/>
    <n v="14184.95"/>
    <x v="121"/>
    <n v="170219.40000000002"/>
    <s v=""/>
    <d v="2022-02-08T00:00:00"/>
    <d v="2023-03-11T00:00:00"/>
    <n v="1144.94"/>
    <n v="493.96"/>
    <s v="OK"/>
    <s v=""/>
    <s v=""/>
    <n v="185.82903930131005"/>
    <n v="1638.9"/>
    <n v="169725.44"/>
    <n v="0"/>
    <x v="0"/>
    <n v="0"/>
    <n v="916"/>
  </r>
  <r>
    <x v="6"/>
    <s v="U0144"/>
    <x v="2"/>
    <n v="1292"/>
    <x v="0"/>
    <x v="91"/>
    <n v="16174.24"/>
    <x v="122"/>
    <n v="194090.88"/>
    <s v=""/>
    <d v="2022-12-03T00:00:00"/>
    <d v="2027-09-11T00:00:00"/>
    <n v="2481.04"/>
    <n v="1481.15"/>
    <s v="OK"/>
    <s v=""/>
    <s v=""/>
    <n v="150.22513931888545"/>
    <n v="3962.19"/>
    <n v="192609.73"/>
    <n v="18"/>
    <x v="3"/>
    <n v="0"/>
    <n v="1292"/>
  </r>
  <r>
    <x v="5"/>
    <s v="U0145"/>
    <x v="2"/>
    <n v="804"/>
    <x v="0"/>
    <x v="29"/>
    <n v="6148.46"/>
    <x v="123"/>
    <n v="73781.52"/>
    <s v=""/>
    <d v="2023-06-01T00:00:00"/>
    <d v="2025-11-11T00:00:00"/>
    <n v="2370.98"/>
    <n v="670.9"/>
    <s v="OK"/>
    <s v=""/>
    <s v=""/>
    <n v="91.768059701492547"/>
    <n v="3041.88"/>
    <n v="73110.62000000001"/>
    <n v="0"/>
    <x v="0"/>
    <n v="0"/>
    <n v="804"/>
  </r>
  <r>
    <x v="0"/>
    <s v="U0146"/>
    <x v="2"/>
    <n v="1294"/>
    <x v="0"/>
    <x v="92"/>
    <n v="12486.12"/>
    <x v="124"/>
    <n v="149833.44"/>
    <s v=""/>
    <d v="2023-09-11T00:00:00"/>
    <d v="2027-12-15T00:00:00"/>
    <n v="3822.73"/>
    <n v="669.39"/>
    <s v="OK"/>
    <s v=""/>
    <s v=""/>
    <n v="115.79091190108191"/>
    <n v="4492.12"/>
    <n v="149164.04999999999"/>
    <n v="21"/>
    <x v="3"/>
    <n v="0"/>
    <n v="1294"/>
  </r>
  <r>
    <x v="3"/>
    <s v="U0147"/>
    <x v="2"/>
    <n v="1058"/>
    <x v="0"/>
    <x v="18"/>
    <n v="12386.01"/>
    <x v="125"/>
    <n v="148632.12"/>
    <s v=""/>
    <d v="2023-05-19T00:00:00"/>
    <d v="2027-06-25T00:00:00"/>
    <n v="1708.62"/>
    <n v="880.17"/>
    <s v="OK"/>
    <s v=""/>
    <s v=""/>
    <n v="140.48404536862003"/>
    <n v="2588.79"/>
    <n v="147751.94999999998"/>
    <n v="16"/>
    <x v="3"/>
    <n v="0"/>
    <n v="1058"/>
  </r>
  <r>
    <x v="0"/>
    <s v="U0148"/>
    <x v="3"/>
    <n v="1473"/>
    <x v="0"/>
    <x v="69"/>
    <n v="23958.22"/>
    <x v="126"/>
    <n v="287498.64"/>
    <s v=""/>
    <d v="2022-09-27T00:00:00"/>
    <d v="2023-05-24T00:00:00"/>
    <n v="1964.26"/>
    <n v="2957.7"/>
    <s v="OK"/>
    <s v=""/>
    <s v=""/>
    <n v="195.17898167006112"/>
    <n v="4921.96"/>
    <n v="284540.94"/>
    <n v="0"/>
    <x v="0"/>
    <n v="0"/>
    <n v="1473"/>
  </r>
  <r>
    <x v="4"/>
    <s v="U0149"/>
    <x v="3"/>
    <n v="1173"/>
    <x v="0"/>
    <x v="23"/>
    <n v="15117.86"/>
    <x v="127"/>
    <n v="181414.32"/>
    <s v=""/>
    <d v="2023-01-25T00:00:00"/>
    <d v="2027-12-09T00:00:00"/>
    <n v="3071.49"/>
    <n v="1682.5"/>
    <s v="OK"/>
    <s v=""/>
    <s v=""/>
    <n v="154.65841432225065"/>
    <n v="4753.99"/>
    <n v="179731.82"/>
    <n v="21"/>
    <x v="3"/>
    <n v="0"/>
    <n v="1173"/>
  </r>
  <r>
    <x v="2"/>
    <s v="U0150"/>
    <x v="1"/>
    <n v="368"/>
    <x v="0"/>
    <x v="93"/>
    <n v="5656"/>
    <x v="128"/>
    <n v="67872"/>
    <s v=""/>
    <d v="2022-01-02T00:00:00"/>
    <d v="2025-02-19T00:00:00"/>
    <n v="401.19"/>
    <n v="910.31"/>
    <s v="OK"/>
    <s v=""/>
    <s v=""/>
    <n v="184.43478260869566"/>
    <n v="1311.5"/>
    <n v="66961.69"/>
    <n v="0"/>
    <x v="0"/>
    <n v="0"/>
    <n v="368"/>
  </r>
  <r>
    <x v="4"/>
    <s v="U0151"/>
    <x v="1"/>
    <n v="1288"/>
    <x v="0"/>
    <x v="94"/>
    <n v="19588.91"/>
    <x v="129"/>
    <n v="235066.91999999998"/>
    <s v=""/>
    <d v="2023-04-08T00:00:00"/>
    <d v="2027-12-23T00:00:00"/>
    <n v="2434.75"/>
    <n v="2881.59"/>
    <s v="OK"/>
    <s v=""/>
    <s v=""/>
    <n v="182.50537267080747"/>
    <n v="5316.34"/>
    <n v="232185.33000000002"/>
    <n v="22"/>
    <x v="3"/>
    <n v="0"/>
    <n v="1288"/>
  </r>
  <r>
    <x v="3"/>
    <s v="U0152"/>
    <x v="3"/>
    <n v="262"/>
    <x v="0"/>
    <x v="87"/>
    <n v="4453.29"/>
    <x v="130"/>
    <n v="53439.479999999996"/>
    <s v=""/>
    <d v="2023-09-29T00:00:00"/>
    <d v="2024-10-13T00:00:00"/>
    <n v="640.04999999999995"/>
    <n v="164.34"/>
    <s v="OK"/>
    <s v=""/>
    <s v=""/>
    <n v="203.96748091603055"/>
    <n v="804.39"/>
    <n v="53275.140000000007"/>
    <n v="0"/>
    <x v="0"/>
    <n v="0"/>
    <n v="262"/>
  </r>
  <r>
    <x v="7"/>
    <s v="U0153"/>
    <x v="0"/>
    <n v="1303"/>
    <x v="0"/>
    <x v="95"/>
    <n v="22356.85"/>
    <x v="131"/>
    <n v="268282.19999999995"/>
    <s v=""/>
    <d v="2021-10-10T00:00:00"/>
    <d v="2022-07-20T00:00:00"/>
    <n v="2257"/>
    <n v="2616.5300000000002"/>
    <s v="OK"/>
    <s v=""/>
    <s v=""/>
    <n v="205.89577897160399"/>
    <n v="4873.5300000000007"/>
    <n v="265665.67"/>
    <n v="0"/>
    <x v="0"/>
    <n v="0"/>
    <n v="1303"/>
  </r>
  <r>
    <x v="3"/>
    <s v="U0154"/>
    <x v="2"/>
    <n v="1479"/>
    <x v="0"/>
    <x v="45"/>
    <n v="20862.66"/>
    <x v="132"/>
    <n v="250351.91999999998"/>
    <s v=""/>
    <d v="2023-12-15T00:00:00"/>
    <d v="2025-10-04T00:00:00"/>
    <n v="2826.18"/>
    <n v="1212.56"/>
    <s v="OK"/>
    <s v=""/>
    <s v=""/>
    <n v="169.27107505070995"/>
    <n v="4038.74"/>
    <n v="249139.36000000002"/>
    <n v="0"/>
    <x v="0"/>
    <n v="0"/>
    <n v="1479"/>
  </r>
  <r>
    <x v="3"/>
    <s v="U0155"/>
    <x v="2"/>
    <n v="762"/>
    <x v="0"/>
    <x v="96"/>
    <n v="7663.76"/>
    <x v="133"/>
    <n v="91965.119999999995"/>
    <s v=""/>
    <d v="2022-09-06T00:00:00"/>
    <d v="2026-09-24T00:00:00"/>
    <n v="1796.52"/>
    <n v="786.21"/>
    <s v="OK"/>
    <s v=""/>
    <s v=""/>
    <n v="120.68913385826771"/>
    <n v="2582.73"/>
    <n v="91178.909999999989"/>
    <n v="7"/>
    <x v="4"/>
    <n v="0"/>
    <n v="762"/>
  </r>
  <r>
    <x v="7"/>
    <s v="U0156"/>
    <x v="1"/>
    <n v="98"/>
    <x v="0"/>
    <x v="28"/>
    <n v="989.38"/>
    <x v="134"/>
    <n v="11872.56"/>
    <s v=""/>
    <d v="2021-06-02T00:00:00"/>
    <d v="2024-10-19T00:00:00"/>
    <n v="122.2"/>
    <n v="65.180000000000007"/>
    <s v="OK"/>
    <s v=""/>
    <s v=""/>
    <n v="121.14857142857143"/>
    <n v="187.38"/>
    <n v="11807.38"/>
    <n v="0"/>
    <x v="0"/>
    <n v="0"/>
    <n v="98"/>
  </r>
  <r>
    <x v="7"/>
    <s v="U0157"/>
    <x v="0"/>
    <n v="161"/>
    <x v="1"/>
    <x v="1"/>
    <n v="0"/>
    <x v="1"/>
    <n v="0"/>
    <s v=""/>
    <m/>
    <m/>
    <n v="300.02999999999997"/>
    <n v="371.96"/>
    <s v="OK"/>
    <s v=""/>
    <s v="Rent&lt;=0"/>
    <s v=""/>
    <n v="671.99"/>
    <s v=""/>
    <n v="0"/>
    <x v="1"/>
    <n v="161"/>
    <n v="0"/>
  </r>
  <r>
    <x v="5"/>
    <s v="U0158"/>
    <x v="1"/>
    <n v="156"/>
    <x v="0"/>
    <x v="97"/>
    <n v="2087.39"/>
    <x v="135"/>
    <n v="25048.68"/>
    <s v=""/>
    <d v="2022-10-28T00:00:00"/>
    <d v="2024-01-31T00:00:00"/>
    <n v="382.64"/>
    <n v="303.04000000000002"/>
    <s v="OK"/>
    <s v=""/>
    <s v=""/>
    <n v="160.56846153846155"/>
    <n v="685.68000000000006"/>
    <n v="24745.64"/>
    <n v="0"/>
    <x v="0"/>
    <n v="0"/>
    <n v="156"/>
  </r>
  <r>
    <x v="4"/>
    <s v="U0159"/>
    <x v="3"/>
    <n v="528"/>
    <x v="0"/>
    <x v="98"/>
    <n v="3553.11"/>
    <x v="136"/>
    <n v="42637.32"/>
    <s v=""/>
    <d v="2022-04-08T00:00:00"/>
    <d v="2026-03-06T00:00:00"/>
    <n v="1257.1300000000001"/>
    <n v="1011.23"/>
    <s v="OK"/>
    <s v=""/>
    <s v=""/>
    <n v="80.752499999999998"/>
    <n v="2268.36"/>
    <n v="41626.089999999997"/>
    <n v="0"/>
    <x v="0"/>
    <n v="0"/>
    <n v="528"/>
  </r>
  <r>
    <x v="6"/>
    <s v="U0160"/>
    <x v="1"/>
    <n v="632"/>
    <x v="0"/>
    <x v="99"/>
    <n v="11174.54"/>
    <x v="137"/>
    <n v="134094.48000000001"/>
    <s v=""/>
    <d v="2021-09-24T00:00:00"/>
    <d v="2022-12-11T00:00:00"/>
    <n v="1870.48"/>
    <n v="1517.42"/>
    <s v="OK"/>
    <s v=""/>
    <s v=""/>
    <n v="212.17481012658229"/>
    <n v="3387.9"/>
    <n v="132577.06"/>
    <n v="0"/>
    <x v="0"/>
    <n v="0"/>
    <n v="632"/>
  </r>
  <r>
    <x v="7"/>
    <s v="U0161"/>
    <x v="2"/>
    <n v="408"/>
    <x v="0"/>
    <x v="100"/>
    <n v="3123.02"/>
    <x v="138"/>
    <n v="37476.239999999998"/>
    <s v=""/>
    <d v="2023-09-05T00:00:00"/>
    <d v="2025-03-15T00:00:00"/>
    <n v="493"/>
    <n v="935.64"/>
    <s v="OK"/>
    <s v=""/>
    <s v=""/>
    <n v="91.853529411764697"/>
    <n v="1428.6399999999999"/>
    <n v="36540.6"/>
    <n v="0"/>
    <x v="0"/>
    <n v="0"/>
    <n v="408"/>
  </r>
  <r>
    <x v="0"/>
    <s v="U0162"/>
    <x v="2"/>
    <n v="441"/>
    <x v="0"/>
    <x v="22"/>
    <n v="7800.1"/>
    <x v="139"/>
    <n v="93601.200000000012"/>
    <s v=""/>
    <d v="2023-05-30T00:00:00"/>
    <d v="2027-08-13T00:00:00"/>
    <n v="1232.23"/>
    <n v="1066.77"/>
    <s v="OK"/>
    <s v=""/>
    <s v=""/>
    <n v="212.24761904761905"/>
    <n v="2299"/>
    <n v="92534.43"/>
    <n v="17"/>
    <x v="3"/>
    <n v="0"/>
    <n v="441"/>
  </r>
  <r>
    <x v="5"/>
    <s v="U0163"/>
    <x v="0"/>
    <n v="528"/>
    <x v="0"/>
    <x v="101"/>
    <n v="3229.69"/>
    <x v="140"/>
    <n v="38756.28"/>
    <s v=""/>
    <d v="2022-04-19T00:00:00"/>
    <d v="2025-07-29T00:00:00"/>
    <n v="1206.19"/>
    <n v="749.11"/>
    <s v="OK"/>
    <s v=""/>
    <s v=""/>
    <n v="73.402045454545458"/>
    <n v="1955.3000000000002"/>
    <n v="38007.17"/>
    <n v="0"/>
    <x v="0"/>
    <n v="0"/>
    <n v="528"/>
  </r>
  <r>
    <x v="3"/>
    <s v="U0164"/>
    <x v="0"/>
    <n v="390"/>
    <x v="0"/>
    <x v="102"/>
    <n v="3262.69"/>
    <x v="141"/>
    <n v="39152.28"/>
    <s v=""/>
    <d v="2021-10-14T00:00:00"/>
    <d v="2024-06-13T00:00:00"/>
    <n v="419.16"/>
    <n v="642.66999999999996"/>
    <s v="OK"/>
    <s v=""/>
    <s v=""/>
    <n v="100.39046153846154"/>
    <n v="1061.83"/>
    <n v="38509.61"/>
    <n v="0"/>
    <x v="0"/>
    <n v="0"/>
    <n v="390"/>
  </r>
  <r>
    <x v="3"/>
    <s v="U0165"/>
    <x v="3"/>
    <n v="782"/>
    <x v="0"/>
    <x v="68"/>
    <n v="8476.51"/>
    <x v="142"/>
    <n v="101718.12"/>
    <s v=""/>
    <d v="2021-11-08T00:00:00"/>
    <d v="2024-03-07T00:00:00"/>
    <n v="947.19"/>
    <n v="880.56"/>
    <s v="OK"/>
    <s v=""/>
    <s v=""/>
    <n v="130.07432225063937"/>
    <n v="1827.75"/>
    <n v="100837.56"/>
    <n v="0"/>
    <x v="0"/>
    <n v="0"/>
    <n v="782"/>
  </r>
  <r>
    <x v="0"/>
    <s v="U0166"/>
    <x v="0"/>
    <n v="682"/>
    <x v="0"/>
    <x v="103"/>
    <n v="9929.9699999999993"/>
    <x v="143"/>
    <n v="119159.63999999998"/>
    <s v=""/>
    <d v="2023-12-12T00:00:00"/>
    <d v="2028-04-30T00:00:00"/>
    <n v="1623.1"/>
    <n v="1149.6099999999999"/>
    <s v="OK"/>
    <s v=""/>
    <s v=""/>
    <n v="174.72087976539589"/>
    <n v="2772.71"/>
    <n v="118010.03"/>
    <n v="26"/>
    <x v="3"/>
    <n v="0"/>
    <n v="682"/>
  </r>
  <r>
    <x v="6"/>
    <s v="U0167"/>
    <x v="0"/>
    <n v="538"/>
    <x v="0"/>
    <x v="60"/>
    <n v="6887.09"/>
    <x v="144"/>
    <n v="82645.08"/>
    <s v=""/>
    <d v="2022-10-12T00:00:00"/>
    <d v="2026-10-24T00:00:00"/>
    <n v="1237.0899999999999"/>
    <n v="1262.54"/>
    <s v="OK"/>
    <s v=""/>
    <s v=""/>
    <n v="153.61539033457248"/>
    <n v="2499.63"/>
    <n v="81382.540000000008"/>
    <n v="8"/>
    <x v="4"/>
    <n v="0"/>
    <n v="538"/>
  </r>
  <r>
    <x v="4"/>
    <s v="U0168"/>
    <x v="3"/>
    <n v="376"/>
    <x v="1"/>
    <x v="1"/>
    <n v="0"/>
    <x v="1"/>
    <n v="0"/>
    <s v=""/>
    <m/>
    <m/>
    <n v="665.05"/>
    <n v="279.77999999999997"/>
    <s v="OK"/>
    <s v=""/>
    <s v="Rent&lt;=0"/>
    <s v=""/>
    <n v="944.82999999999993"/>
    <s v=""/>
    <n v="0"/>
    <x v="1"/>
    <n v="376"/>
    <n v="0"/>
  </r>
  <r>
    <x v="6"/>
    <s v="U0169"/>
    <x v="2"/>
    <n v="1289"/>
    <x v="0"/>
    <x v="104"/>
    <n v="12193.43"/>
    <x v="145"/>
    <n v="146321.16"/>
    <s v=""/>
    <d v="2022-03-02T00:00:00"/>
    <d v="2023-03-27T00:00:00"/>
    <n v="1841.66"/>
    <n v="2029.8"/>
    <s v="OK"/>
    <s v=""/>
    <s v=""/>
    <n v="113.51525213343677"/>
    <n v="3871.46"/>
    <n v="144291.36000000002"/>
    <n v="0"/>
    <x v="0"/>
    <n v="0"/>
    <n v="1289"/>
  </r>
  <r>
    <x v="2"/>
    <s v="U0170"/>
    <x v="2"/>
    <n v="1344"/>
    <x v="0"/>
    <x v="105"/>
    <n v="18128.490000000002"/>
    <x v="146"/>
    <n v="217541.88"/>
    <s v=""/>
    <d v="2022-05-03T00:00:00"/>
    <d v="2023-09-12T00:00:00"/>
    <n v="3459.66"/>
    <n v="673.09"/>
    <s v="OK"/>
    <s v=""/>
    <s v=""/>
    <n v="161.86151785714287"/>
    <n v="4132.75"/>
    <n v="216868.79"/>
    <n v="0"/>
    <x v="0"/>
    <n v="0"/>
    <n v="1344"/>
  </r>
  <r>
    <x v="1"/>
    <s v="U0171"/>
    <x v="3"/>
    <n v="1406"/>
    <x v="0"/>
    <x v="43"/>
    <n v="20678.509999999998"/>
    <x v="147"/>
    <n v="248142.12"/>
    <s v=""/>
    <d v="2023-01-01T00:00:00"/>
    <d v="2025-11-17T00:00:00"/>
    <n v="2300.64"/>
    <n v="1487.45"/>
    <s v="OK"/>
    <s v=""/>
    <s v=""/>
    <n v="176.48799431009957"/>
    <n v="3788.09"/>
    <n v="246654.66999999998"/>
    <n v="0"/>
    <x v="0"/>
    <n v="0"/>
    <n v="1406"/>
  </r>
  <r>
    <x v="7"/>
    <s v="U0172"/>
    <x v="1"/>
    <n v="375"/>
    <x v="0"/>
    <x v="64"/>
    <n v="4495.26"/>
    <x v="148"/>
    <n v="53943.12"/>
    <s v=""/>
    <d v="2022-05-12T00:00:00"/>
    <d v="2023-07-13T00:00:00"/>
    <n v="971.88"/>
    <n v="744.37"/>
    <s v="OK"/>
    <s v=""/>
    <s v=""/>
    <n v="143.84832"/>
    <n v="1716.25"/>
    <n v="53198.75"/>
    <n v="0"/>
    <x v="0"/>
    <n v="0"/>
    <n v="375"/>
  </r>
  <r>
    <x v="4"/>
    <s v="U0173"/>
    <x v="3"/>
    <n v="1371"/>
    <x v="0"/>
    <x v="85"/>
    <n v="18735.21"/>
    <x v="149"/>
    <n v="224822.52"/>
    <s v=""/>
    <d v="2021-10-19T00:00:00"/>
    <d v="2023-10-07T00:00:00"/>
    <n v="2251.7399999999998"/>
    <n v="3296.88"/>
    <s v="OK"/>
    <s v=""/>
    <s v=""/>
    <n v="163.98433260393873"/>
    <n v="5548.62"/>
    <n v="221525.63999999998"/>
    <n v="0"/>
    <x v="0"/>
    <n v="0"/>
    <n v="1371"/>
  </r>
  <r>
    <x v="0"/>
    <s v="U0174"/>
    <x v="3"/>
    <n v="594"/>
    <x v="0"/>
    <x v="59"/>
    <n v="9837.81"/>
    <x v="150"/>
    <n v="118053.72"/>
    <s v=""/>
    <d v="2023-10-04T00:00:00"/>
    <d v="2028-01-12T00:00:00"/>
    <n v="1177.26"/>
    <n v="490.06"/>
    <s v="OK"/>
    <s v=""/>
    <s v=""/>
    <n v="198.74363636363637"/>
    <n v="1667.32"/>
    <n v="117563.66"/>
    <n v="22"/>
    <x v="3"/>
    <n v="0"/>
    <n v="594"/>
  </r>
  <r>
    <x v="4"/>
    <s v="U0175"/>
    <x v="2"/>
    <n v="531"/>
    <x v="0"/>
    <x v="42"/>
    <n v="6325.2"/>
    <x v="151"/>
    <n v="75902.399999999994"/>
    <s v=""/>
    <d v="2022-07-12T00:00:00"/>
    <d v="2025-03-09T00:00:00"/>
    <n v="624.16999999999996"/>
    <n v="691.15"/>
    <s v="OK"/>
    <s v=""/>
    <s v=""/>
    <n v="142.94237288135591"/>
    <n v="1315.32"/>
    <n v="75211.25"/>
    <n v="0"/>
    <x v="0"/>
    <n v="0"/>
    <n v="531"/>
  </r>
  <r>
    <x v="6"/>
    <s v="U0176"/>
    <x v="3"/>
    <n v="1160"/>
    <x v="0"/>
    <x v="106"/>
    <n v="16845.830000000002"/>
    <x v="152"/>
    <n v="202149.96000000002"/>
    <s v=""/>
    <d v="2022-01-29T00:00:00"/>
    <d v="2024-05-18T00:00:00"/>
    <n v="2194.9499999999998"/>
    <n v="1711.33"/>
    <s v="OK"/>
    <s v=""/>
    <s v=""/>
    <n v="174.26720689655173"/>
    <n v="3906.2799999999997"/>
    <n v="200438.63"/>
    <n v="0"/>
    <x v="0"/>
    <n v="0"/>
    <n v="1160"/>
  </r>
  <r>
    <x v="4"/>
    <s v="U0177"/>
    <x v="3"/>
    <n v="186"/>
    <x v="0"/>
    <x v="107"/>
    <n v="1622.62"/>
    <x v="153"/>
    <n v="19471.439999999999"/>
    <s v=""/>
    <d v="2022-05-09T00:00:00"/>
    <d v="2026-12-27T00:00:00"/>
    <n v="331.08"/>
    <n v="292.52"/>
    <s v="OK"/>
    <s v=""/>
    <s v=""/>
    <n v="104.68516129032257"/>
    <n v="623.59999999999991"/>
    <n v="19178.919999999998"/>
    <n v="10"/>
    <x v="4"/>
    <n v="0"/>
    <n v="186"/>
  </r>
  <r>
    <x v="0"/>
    <s v="U0178"/>
    <x v="1"/>
    <n v="287"/>
    <x v="0"/>
    <x v="108"/>
    <n v="2140.88"/>
    <x v="154"/>
    <n v="25690.560000000001"/>
    <s v=""/>
    <d v="2023-03-08T00:00:00"/>
    <d v="2027-04-24T00:00:00"/>
    <n v="381.17"/>
    <n v="670.95"/>
    <s v="OK"/>
    <s v=""/>
    <s v=""/>
    <n v="89.514146341463416"/>
    <n v="1052.1200000000001"/>
    <n v="25019.61"/>
    <n v="14"/>
    <x v="3"/>
    <n v="0"/>
    <n v="287"/>
  </r>
  <r>
    <x v="3"/>
    <s v="U0179"/>
    <x v="3"/>
    <n v="752"/>
    <x v="1"/>
    <x v="1"/>
    <n v="0"/>
    <x v="1"/>
    <n v="0"/>
    <s v=""/>
    <m/>
    <m/>
    <n v="1548.42"/>
    <n v="690.55"/>
    <s v="OK"/>
    <s v=""/>
    <s v="Rent&lt;=0"/>
    <s v=""/>
    <n v="2238.9700000000003"/>
    <s v=""/>
    <n v="0"/>
    <x v="1"/>
    <n v="752"/>
    <n v="0"/>
  </r>
  <r>
    <x v="1"/>
    <s v="U0180"/>
    <x v="1"/>
    <n v="787"/>
    <x v="0"/>
    <x v="100"/>
    <n v="7469.62"/>
    <x v="155"/>
    <n v="89635.44"/>
    <s v=""/>
    <d v="2021-04-21T00:00:00"/>
    <d v="2021-12-15T00:00:00"/>
    <n v="1903.79"/>
    <n v="832.22"/>
    <s v="OK"/>
    <s v=""/>
    <s v=""/>
    <n v="113.89509529860229"/>
    <n v="2736.01"/>
    <n v="88803.22"/>
    <n v="0"/>
    <x v="0"/>
    <n v="0"/>
    <n v="787"/>
  </r>
  <r>
    <x v="7"/>
    <s v="U0181"/>
    <x v="0"/>
    <n v="1139"/>
    <x v="0"/>
    <x v="109"/>
    <n v="11099.89"/>
    <x v="156"/>
    <n v="133198.68"/>
    <s v=""/>
    <d v="2021-04-22T00:00:00"/>
    <d v="2021-10-22T00:00:00"/>
    <n v="2460.3200000000002"/>
    <n v="1664.89"/>
    <s v="OK"/>
    <s v=""/>
    <s v=""/>
    <n v="116.9435294117647"/>
    <n v="4125.21"/>
    <n v="131533.78999999998"/>
    <n v="0"/>
    <x v="0"/>
    <n v="0"/>
    <n v="1139"/>
  </r>
  <r>
    <x v="3"/>
    <s v="U0182"/>
    <x v="1"/>
    <n v="1220"/>
    <x v="0"/>
    <x v="110"/>
    <n v="10473.030000000001"/>
    <x v="157"/>
    <n v="125676.36000000002"/>
    <s v=""/>
    <d v="2022-12-11T00:00:00"/>
    <d v="2026-07-02T00:00:00"/>
    <n v="2012.15"/>
    <n v="1555.15"/>
    <s v="OK"/>
    <s v=""/>
    <s v=""/>
    <n v="103.01340983606558"/>
    <n v="3567.3"/>
    <n v="124121.21"/>
    <n v="4"/>
    <x v="2"/>
    <n v="0"/>
    <n v="1220"/>
  </r>
  <r>
    <x v="7"/>
    <s v="U0183"/>
    <x v="1"/>
    <n v="414"/>
    <x v="0"/>
    <x v="111"/>
    <n v="3503.43"/>
    <x v="158"/>
    <n v="42041.159999999996"/>
    <s v=""/>
    <d v="2021-08-31T00:00:00"/>
    <d v="2024-09-18T00:00:00"/>
    <n v="899.08"/>
    <n v="560.13"/>
    <s v="OK"/>
    <s v=""/>
    <s v=""/>
    <n v="101.54869565217392"/>
    <n v="1459.21"/>
    <n v="41481.030000000006"/>
    <n v="0"/>
    <x v="0"/>
    <n v="0"/>
    <n v="414"/>
  </r>
  <r>
    <x v="2"/>
    <s v="U0184"/>
    <x v="2"/>
    <n v="642"/>
    <x v="0"/>
    <x v="40"/>
    <n v="4658.8100000000004"/>
    <x v="159"/>
    <n v="55905.72"/>
    <s v=""/>
    <d v="2023-12-11T00:00:00"/>
    <d v="2028-04-29T00:00:00"/>
    <n v="1657.18"/>
    <n v="1276.73"/>
    <s v="OK"/>
    <s v=""/>
    <s v=""/>
    <n v="87.080560747663554"/>
    <n v="2933.91"/>
    <n v="54628.99"/>
    <n v="26"/>
    <x v="3"/>
    <n v="0"/>
    <n v="642"/>
  </r>
  <r>
    <x v="7"/>
    <s v="U0185"/>
    <x v="2"/>
    <n v="915"/>
    <x v="0"/>
    <x v="6"/>
    <n v="11681.68"/>
    <x v="160"/>
    <n v="140180.16"/>
    <s v=""/>
    <d v="2022-11-28T00:00:00"/>
    <d v="2026-12-02T00:00:00"/>
    <n v="2156.35"/>
    <n v="929.54"/>
    <s v="OK"/>
    <s v=""/>
    <s v=""/>
    <n v="153.20236065573772"/>
    <n v="3085.89"/>
    <n v="139250.62"/>
    <n v="9"/>
    <x v="4"/>
    <n v="0"/>
    <n v="915"/>
  </r>
  <r>
    <x v="6"/>
    <s v="U0186"/>
    <x v="2"/>
    <n v="869"/>
    <x v="0"/>
    <x v="112"/>
    <n v="13564.92"/>
    <x v="161"/>
    <n v="162779.04"/>
    <s v=""/>
    <d v="2023-11-01T00:00:00"/>
    <d v="2024-11-10T00:00:00"/>
    <n v="2295.96"/>
    <n v="1088.93"/>
    <s v="OK"/>
    <s v=""/>
    <s v=""/>
    <n v="187.31765247410817"/>
    <n v="3384.8900000000003"/>
    <n v="161690.11000000002"/>
    <n v="0"/>
    <x v="0"/>
    <n v="0"/>
    <n v="869"/>
  </r>
  <r>
    <x v="0"/>
    <s v="U0187"/>
    <x v="1"/>
    <n v="384"/>
    <x v="1"/>
    <x v="1"/>
    <n v="0"/>
    <x v="1"/>
    <n v="0"/>
    <s v=""/>
    <m/>
    <m/>
    <n v="911.99"/>
    <n v="525.94000000000005"/>
    <s v="OK"/>
    <s v=""/>
    <s v="Rent&lt;=0"/>
    <s v=""/>
    <n v="1437.93"/>
    <s v=""/>
    <n v="0"/>
    <x v="1"/>
    <n v="384"/>
    <n v="0"/>
  </r>
  <r>
    <x v="6"/>
    <s v="U0188"/>
    <x v="2"/>
    <n v="856"/>
    <x v="0"/>
    <x v="68"/>
    <n v="12469.24"/>
    <x v="162"/>
    <n v="149630.88"/>
    <s v=""/>
    <d v="2022-06-01T00:00:00"/>
    <d v="2026-09-03T00:00:00"/>
    <n v="1092.24"/>
    <n v="1604.92"/>
    <s v="OK"/>
    <s v=""/>
    <s v=""/>
    <n v="174.80242990654207"/>
    <n v="2697.16"/>
    <n v="148025.96"/>
    <n v="6"/>
    <x v="2"/>
    <n v="0"/>
    <n v="856"/>
  </r>
  <r>
    <x v="1"/>
    <s v="U0189"/>
    <x v="2"/>
    <n v="715"/>
    <x v="1"/>
    <x v="1"/>
    <n v="0"/>
    <x v="1"/>
    <n v="0"/>
    <s v=""/>
    <m/>
    <m/>
    <n v="865.1"/>
    <n v="1066.24"/>
    <s v="OK"/>
    <s v=""/>
    <s v="Rent&lt;=0"/>
    <s v=""/>
    <n v="1931.3400000000001"/>
    <s v=""/>
    <n v="0"/>
    <x v="1"/>
    <n v="715"/>
    <n v="0"/>
  </r>
  <r>
    <x v="3"/>
    <s v="U0190"/>
    <x v="2"/>
    <n v="345"/>
    <x v="0"/>
    <x v="34"/>
    <n v="3987.05"/>
    <x v="163"/>
    <n v="47844.600000000006"/>
    <s v=""/>
    <d v="2022-06-19T00:00:00"/>
    <d v="2027-04-08T00:00:00"/>
    <n v="702.87"/>
    <n v="482.72"/>
    <s v="OK"/>
    <s v=""/>
    <s v=""/>
    <n v="138.68"/>
    <n v="1185.5900000000001"/>
    <n v="47361.88"/>
    <n v="13"/>
    <x v="3"/>
    <n v="0"/>
    <n v="345"/>
  </r>
  <r>
    <x v="6"/>
    <s v="U0191"/>
    <x v="0"/>
    <n v="858"/>
    <x v="0"/>
    <x v="113"/>
    <n v="15092.25"/>
    <x v="164"/>
    <n v="181107"/>
    <s v=""/>
    <d v="2022-10-14T00:00:00"/>
    <d v="2027-08-06T00:00:00"/>
    <n v="1079.95"/>
    <n v="1484.84"/>
    <s v="OK"/>
    <s v=""/>
    <s v=""/>
    <n v="211.08041958041957"/>
    <n v="2564.79"/>
    <n v="179622.16"/>
    <n v="17"/>
    <x v="3"/>
    <n v="0"/>
    <n v="858"/>
  </r>
  <r>
    <x v="5"/>
    <s v="U0192"/>
    <x v="0"/>
    <n v="1407"/>
    <x v="0"/>
    <x v="114"/>
    <n v="8702.35"/>
    <x v="165"/>
    <n v="104428.20000000001"/>
    <s v=""/>
    <d v="2023-02-24T00:00:00"/>
    <d v="2026-10-29T00:00:00"/>
    <n v="3763.62"/>
    <n v="3458.8"/>
    <s v="OK"/>
    <s v=""/>
    <s v=""/>
    <n v="74.220469083155649"/>
    <n v="7222.42"/>
    <n v="100969.4"/>
    <n v="8"/>
    <x v="4"/>
    <n v="0"/>
    <n v="1407"/>
  </r>
  <r>
    <x v="2"/>
    <s v="U0193"/>
    <x v="0"/>
    <n v="1120"/>
    <x v="0"/>
    <x v="115"/>
    <n v="6738.33"/>
    <x v="166"/>
    <n v="80859.959999999992"/>
    <s v=""/>
    <d v="2023-01-12T00:00:00"/>
    <d v="2026-07-13T00:00:00"/>
    <n v="1674.47"/>
    <n v="1264.8900000000001"/>
    <s v="OK"/>
    <s v=""/>
    <s v=""/>
    <n v="72.196392857142868"/>
    <n v="2939.36"/>
    <n v="79595.070000000007"/>
    <n v="4"/>
    <x v="2"/>
    <n v="0"/>
    <n v="1120"/>
  </r>
  <r>
    <x v="1"/>
    <s v="U0194"/>
    <x v="3"/>
    <n v="406"/>
    <x v="0"/>
    <x v="87"/>
    <n v="5072.72"/>
    <x v="167"/>
    <n v="60872.639999999999"/>
    <s v=""/>
    <d v="2021-11-02T00:00:00"/>
    <d v="2025-01-10T00:00:00"/>
    <n v="530.82000000000005"/>
    <n v="729.93"/>
    <s v="OK"/>
    <s v=""/>
    <s v=""/>
    <n v="149.93261083743843"/>
    <n v="1260.75"/>
    <n v="60142.71"/>
    <n v="0"/>
    <x v="0"/>
    <n v="0"/>
    <n v="406"/>
  </r>
  <r>
    <x v="6"/>
    <s v="U0195"/>
    <x v="3"/>
    <n v="1259"/>
    <x v="0"/>
    <x v="84"/>
    <n v="18561.580000000002"/>
    <x v="168"/>
    <n v="222738.96000000002"/>
    <s v=""/>
    <d v="2023-08-02T00:00:00"/>
    <d v="2026-11-14T00:00:00"/>
    <n v="1416.99"/>
    <n v="1997.93"/>
    <s v="OK"/>
    <s v=""/>
    <s v=""/>
    <n v="176.91736298649721"/>
    <n v="3414.92"/>
    <n v="220741.03"/>
    <n v="8"/>
    <x v="4"/>
    <n v="0"/>
    <n v="1259"/>
  </r>
  <r>
    <x v="2"/>
    <s v="U0196"/>
    <x v="3"/>
    <n v="583"/>
    <x v="0"/>
    <x v="30"/>
    <n v="5356.44"/>
    <x v="169"/>
    <n v="64277.279999999999"/>
    <s v=""/>
    <d v="2023-01-23T00:00:00"/>
    <d v="2027-11-13T00:00:00"/>
    <n v="1494.39"/>
    <n v="1443.45"/>
    <s v="OK"/>
    <s v=""/>
    <s v=""/>
    <n v="110.2526243567753"/>
    <n v="2937.84"/>
    <n v="62833.83"/>
    <n v="20"/>
    <x v="3"/>
    <n v="0"/>
    <n v="583"/>
  </r>
  <r>
    <x v="3"/>
    <s v="U0197"/>
    <x v="1"/>
    <n v="1232"/>
    <x v="0"/>
    <x v="116"/>
    <n v="15140.03"/>
    <x v="170"/>
    <n v="181680.36000000002"/>
    <s v=""/>
    <d v="2022-10-25T00:00:00"/>
    <d v="2027-08-26T00:00:00"/>
    <n v="2558.1799999999998"/>
    <n v="740.8"/>
    <s v="OK"/>
    <s v=""/>
    <s v=""/>
    <n v="147.46782467532466"/>
    <n v="3298.9799999999996"/>
    <n v="180939.56"/>
    <n v="18"/>
    <x v="3"/>
    <n v="0"/>
    <n v="1232"/>
  </r>
  <r>
    <x v="3"/>
    <s v="U0198"/>
    <x v="2"/>
    <n v="566"/>
    <x v="0"/>
    <x v="117"/>
    <n v="5147.03"/>
    <x v="171"/>
    <n v="61764.36"/>
    <s v=""/>
    <d v="2021-10-14T00:00:00"/>
    <d v="2026-03-24T00:00:00"/>
    <n v="772.83"/>
    <n v="546.32000000000005"/>
    <s v="OK"/>
    <s v=""/>
    <s v=""/>
    <n v="109.1243109540636"/>
    <n v="1319.15"/>
    <n v="61218.04"/>
    <n v="1"/>
    <x v="0"/>
    <n v="0"/>
    <n v="566"/>
  </r>
  <r>
    <x v="0"/>
    <s v="U0199"/>
    <x v="0"/>
    <n v="652"/>
    <x v="1"/>
    <x v="1"/>
    <n v="0"/>
    <x v="1"/>
    <n v="0"/>
    <s v=""/>
    <m/>
    <m/>
    <n v="1270.1199999999999"/>
    <n v="1245.8900000000001"/>
    <s v="OK"/>
    <s v=""/>
    <s v="Rent&lt;=0"/>
    <s v=""/>
    <n v="2516.0100000000002"/>
    <s v=""/>
    <n v="0"/>
    <x v="1"/>
    <n v="652"/>
    <n v="0"/>
  </r>
  <r>
    <x v="6"/>
    <s v="U0200"/>
    <x v="2"/>
    <n v="250"/>
    <x v="0"/>
    <x v="115"/>
    <n v="1610.05"/>
    <x v="172"/>
    <n v="19320.599999999999"/>
    <s v=""/>
    <d v="2022-09-08T00:00:00"/>
    <d v="2025-11-07T00:00:00"/>
    <n v="608.23"/>
    <n v="444.48"/>
    <s v="OK"/>
    <s v=""/>
    <s v=""/>
    <n v="77.282399999999996"/>
    <n v="1052.71"/>
    <n v="18876.12"/>
    <n v="0"/>
    <x v="0"/>
    <n v="0"/>
    <n v="250"/>
  </r>
  <r>
    <x v="7"/>
    <s v="U0201"/>
    <x v="0"/>
    <n v="155"/>
    <x v="0"/>
    <x v="50"/>
    <n v="1001.74"/>
    <x v="173"/>
    <n v="12020.880000000001"/>
    <s v=""/>
    <d v="2023-10-04T00:00:00"/>
    <d v="2024-09-13T00:00:00"/>
    <n v="196.41"/>
    <n v="292.88"/>
    <s v="OK"/>
    <s v=""/>
    <s v=""/>
    <n v="77.554064516129031"/>
    <n v="489.28999999999996"/>
    <n v="11728"/>
    <n v="0"/>
    <x v="0"/>
    <n v="0"/>
    <n v="155"/>
  </r>
  <r>
    <x v="2"/>
    <s v="U0202"/>
    <x v="3"/>
    <n v="1417"/>
    <x v="0"/>
    <x v="118"/>
    <n v="13226.44"/>
    <x v="174"/>
    <n v="158717.28"/>
    <s v=""/>
    <d v="2023-10-30T00:00:00"/>
    <d v="2025-03-08T00:00:00"/>
    <n v="2280.2399999999998"/>
    <n v="2940.48"/>
    <s v="OK"/>
    <s v=""/>
    <s v=""/>
    <n v="112.00937191249118"/>
    <n v="5220.7199999999993"/>
    <n v="155776.79999999999"/>
    <n v="0"/>
    <x v="0"/>
    <n v="0"/>
    <n v="1417"/>
  </r>
  <r>
    <x v="4"/>
    <s v="U0203"/>
    <x v="2"/>
    <n v="1468"/>
    <x v="0"/>
    <x v="16"/>
    <n v="18039.21"/>
    <x v="175"/>
    <n v="216470.52"/>
    <s v=""/>
    <d v="2023-04-29T00:00:00"/>
    <d v="2023-12-09T00:00:00"/>
    <n v="4191.22"/>
    <n v="3151.73"/>
    <s v="OK"/>
    <s v=""/>
    <s v=""/>
    <n v="147.45948228882833"/>
    <n v="7342.9500000000007"/>
    <n v="213318.78999999998"/>
    <n v="0"/>
    <x v="0"/>
    <n v="0"/>
    <n v="1468"/>
  </r>
  <r>
    <x v="6"/>
    <s v="U0204"/>
    <x v="0"/>
    <n v="1226"/>
    <x v="0"/>
    <x v="68"/>
    <n v="13693.68"/>
    <x v="176"/>
    <n v="164324.16"/>
    <s v=""/>
    <d v="2022-08-09T00:00:00"/>
    <d v="2025-08-25T00:00:00"/>
    <n v="2292.62"/>
    <n v="2489.7800000000002"/>
    <s v="OK"/>
    <s v=""/>
    <s v=""/>
    <n v="134.03275693311582"/>
    <n v="4782.3999999999996"/>
    <n v="161834.38"/>
    <n v="0"/>
    <x v="0"/>
    <n v="0"/>
    <n v="1226"/>
  </r>
  <r>
    <x v="3"/>
    <s v="U0205"/>
    <x v="0"/>
    <n v="1466"/>
    <x v="0"/>
    <x v="91"/>
    <n v="13097.99"/>
    <x v="177"/>
    <n v="157175.88"/>
    <s v=""/>
    <d v="2023-06-14T00:00:00"/>
    <d v="2027-09-28T00:00:00"/>
    <n v="2754.83"/>
    <n v="1205.3"/>
    <s v="OK"/>
    <s v=""/>
    <s v=""/>
    <n v="107.21410641200546"/>
    <n v="3960.13"/>
    <n v="155970.58000000002"/>
    <n v="19"/>
    <x v="3"/>
    <n v="0"/>
    <n v="1466"/>
  </r>
  <r>
    <x v="3"/>
    <s v="U0206"/>
    <x v="1"/>
    <n v="850"/>
    <x v="0"/>
    <x v="56"/>
    <n v="9114.67"/>
    <x v="178"/>
    <n v="109376.04000000001"/>
    <s v=""/>
    <d v="2023-01-06T00:00:00"/>
    <d v="2026-03-01T00:00:00"/>
    <n v="1407.73"/>
    <n v="1132.0999999999999"/>
    <s v="OK"/>
    <s v=""/>
    <s v=""/>
    <n v="128.67769411764706"/>
    <n v="2539.83"/>
    <n v="108243.93999999999"/>
    <n v="0"/>
    <x v="0"/>
    <n v="0"/>
    <n v="850"/>
  </r>
  <r>
    <x v="5"/>
    <s v="U0207"/>
    <x v="1"/>
    <n v="174"/>
    <x v="0"/>
    <x v="55"/>
    <n v="2377.5700000000002"/>
    <x v="179"/>
    <n v="28530.840000000004"/>
    <s v=""/>
    <d v="2023-07-15T00:00:00"/>
    <d v="2027-10-17T00:00:00"/>
    <n v="208.64"/>
    <n v="123.53"/>
    <s v="OK"/>
    <s v=""/>
    <s v=""/>
    <n v="163.97034482758622"/>
    <n v="332.16999999999996"/>
    <n v="28407.31"/>
    <n v="19"/>
    <x v="3"/>
    <n v="0"/>
    <n v="174"/>
  </r>
  <r>
    <x v="5"/>
    <s v="U0208"/>
    <x v="0"/>
    <n v="471"/>
    <x v="1"/>
    <x v="1"/>
    <n v="0"/>
    <x v="1"/>
    <n v="0"/>
    <s v=""/>
    <m/>
    <m/>
    <n v="776.76"/>
    <n v="798.21"/>
    <s v="OK"/>
    <s v=""/>
    <s v="Rent&lt;=0"/>
    <s v=""/>
    <n v="1574.97"/>
    <s v=""/>
    <n v="0"/>
    <x v="1"/>
    <n v="471"/>
    <n v="0"/>
  </r>
  <r>
    <x v="6"/>
    <s v="U0209"/>
    <x v="1"/>
    <n v="143"/>
    <x v="0"/>
    <x v="56"/>
    <n v="2356.58"/>
    <x v="180"/>
    <n v="28278.959999999999"/>
    <s v=""/>
    <d v="2023-07-29T00:00:00"/>
    <d v="2024-12-25T00:00:00"/>
    <n v="277.49"/>
    <n v="293.42"/>
    <s v="OK"/>
    <s v=""/>
    <s v=""/>
    <n v="197.75496503496504"/>
    <n v="570.91000000000008"/>
    <n v="27985.54"/>
    <n v="0"/>
    <x v="0"/>
    <n v="0"/>
    <n v="143"/>
  </r>
  <r>
    <x v="4"/>
    <s v="U0210"/>
    <x v="1"/>
    <n v="43"/>
    <x v="0"/>
    <x v="37"/>
    <n v="408.41"/>
    <x v="181"/>
    <n v="4900.92"/>
    <s v=""/>
    <d v="2022-03-29T00:00:00"/>
    <d v="2022-10-11T00:00:00"/>
    <n v="61.87"/>
    <n v="39"/>
    <s v="OK"/>
    <s v=""/>
    <s v=""/>
    <n v="113.97488372093024"/>
    <n v="100.87"/>
    <n v="4861.92"/>
    <n v="0"/>
    <x v="0"/>
    <n v="0"/>
    <n v="43"/>
  </r>
  <r>
    <x v="2"/>
    <s v="U0211"/>
    <x v="2"/>
    <n v="162"/>
    <x v="0"/>
    <x v="119"/>
    <n v="1370.56"/>
    <x v="182"/>
    <n v="16446.72"/>
    <s v=""/>
    <d v="2021-11-03T00:00:00"/>
    <d v="2025-02-05T00:00:00"/>
    <n v="474.88"/>
    <n v="404.62"/>
    <s v="OK"/>
    <s v=""/>
    <s v=""/>
    <n v="101.52296296296296"/>
    <n v="879.5"/>
    <n v="16042.1"/>
    <n v="0"/>
    <x v="0"/>
    <n v="0"/>
    <n v="162"/>
  </r>
  <r>
    <x v="7"/>
    <s v="U0212"/>
    <x v="1"/>
    <n v="229"/>
    <x v="0"/>
    <x v="120"/>
    <n v="3869.02"/>
    <x v="183"/>
    <n v="46428.24"/>
    <s v=""/>
    <d v="2021-09-04T00:00:00"/>
    <d v="2024-07-15T00:00:00"/>
    <n v="285.62"/>
    <n v="353.37"/>
    <s v="OK"/>
    <s v=""/>
    <s v=""/>
    <n v="202.74340611353711"/>
    <n v="638.99"/>
    <n v="46074.869999999995"/>
    <n v="0"/>
    <x v="0"/>
    <n v="0"/>
    <n v="229"/>
  </r>
  <r>
    <x v="7"/>
    <s v="U0213"/>
    <x v="0"/>
    <n v="377"/>
    <x v="0"/>
    <x v="22"/>
    <n v="3803.82"/>
    <x v="184"/>
    <n v="45645.840000000004"/>
    <s v=""/>
    <d v="2023-11-01T00:00:00"/>
    <d v="2026-09-19T00:00:00"/>
    <n v="1071.99"/>
    <n v="248.42"/>
    <s v="OK"/>
    <s v=""/>
    <s v=""/>
    <n v="121.07649867374005"/>
    <n v="1320.41"/>
    <n v="45397.42"/>
    <n v="6"/>
    <x v="2"/>
    <n v="0"/>
    <n v="377"/>
  </r>
  <r>
    <x v="3"/>
    <s v="U0214"/>
    <x v="3"/>
    <n v="954"/>
    <x v="0"/>
    <x v="121"/>
    <n v="10153.59"/>
    <x v="185"/>
    <n v="121843.08"/>
    <s v=""/>
    <d v="2022-11-07T00:00:00"/>
    <d v="2025-06-30T00:00:00"/>
    <n v="2182.81"/>
    <n v="677.56"/>
    <s v="OK"/>
    <s v=""/>
    <s v=""/>
    <n v="127.71811320754718"/>
    <n v="2860.37"/>
    <n v="121165.52"/>
    <n v="0"/>
    <x v="0"/>
    <n v="0"/>
    <n v="954"/>
  </r>
  <r>
    <x v="6"/>
    <s v="U0215"/>
    <x v="2"/>
    <n v="767"/>
    <x v="0"/>
    <x v="122"/>
    <n v="8212.43"/>
    <x v="186"/>
    <n v="98549.16"/>
    <s v=""/>
    <d v="2023-08-13T00:00:00"/>
    <d v="2024-03-07T00:00:00"/>
    <n v="800.81"/>
    <n v="1138.6199999999999"/>
    <s v="OK"/>
    <s v=""/>
    <s v=""/>
    <n v="128.48651890482398"/>
    <n v="1939.4299999999998"/>
    <n v="97410.540000000008"/>
    <n v="0"/>
    <x v="0"/>
    <n v="0"/>
    <n v="767"/>
  </r>
  <r>
    <x v="6"/>
    <s v="U0216"/>
    <x v="2"/>
    <n v="860"/>
    <x v="0"/>
    <x v="111"/>
    <n v="5195.8500000000004"/>
    <x v="187"/>
    <n v="62350.200000000004"/>
    <s v=""/>
    <d v="2023-08-02T00:00:00"/>
    <d v="2028-05-13T00:00:00"/>
    <n v="2367.65"/>
    <n v="1574.67"/>
    <s v="OK"/>
    <s v=""/>
    <s v=""/>
    <n v="72.50023255813953"/>
    <n v="3942.32"/>
    <n v="60775.53"/>
    <n v="26"/>
    <x v="3"/>
    <n v="0"/>
    <n v="860"/>
  </r>
  <r>
    <x v="6"/>
    <s v="U0217"/>
    <x v="0"/>
    <n v="651"/>
    <x v="0"/>
    <x v="52"/>
    <n v="6173.01"/>
    <x v="188"/>
    <n v="74076.12"/>
    <s v=""/>
    <d v="2023-09-12T00:00:00"/>
    <d v="2027-01-23T00:00:00"/>
    <n v="1186.49"/>
    <n v="1201.5"/>
    <s v="OK"/>
    <s v=""/>
    <s v=""/>
    <n v="113.78820276497696"/>
    <n v="2387.9899999999998"/>
    <n v="72874.62"/>
    <n v="11"/>
    <x v="4"/>
    <n v="0"/>
    <n v="651"/>
  </r>
  <r>
    <x v="1"/>
    <s v="U0218"/>
    <x v="3"/>
    <n v="701"/>
    <x v="0"/>
    <x v="10"/>
    <n v="10098.24"/>
    <x v="189"/>
    <n v="121178.88"/>
    <s v=""/>
    <d v="2023-10-18T00:00:00"/>
    <d v="2028-05-27T00:00:00"/>
    <n v="877.49"/>
    <n v="1095.25"/>
    <s v="OK"/>
    <s v=""/>
    <s v=""/>
    <n v="172.86573466476463"/>
    <n v="1972.74"/>
    <n v="120083.63"/>
    <n v="27"/>
    <x v="3"/>
    <n v="0"/>
    <n v="701"/>
  </r>
  <r>
    <x v="2"/>
    <s v="U0219"/>
    <x v="3"/>
    <n v="1438"/>
    <x v="0"/>
    <x v="58"/>
    <n v="17825.34"/>
    <x v="190"/>
    <n v="213904.08000000002"/>
    <s v=""/>
    <d v="2022-04-26T00:00:00"/>
    <d v="2024-12-19T00:00:00"/>
    <n v="3381.73"/>
    <n v="1049.68"/>
    <s v="OK"/>
    <s v=""/>
    <s v=""/>
    <n v="148.75109874826146"/>
    <n v="4431.41"/>
    <n v="212854.39999999999"/>
    <n v="0"/>
    <x v="0"/>
    <n v="0"/>
    <n v="1438"/>
  </r>
  <r>
    <x v="1"/>
    <s v="U0220"/>
    <x v="3"/>
    <n v="848"/>
    <x v="0"/>
    <x v="120"/>
    <n v="5143.63"/>
    <x v="191"/>
    <n v="61723.56"/>
    <s v=""/>
    <d v="2022-03-19T00:00:00"/>
    <d v="2024-05-05T00:00:00"/>
    <n v="2533.9699999999998"/>
    <n v="1538.63"/>
    <s v="OK"/>
    <s v=""/>
    <s v=""/>
    <n v="72.787216981132076"/>
    <n v="4072.6"/>
    <n v="60184.93"/>
    <n v="0"/>
    <x v="0"/>
    <n v="0"/>
    <n v="848"/>
  </r>
  <r>
    <x v="2"/>
    <s v="U0221"/>
    <x v="0"/>
    <n v="485"/>
    <x v="0"/>
    <x v="106"/>
    <n v="5728.47"/>
    <x v="192"/>
    <n v="68741.64"/>
    <s v=""/>
    <d v="2021-11-05T00:00:00"/>
    <d v="2023-01-22T00:00:00"/>
    <n v="975.59"/>
    <n v="1182.75"/>
    <s v="OK"/>
    <s v=""/>
    <s v=""/>
    <n v="141.73534020618555"/>
    <n v="2158.34"/>
    <n v="67558.89"/>
    <n v="0"/>
    <x v="0"/>
    <n v="0"/>
    <n v="485"/>
  </r>
  <r>
    <x v="3"/>
    <s v="U0222"/>
    <x v="2"/>
    <n v="130"/>
    <x v="0"/>
    <x v="103"/>
    <n v="2121.5"/>
    <x v="193"/>
    <n v="25458"/>
    <s v=""/>
    <d v="2022-02-28T00:00:00"/>
    <d v="2023-05-19T00:00:00"/>
    <n v="334.11"/>
    <n v="190.1"/>
    <s v="OK"/>
    <s v=""/>
    <s v=""/>
    <n v="195.83076923076922"/>
    <n v="524.21"/>
    <n v="25267.9"/>
    <n v="0"/>
    <x v="0"/>
    <n v="0"/>
    <n v="130"/>
  </r>
  <r>
    <x v="6"/>
    <s v="U0223"/>
    <x v="3"/>
    <n v="1468"/>
    <x v="0"/>
    <x v="69"/>
    <n v="19321.05"/>
    <x v="194"/>
    <n v="231852.59999999998"/>
    <s v=""/>
    <d v="2023-05-26T00:00:00"/>
    <d v="2026-12-01T00:00:00"/>
    <n v="1474.02"/>
    <n v="1438.13"/>
    <s v="OK"/>
    <s v=""/>
    <s v=""/>
    <n v="157.93773841961854"/>
    <n v="2912.15"/>
    <n v="230414.47"/>
    <n v="9"/>
    <x v="4"/>
    <n v="0"/>
    <n v="1468"/>
  </r>
  <r>
    <x v="5"/>
    <s v="U0224"/>
    <x v="0"/>
    <n v="909"/>
    <x v="0"/>
    <x v="27"/>
    <n v="8886.81"/>
    <x v="195"/>
    <n v="106641.72"/>
    <s v=""/>
    <d v="2021-05-08T00:00:00"/>
    <d v="2022-02-11T00:00:00"/>
    <n v="2025.1"/>
    <n v="685.1"/>
    <s v="OK"/>
    <s v=""/>
    <s v=""/>
    <n v="117.31762376237624"/>
    <n v="2710.2"/>
    <n v="105956.62"/>
    <n v="0"/>
    <x v="0"/>
    <n v="0"/>
    <n v="909"/>
  </r>
  <r>
    <x v="0"/>
    <s v="U0225"/>
    <x v="1"/>
    <n v="1060"/>
    <x v="0"/>
    <x v="61"/>
    <n v="18311.439999999999"/>
    <x v="196"/>
    <n v="219737.27999999997"/>
    <s v=""/>
    <d v="2023-03-18T00:00:00"/>
    <d v="2024-04-09T00:00:00"/>
    <n v="1672.67"/>
    <n v="1173.54"/>
    <s v="OK"/>
    <s v=""/>
    <s v=""/>
    <n v="207.29932075471697"/>
    <n v="2846.21"/>
    <n v="218563.74"/>
    <n v="0"/>
    <x v="0"/>
    <n v="0"/>
    <n v="1060"/>
  </r>
  <r>
    <x v="0"/>
    <s v="U0226"/>
    <x v="1"/>
    <n v="971"/>
    <x v="0"/>
    <x v="123"/>
    <n v="10015.14"/>
    <x v="197"/>
    <n v="120181.68"/>
    <s v=""/>
    <d v="2022-06-09T00:00:00"/>
    <d v="2026-07-24T00:00:00"/>
    <n v="1353.55"/>
    <n v="1116.52"/>
    <s v="OK"/>
    <s v=""/>
    <s v=""/>
    <n v="123.77104016477857"/>
    <n v="2470.0699999999997"/>
    <n v="119065.15999999999"/>
    <n v="5"/>
    <x v="2"/>
    <n v="0"/>
    <n v="971"/>
  </r>
  <r>
    <x v="3"/>
    <s v="U0227"/>
    <x v="0"/>
    <n v="692"/>
    <x v="0"/>
    <x v="42"/>
    <n v="8867.02"/>
    <x v="198"/>
    <n v="106404.24"/>
    <s v=""/>
    <d v="2021-09-04T00:00:00"/>
    <d v="2025-01-20T00:00:00"/>
    <n v="1038.9000000000001"/>
    <n v="1623.66"/>
    <s v="OK"/>
    <s v=""/>
    <s v=""/>
    <n v="153.76335260115607"/>
    <n v="2662.5600000000004"/>
    <n v="104780.58"/>
    <n v="0"/>
    <x v="0"/>
    <n v="0"/>
    <n v="692"/>
  </r>
  <r>
    <x v="0"/>
    <s v="U0228"/>
    <x v="1"/>
    <n v="1275"/>
    <x v="1"/>
    <x v="1"/>
    <n v="0"/>
    <x v="1"/>
    <n v="0"/>
    <s v=""/>
    <m/>
    <m/>
    <n v="1870.48"/>
    <n v="2508.64"/>
    <s v="OK"/>
    <s v=""/>
    <s v="Rent&lt;=0"/>
    <s v=""/>
    <n v="4379.12"/>
    <s v=""/>
    <n v="0"/>
    <x v="1"/>
    <n v="1275"/>
    <n v="0"/>
  </r>
  <r>
    <x v="3"/>
    <s v="U0229"/>
    <x v="1"/>
    <n v="1317"/>
    <x v="0"/>
    <x v="57"/>
    <n v="22950.58"/>
    <x v="199"/>
    <n v="275406.96000000002"/>
    <s v=""/>
    <d v="2022-01-17T00:00:00"/>
    <d v="2023-12-11T00:00:00"/>
    <n v="3833.91"/>
    <n v="931.14"/>
    <s v="OK"/>
    <s v=""/>
    <s v=""/>
    <n v="209.11690205011391"/>
    <n v="4765.05"/>
    <n v="274475.82"/>
    <n v="0"/>
    <x v="0"/>
    <n v="0"/>
    <n v="1317"/>
  </r>
  <r>
    <x v="5"/>
    <s v="U0230"/>
    <x v="2"/>
    <n v="861"/>
    <x v="0"/>
    <x v="111"/>
    <n v="7278.1"/>
    <x v="200"/>
    <n v="87337.200000000012"/>
    <s v=""/>
    <d v="2023-02-18T00:00:00"/>
    <d v="2023-08-24T00:00:00"/>
    <n v="2075.2199999999998"/>
    <n v="1798.75"/>
    <s v="OK"/>
    <s v=""/>
    <s v=""/>
    <n v="101.4369337979094"/>
    <n v="3873.97"/>
    <n v="85538.45"/>
    <n v="0"/>
    <x v="0"/>
    <n v="0"/>
    <n v="861"/>
  </r>
  <r>
    <x v="1"/>
    <s v="U0231"/>
    <x v="2"/>
    <n v="870"/>
    <x v="1"/>
    <x v="1"/>
    <n v="0"/>
    <x v="1"/>
    <n v="0"/>
    <s v=""/>
    <m/>
    <m/>
    <n v="2583.94"/>
    <n v="1783.89"/>
    <s v="OK"/>
    <s v=""/>
    <s v="Rent&lt;=0"/>
    <s v=""/>
    <n v="4367.83"/>
    <s v=""/>
    <n v="0"/>
    <x v="1"/>
    <n v="870"/>
    <n v="0"/>
  </r>
  <r>
    <x v="5"/>
    <s v="U0232"/>
    <x v="2"/>
    <n v="320"/>
    <x v="0"/>
    <x v="124"/>
    <n v="3240.91"/>
    <x v="201"/>
    <n v="38890.92"/>
    <s v=""/>
    <d v="2022-02-22T00:00:00"/>
    <d v="2026-07-27T00:00:00"/>
    <n v="680.39"/>
    <n v="564.66999999999996"/>
    <s v="OK"/>
    <s v=""/>
    <s v=""/>
    <n v="121.53412499999999"/>
    <n v="1245.06"/>
    <n v="38326.25"/>
    <n v="5"/>
    <x v="2"/>
    <n v="0"/>
    <n v="320"/>
  </r>
  <r>
    <x v="0"/>
    <s v="U0233"/>
    <x v="3"/>
    <n v="985"/>
    <x v="0"/>
    <x v="61"/>
    <n v="7078.44"/>
    <x v="202"/>
    <n v="84941.28"/>
    <s v=""/>
    <d v="2021-12-15T00:00:00"/>
    <d v="2026-11-03T00:00:00"/>
    <n v="2236.4899999999998"/>
    <n v="2319.52"/>
    <s v="OK"/>
    <s v=""/>
    <s v=""/>
    <n v="86.234802030456848"/>
    <n v="4556.01"/>
    <n v="82621.759999999995"/>
    <n v="8"/>
    <x v="4"/>
    <n v="0"/>
    <n v="985"/>
  </r>
  <r>
    <x v="5"/>
    <s v="U0234"/>
    <x v="2"/>
    <n v="1275"/>
    <x v="0"/>
    <x v="81"/>
    <n v="17154.490000000002"/>
    <x v="203"/>
    <n v="205853.88"/>
    <s v=""/>
    <d v="2023-06-21T00:00:00"/>
    <d v="2024-11-16T00:00:00"/>
    <n v="2336.5300000000002"/>
    <n v="1047.57"/>
    <s v="OK"/>
    <s v=""/>
    <s v=""/>
    <n v="161.45402352941176"/>
    <n v="3384.1000000000004"/>
    <n v="204806.31"/>
    <n v="0"/>
    <x v="0"/>
    <n v="0"/>
    <n v="1275"/>
  </r>
  <r>
    <x v="4"/>
    <s v="U0235"/>
    <x v="1"/>
    <n v="667"/>
    <x v="0"/>
    <x v="21"/>
    <n v="11218.99"/>
    <x v="204"/>
    <n v="134627.88"/>
    <s v=""/>
    <d v="2021-11-03T00:00:00"/>
    <d v="2023-08-17T00:00:00"/>
    <n v="1245.32"/>
    <n v="1037.68"/>
    <s v="OK"/>
    <s v=""/>
    <s v=""/>
    <n v="201.84089955022489"/>
    <n v="2283"/>
    <n v="133590.20000000001"/>
    <n v="0"/>
    <x v="0"/>
    <n v="0"/>
    <n v="667"/>
  </r>
  <r>
    <x v="6"/>
    <s v="U0236"/>
    <x v="0"/>
    <n v="1426"/>
    <x v="0"/>
    <x v="22"/>
    <n v="14591.64"/>
    <x v="205"/>
    <n v="175099.68"/>
    <s v=""/>
    <d v="2023-10-19T00:00:00"/>
    <d v="2026-02-11T00:00:00"/>
    <n v="3859.89"/>
    <n v="2761.71"/>
    <s v="OK"/>
    <s v=""/>
    <s v=""/>
    <n v="122.79079943899018"/>
    <n v="6621.6"/>
    <n v="172337.97"/>
    <n v="0"/>
    <x v="0"/>
    <n v="0"/>
    <n v="1426"/>
  </r>
  <r>
    <x v="3"/>
    <s v="U0237"/>
    <x v="3"/>
    <n v="1205"/>
    <x v="0"/>
    <x v="125"/>
    <n v="14186.75"/>
    <x v="206"/>
    <n v="170241"/>
    <s v=""/>
    <d v="2022-11-01T00:00:00"/>
    <d v="2023-08-11T00:00:00"/>
    <n v="1442.18"/>
    <n v="2416.7600000000002"/>
    <s v="OK"/>
    <s v=""/>
    <s v=""/>
    <n v="141.27883817427386"/>
    <n v="3858.9400000000005"/>
    <n v="167824.24"/>
    <n v="0"/>
    <x v="0"/>
    <n v="0"/>
    <n v="1205"/>
  </r>
  <r>
    <x v="3"/>
    <s v="U0238"/>
    <x v="3"/>
    <n v="361"/>
    <x v="1"/>
    <x v="1"/>
    <n v="0"/>
    <x v="1"/>
    <n v="0"/>
    <s v=""/>
    <m/>
    <m/>
    <n v="1074.4000000000001"/>
    <n v="732.51"/>
    <s v="OK"/>
    <s v=""/>
    <s v="Rent&lt;=0"/>
    <s v=""/>
    <n v="1806.91"/>
    <s v=""/>
    <n v="0"/>
    <x v="1"/>
    <n v="361"/>
    <n v="0"/>
  </r>
  <r>
    <x v="2"/>
    <s v="U0239"/>
    <x v="3"/>
    <n v="787"/>
    <x v="0"/>
    <x v="72"/>
    <n v="11863.97"/>
    <x v="207"/>
    <n v="142367.63999999998"/>
    <s v=""/>
    <d v="2023-01-05T00:00:00"/>
    <d v="2023-07-21T00:00:00"/>
    <n v="832.76"/>
    <n v="488.84"/>
    <s v="OK"/>
    <s v=""/>
    <s v=""/>
    <n v="180.89916137229989"/>
    <n v="1321.6"/>
    <n v="141878.80000000002"/>
    <n v="0"/>
    <x v="0"/>
    <n v="0"/>
    <n v="787"/>
  </r>
  <r>
    <x v="2"/>
    <s v="U0240"/>
    <x v="1"/>
    <n v="199"/>
    <x v="0"/>
    <x v="101"/>
    <n v="3522.71"/>
    <x v="208"/>
    <n v="42272.520000000004"/>
    <s v=""/>
    <d v="2023-03-03T00:00:00"/>
    <d v="2026-05-11T00:00:00"/>
    <n v="338.68"/>
    <n v="122.67"/>
    <s v="OK"/>
    <s v=""/>
    <s v=""/>
    <n v="212.42472361809044"/>
    <n v="461.35"/>
    <n v="42149.85"/>
    <n v="2"/>
    <x v="0"/>
    <n v="0"/>
    <n v="199"/>
  </r>
  <r>
    <x v="1"/>
    <s v="U0241"/>
    <x v="2"/>
    <n v="578"/>
    <x v="0"/>
    <x v="37"/>
    <n v="3806.78"/>
    <x v="209"/>
    <n v="45681.36"/>
    <s v=""/>
    <d v="2021-08-27T00:00:00"/>
    <d v="2022-09-18T00:00:00"/>
    <n v="804.25"/>
    <n v="686.24"/>
    <s v="OK"/>
    <s v=""/>
    <s v=""/>
    <n v="79.033494809688577"/>
    <n v="1490.49"/>
    <n v="44995.12"/>
    <n v="0"/>
    <x v="0"/>
    <n v="0"/>
    <n v="578"/>
  </r>
  <r>
    <x v="6"/>
    <s v="U0242"/>
    <x v="2"/>
    <n v="566"/>
    <x v="0"/>
    <x v="3"/>
    <n v="8728.09"/>
    <x v="210"/>
    <n v="104737.08"/>
    <s v=""/>
    <d v="2023-06-17T00:00:00"/>
    <d v="2028-03-16T00:00:00"/>
    <n v="616.99"/>
    <n v="377.36"/>
    <s v="OK"/>
    <s v=""/>
    <s v=""/>
    <n v="185.04784452296821"/>
    <n v="994.35"/>
    <n v="104359.72"/>
    <n v="24"/>
    <x v="3"/>
    <n v="0"/>
    <n v="566"/>
  </r>
  <r>
    <x v="2"/>
    <s v="U0243"/>
    <x v="1"/>
    <n v="623"/>
    <x v="0"/>
    <x v="126"/>
    <n v="11101.12"/>
    <x v="211"/>
    <n v="133213.44"/>
    <s v=""/>
    <d v="2023-05-14T00:00:00"/>
    <d v="2026-02-18T00:00:00"/>
    <n v="1431.69"/>
    <n v="1029.93"/>
    <s v="OK"/>
    <s v=""/>
    <s v=""/>
    <n v="213.82574638844301"/>
    <n v="2461.62"/>
    <n v="132183.51"/>
    <n v="0"/>
    <x v="0"/>
    <n v="0"/>
    <n v="623"/>
  </r>
  <r>
    <x v="0"/>
    <s v="U0244"/>
    <x v="0"/>
    <n v="1421"/>
    <x v="0"/>
    <x v="87"/>
    <n v="20684.18"/>
    <x v="212"/>
    <n v="248210.16"/>
    <s v=""/>
    <d v="2023-11-10T00:00:00"/>
    <d v="2028-09-18T00:00:00"/>
    <n v="3247.84"/>
    <n v="1009.17"/>
    <s v="OK"/>
    <s v=""/>
    <s v=""/>
    <n v="174.67287825475017"/>
    <n v="4257.01"/>
    <n v="247200.99"/>
    <n v="30"/>
    <x v="3"/>
    <n v="0"/>
    <n v="1421"/>
  </r>
  <r>
    <x v="6"/>
    <s v="U0245"/>
    <x v="2"/>
    <n v="895"/>
    <x v="0"/>
    <x v="68"/>
    <n v="10253.629999999999"/>
    <x v="213"/>
    <n v="123043.56"/>
    <s v=""/>
    <d v="2022-06-12T00:00:00"/>
    <d v="2026-06-28T00:00:00"/>
    <n v="2159.2399999999998"/>
    <n v="450.28"/>
    <s v="OK"/>
    <s v=""/>
    <s v=""/>
    <n v="137.47883798882683"/>
    <n v="2609.5199999999995"/>
    <n v="122593.28"/>
    <n v="4"/>
    <x v="2"/>
    <n v="0"/>
    <n v="895"/>
  </r>
  <r>
    <x v="3"/>
    <s v="U0246"/>
    <x v="2"/>
    <n v="1448"/>
    <x v="0"/>
    <x v="66"/>
    <n v="13469.14"/>
    <x v="214"/>
    <n v="161629.68"/>
    <s v=""/>
    <d v="2021-04-26T00:00:00"/>
    <d v="2022-09-20T00:00:00"/>
    <n v="4164.13"/>
    <n v="3240.89"/>
    <s v="OK"/>
    <s v=""/>
    <s v=""/>
    <n v="111.62270718232044"/>
    <n v="7405.02"/>
    <n v="158388.78999999998"/>
    <n v="0"/>
    <x v="0"/>
    <n v="0"/>
    <n v="1448"/>
  </r>
  <r>
    <x v="6"/>
    <s v="U0247"/>
    <x v="1"/>
    <n v="291"/>
    <x v="0"/>
    <x v="127"/>
    <n v="5193.4799999999996"/>
    <x v="215"/>
    <n v="62321.759999999995"/>
    <s v=""/>
    <d v="2023-09-02T00:00:00"/>
    <d v="2028-01-07T00:00:00"/>
    <n v="815.6"/>
    <n v="642.96"/>
    <s v="OK"/>
    <s v=""/>
    <s v=""/>
    <n v="214.16412371134021"/>
    <n v="1458.56"/>
    <n v="61678.8"/>
    <n v="22"/>
    <x v="3"/>
    <n v="0"/>
    <n v="291"/>
  </r>
  <r>
    <x v="4"/>
    <s v="U0248"/>
    <x v="1"/>
    <n v="1284"/>
    <x v="0"/>
    <x v="91"/>
    <n v="13173.91"/>
    <x v="216"/>
    <n v="158086.91999999998"/>
    <s v=""/>
    <d v="2023-12-16T00:00:00"/>
    <d v="2028-10-04T00:00:00"/>
    <n v="1546.6"/>
    <n v="2354.67"/>
    <s v="OK"/>
    <s v=""/>
    <s v=""/>
    <n v="123.12065420560748"/>
    <n v="3901.27"/>
    <n v="155732.25"/>
    <n v="31"/>
    <x v="3"/>
    <n v="0"/>
    <n v="1284"/>
  </r>
  <r>
    <x v="0"/>
    <s v="U0249"/>
    <x v="2"/>
    <n v="113"/>
    <x v="1"/>
    <x v="1"/>
    <n v="0"/>
    <x v="1"/>
    <n v="0"/>
    <s v=""/>
    <m/>
    <m/>
    <n v="305.48"/>
    <n v="77.94"/>
    <s v="OK"/>
    <s v=""/>
    <s v="Rent&lt;=0"/>
    <s v=""/>
    <n v="383.42"/>
    <s v=""/>
    <n v="0"/>
    <x v="1"/>
    <n v="113"/>
    <n v="0"/>
  </r>
  <r>
    <x v="4"/>
    <s v="U0250"/>
    <x v="0"/>
    <n v="1319"/>
    <x v="0"/>
    <x v="128"/>
    <n v="13727.44"/>
    <x v="217"/>
    <n v="164729.28"/>
    <s v=""/>
    <d v="2021-07-25T00:00:00"/>
    <d v="2023-05-19T00:00:00"/>
    <n v="2644.35"/>
    <n v="3270.93"/>
    <s v="OK"/>
    <s v=""/>
    <s v=""/>
    <n v="124.88952236542835"/>
    <n v="5915.28"/>
    <n v="161458.35"/>
    <n v="0"/>
    <x v="0"/>
    <n v="0"/>
    <n v="1319"/>
  </r>
  <r>
    <x v="1"/>
    <s v="U0251"/>
    <x v="3"/>
    <n v="1182"/>
    <x v="0"/>
    <x v="129"/>
    <n v="11810.83"/>
    <x v="218"/>
    <n v="141729.96"/>
    <s v=""/>
    <d v="2021-10-17T00:00:00"/>
    <d v="2024-03-29T00:00:00"/>
    <n v="3069.43"/>
    <n v="821.43"/>
    <s v="OK"/>
    <s v=""/>
    <s v=""/>
    <n v="119.90690355329949"/>
    <n v="3890.8599999999997"/>
    <n v="140908.53"/>
    <n v="0"/>
    <x v="0"/>
    <n v="0"/>
    <n v="1182"/>
  </r>
  <r>
    <x v="1"/>
    <s v="U0252"/>
    <x v="3"/>
    <n v="663"/>
    <x v="0"/>
    <x v="130"/>
    <n v="9581.48"/>
    <x v="219"/>
    <n v="114977.76"/>
    <s v=""/>
    <d v="2023-05-16T00:00:00"/>
    <d v="2026-01-29T00:00:00"/>
    <n v="1371.59"/>
    <n v="773.13"/>
    <s v="OK"/>
    <s v=""/>
    <s v=""/>
    <n v="173.42045248868777"/>
    <n v="2144.7199999999998"/>
    <n v="114204.62999999999"/>
    <n v="0"/>
    <x v="0"/>
    <n v="0"/>
    <n v="663"/>
  </r>
  <r>
    <x v="0"/>
    <s v="U0253"/>
    <x v="2"/>
    <n v="1125"/>
    <x v="0"/>
    <x v="27"/>
    <n v="12123.8"/>
    <x v="220"/>
    <n v="145485.59999999998"/>
    <s v=""/>
    <d v="2022-05-27T00:00:00"/>
    <d v="2025-12-10T00:00:00"/>
    <n v="2341.34"/>
    <n v="2169.87"/>
    <s v="OK"/>
    <s v=""/>
    <s v=""/>
    <n v="129.32053333333334"/>
    <n v="4511.21"/>
    <n v="143315.73000000001"/>
    <n v="0"/>
    <x v="0"/>
    <n v="0"/>
    <n v="1125"/>
  </r>
  <r>
    <x v="4"/>
    <s v="U0254"/>
    <x v="2"/>
    <n v="868"/>
    <x v="0"/>
    <x v="48"/>
    <n v="12028.24"/>
    <x v="221"/>
    <n v="144338.88"/>
    <s v=""/>
    <d v="2022-01-15T00:00:00"/>
    <d v="2025-07-18T00:00:00"/>
    <n v="2394.36"/>
    <n v="1357.48"/>
    <s v="OK"/>
    <s v=""/>
    <s v=""/>
    <n v="166.28903225806451"/>
    <n v="3751.84"/>
    <n v="142981.4"/>
    <n v="0"/>
    <x v="0"/>
    <n v="0"/>
    <n v="868"/>
  </r>
  <r>
    <x v="3"/>
    <s v="U0255"/>
    <x v="1"/>
    <n v="1211"/>
    <x v="0"/>
    <x v="131"/>
    <n v="11158.92"/>
    <x v="222"/>
    <n v="133907.04"/>
    <s v=""/>
    <d v="2022-02-26T00:00:00"/>
    <d v="2025-03-31T00:00:00"/>
    <n v="1380.35"/>
    <n v="1312.52"/>
    <s v="OK"/>
    <s v=""/>
    <s v=""/>
    <n v="110.57559042113957"/>
    <n v="2692.87"/>
    <n v="132594.52000000002"/>
    <n v="0"/>
    <x v="0"/>
    <n v="0"/>
    <n v="1211"/>
  </r>
  <r>
    <x v="4"/>
    <s v="U0256"/>
    <x v="0"/>
    <n v="1306"/>
    <x v="0"/>
    <x v="112"/>
    <n v="21377.51"/>
    <x v="223"/>
    <n v="256530.12"/>
    <s v=""/>
    <d v="2022-07-17T00:00:00"/>
    <d v="2025-01-25T00:00:00"/>
    <n v="1798.49"/>
    <n v="1707.22"/>
    <s v="OK"/>
    <s v=""/>
    <s v=""/>
    <n v="196.42428790199079"/>
    <n v="3505.71"/>
    <n v="254822.9"/>
    <n v="0"/>
    <x v="0"/>
    <n v="0"/>
    <n v="1306"/>
  </r>
  <r>
    <x v="1"/>
    <s v="U0257"/>
    <x v="1"/>
    <n v="1065"/>
    <x v="0"/>
    <x v="97"/>
    <n v="9261.65"/>
    <x v="224"/>
    <n v="111139.79999999999"/>
    <s v=""/>
    <d v="2023-05-23T00:00:00"/>
    <d v="2027-11-30T00:00:00"/>
    <n v="1869.29"/>
    <n v="1399.89"/>
    <s v="OK"/>
    <s v=""/>
    <s v=""/>
    <n v="104.35661971830986"/>
    <n v="3269.1800000000003"/>
    <n v="109739.91"/>
    <n v="21"/>
    <x v="3"/>
    <n v="0"/>
    <n v="1065"/>
  </r>
  <r>
    <x v="6"/>
    <s v="U0258"/>
    <x v="1"/>
    <n v="606"/>
    <x v="0"/>
    <x v="44"/>
    <n v="9430.5300000000007"/>
    <x v="225"/>
    <n v="113166.36000000002"/>
    <s v=""/>
    <d v="2021-06-15T00:00:00"/>
    <d v="2024-05-26T00:00:00"/>
    <n v="1647.28"/>
    <n v="1135.04"/>
    <s v="OK"/>
    <s v=""/>
    <s v=""/>
    <n v="186.74316831683169"/>
    <n v="2782.3199999999997"/>
    <n v="112031.32"/>
    <n v="0"/>
    <x v="0"/>
    <n v="0"/>
    <n v="606"/>
  </r>
  <r>
    <x v="4"/>
    <s v="U0259"/>
    <x v="0"/>
    <n v="1292"/>
    <x v="0"/>
    <x v="28"/>
    <n v="13841.72"/>
    <x v="226"/>
    <n v="166100.63999999998"/>
    <s v=""/>
    <d v="2023-06-12T00:00:00"/>
    <d v="2025-04-22T00:00:00"/>
    <n v="1464.11"/>
    <n v="2822.58"/>
    <s v="OK"/>
    <s v=""/>
    <s v=""/>
    <n v="128.56086687306504"/>
    <n v="4286.6899999999996"/>
    <n v="163278.06000000003"/>
    <n v="0"/>
    <x v="0"/>
    <n v="0"/>
    <n v="1292"/>
  </r>
  <r>
    <x v="5"/>
    <s v="U0260"/>
    <x v="0"/>
    <n v="737"/>
    <x v="0"/>
    <x v="132"/>
    <n v="11569.91"/>
    <x v="227"/>
    <n v="138838.91999999998"/>
    <s v=""/>
    <d v="2021-05-29T00:00:00"/>
    <d v="2024-10-26T00:00:00"/>
    <n v="1021.83"/>
    <n v="795.58"/>
    <s v="OK"/>
    <s v=""/>
    <s v=""/>
    <n v="188.38388059701495"/>
    <n v="1817.41"/>
    <n v="138043.34000000003"/>
    <n v="0"/>
    <x v="0"/>
    <n v="0"/>
    <n v="737"/>
  </r>
  <r>
    <x v="3"/>
    <s v="U0261"/>
    <x v="1"/>
    <n v="932"/>
    <x v="0"/>
    <x v="31"/>
    <n v="7401.95"/>
    <x v="228"/>
    <n v="88823.4"/>
    <s v=""/>
    <d v="2022-05-14T00:00:00"/>
    <d v="2023-04-18T00:00:00"/>
    <n v="2443.35"/>
    <n v="757.45"/>
    <s v="OK"/>
    <s v=""/>
    <s v=""/>
    <n v="95.304077253218878"/>
    <n v="3200.8"/>
    <n v="88065.95"/>
    <n v="0"/>
    <x v="0"/>
    <n v="0"/>
    <n v="932"/>
  </r>
  <r>
    <x v="5"/>
    <s v="U0262"/>
    <x v="2"/>
    <n v="907"/>
    <x v="0"/>
    <x v="68"/>
    <n v="12409.13"/>
    <x v="229"/>
    <n v="148909.56"/>
    <s v=""/>
    <d v="2023-03-29T00:00:00"/>
    <d v="2025-02-12T00:00:00"/>
    <n v="1980.97"/>
    <n v="1518.78"/>
    <s v="OK"/>
    <s v=""/>
    <s v=""/>
    <n v="164.17812568908488"/>
    <n v="3499.75"/>
    <n v="147390.78"/>
    <n v="0"/>
    <x v="0"/>
    <n v="0"/>
    <n v="907"/>
  </r>
  <r>
    <x v="1"/>
    <s v="U0263"/>
    <x v="2"/>
    <n v="1243"/>
    <x v="0"/>
    <x v="133"/>
    <n v="14047.51"/>
    <x v="230"/>
    <n v="168570.12"/>
    <s v=""/>
    <d v="2021-06-09T00:00:00"/>
    <d v="2021-12-07T00:00:00"/>
    <n v="3340.25"/>
    <n v="1271.97"/>
    <s v="OK"/>
    <s v=""/>
    <s v=""/>
    <n v="135.61554304102975"/>
    <n v="4612.22"/>
    <n v="167298.15"/>
    <n v="0"/>
    <x v="0"/>
    <n v="0"/>
    <n v="1243"/>
  </r>
  <r>
    <x v="0"/>
    <s v="U0264"/>
    <x v="3"/>
    <n v="1219"/>
    <x v="0"/>
    <x v="51"/>
    <n v="14433.44"/>
    <x v="231"/>
    <n v="173201.28"/>
    <s v=""/>
    <d v="2021-08-05T00:00:00"/>
    <d v="2022-08-14T00:00:00"/>
    <n v="3482.79"/>
    <n v="1141.3900000000001"/>
    <s v="OK"/>
    <s v=""/>
    <s v=""/>
    <n v="142.08472518457751"/>
    <n v="4624.18"/>
    <n v="172059.88999999998"/>
    <n v="0"/>
    <x v="0"/>
    <n v="0"/>
    <n v="1219"/>
  </r>
  <r>
    <x v="2"/>
    <s v="U0265"/>
    <x v="2"/>
    <n v="1121"/>
    <x v="0"/>
    <x v="121"/>
    <n v="10977.23"/>
    <x v="232"/>
    <n v="131726.76"/>
    <s v=""/>
    <d v="2021-08-28T00:00:00"/>
    <d v="2023-06-27T00:00:00"/>
    <n v="1740.74"/>
    <n v="2055.2399999999998"/>
    <s v="OK"/>
    <s v=""/>
    <s v=""/>
    <n v="117.50826048171277"/>
    <n v="3795.9799999999996"/>
    <n v="129671.52"/>
    <n v="0"/>
    <x v="0"/>
    <n v="0"/>
    <n v="1121"/>
  </r>
  <r>
    <x v="3"/>
    <s v="U0266"/>
    <x v="0"/>
    <n v="816"/>
    <x v="0"/>
    <x v="90"/>
    <n v="7869.55"/>
    <x v="233"/>
    <n v="94434.6"/>
    <s v=""/>
    <d v="2022-05-05T00:00:00"/>
    <d v="2023-02-17T00:00:00"/>
    <n v="1300.73"/>
    <n v="686.34"/>
    <s v="OK"/>
    <s v=""/>
    <s v=""/>
    <n v="115.72867647058824"/>
    <n v="1987.0700000000002"/>
    <n v="93748.260000000009"/>
    <n v="0"/>
    <x v="0"/>
    <n v="0"/>
    <n v="816"/>
  </r>
  <r>
    <x v="0"/>
    <s v="U0267"/>
    <x v="3"/>
    <n v="831"/>
    <x v="0"/>
    <x v="44"/>
    <n v="6279.65"/>
    <x v="234"/>
    <n v="75355.799999999988"/>
    <s v=""/>
    <d v="2021-09-13T00:00:00"/>
    <d v="2024-10-22T00:00:00"/>
    <n v="2301.5"/>
    <n v="877.18"/>
    <s v="OK"/>
    <s v=""/>
    <s v=""/>
    <n v="90.680866425992789"/>
    <n v="3178.68"/>
    <n v="74478.62000000001"/>
    <n v="0"/>
    <x v="0"/>
    <n v="0"/>
    <n v="831"/>
  </r>
  <r>
    <x v="2"/>
    <s v="U0268"/>
    <x v="0"/>
    <n v="1481"/>
    <x v="1"/>
    <x v="1"/>
    <n v="0"/>
    <x v="1"/>
    <n v="0"/>
    <s v=""/>
    <m/>
    <m/>
    <n v="4308.04"/>
    <n v="3570.43"/>
    <s v="OK"/>
    <s v=""/>
    <s v="Rent&lt;=0"/>
    <s v=""/>
    <n v="7878.4699999999993"/>
    <s v=""/>
    <n v="0"/>
    <x v="1"/>
    <n v="1481"/>
    <n v="0"/>
  </r>
  <r>
    <x v="3"/>
    <s v="U0269"/>
    <x v="2"/>
    <n v="784"/>
    <x v="0"/>
    <x v="110"/>
    <n v="6149.55"/>
    <x v="235"/>
    <n v="73794.600000000006"/>
    <s v=""/>
    <d v="2022-05-17T00:00:00"/>
    <d v="2023-01-27T00:00:00"/>
    <n v="1081.3699999999999"/>
    <n v="1367.92"/>
    <s v="OK"/>
    <s v=""/>
    <s v=""/>
    <n v="94.12576530612246"/>
    <n v="2449.29"/>
    <n v="72426.680000000008"/>
    <n v="0"/>
    <x v="0"/>
    <n v="0"/>
    <n v="784"/>
  </r>
  <r>
    <x v="3"/>
    <s v="U0270"/>
    <x v="0"/>
    <n v="709"/>
    <x v="0"/>
    <x v="134"/>
    <n v="8072.65"/>
    <x v="236"/>
    <n v="96871.799999999988"/>
    <s v=""/>
    <d v="2023-06-01T00:00:00"/>
    <d v="2026-05-28T00:00:00"/>
    <n v="1473.89"/>
    <n v="1159.49"/>
    <s v="OK"/>
    <s v=""/>
    <s v=""/>
    <n v="136.63159379407617"/>
    <n v="2633.38"/>
    <n v="95712.31"/>
    <n v="3"/>
    <x v="0"/>
    <n v="0"/>
    <n v="709"/>
  </r>
  <r>
    <x v="7"/>
    <s v="U0271"/>
    <x v="3"/>
    <n v="288"/>
    <x v="0"/>
    <x v="74"/>
    <n v="2628.04"/>
    <x v="237"/>
    <n v="31536.48"/>
    <s v=""/>
    <d v="2022-01-22T00:00:00"/>
    <d v="2024-10-06T00:00:00"/>
    <n v="350.7"/>
    <n v="400.82"/>
    <s v="OK"/>
    <s v=""/>
    <s v=""/>
    <n v="109.50166666666667"/>
    <n v="751.52"/>
    <n v="31135.66"/>
    <n v="0"/>
    <x v="0"/>
    <n v="0"/>
    <n v="288"/>
  </r>
  <r>
    <x v="1"/>
    <s v="U0272"/>
    <x v="2"/>
    <n v="1258"/>
    <x v="0"/>
    <x v="3"/>
    <n v="17573.45"/>
    <x v="238"/>
    <n v="210881.40000000002"/>
    <s v=""/>
    <d v="2022-06-03T00:00:00"/>
    <d v="2023-09-09T00:00:00"/>
    <n v="1344.37"/>
    <n v="2963.51"/>
    <s v="OK"/>
    <s v=""/>
    <s v=""/>
    <n v="167.63227344992052"/>
    <n v="4307.88"/>
    <n v="207917.88999999998"/>
    <n v="0"/>
    <x v="0"/>
    <n v="0"/>
    <n v="1258"/>
  </r>
  <r>
    <x v="1"/>
    <s v="U0273"/>
    <x v="0"/>
    <n v="1187"/>
    <x v="0"/>
    <x v="135"/>
    <n v="13280.47"/>
    <x v="239"/>
    <n v="159365.63999999998"/>
    <s v=""/>
    <d v="2021-04-19T00:00:00"/>
    <d v="2023-12-17T00:00:00"/>
    <n v="1730.5"/>
    <n v="2733.89"/>
    <s v="OK"/>
    <s v=""/>
    <s v=""/>
    <n v="134.25917438921653"/>
    <n v="4464.3899999999994"/>
    <n v="156631.75"/>
    <n v="0"/>
    <x v="0"/>
    <n v="0"/>
    <n v="1187"/>
  </r>
  <r>
    <x v="1"/>
    <s v="U0274"/>
    <x v="2"/>
    <n v="923"/>
    <x v="0"/>
    <x v="30"/>
    <n v="10482.98"/>
    <x v="240"/>
    <n v="125795.76"/>
    <s v=""/>
    <d v="2022-10-27T00:00:00"/>
    <d v="2023-07-07T00:00:00"/>
    <n v="1449.54"/>
    <n v="556.03"/>
    <s v="OK"/>
    <s v=""/>
    <s v=""/>
    <n v="136.29009750812568"/>
    <n v="2005.57"/>
    <n v="125239.73"/>
    <n v="0"/>
    <x v="0"/>
    <n v="0"/>
    <n v="923"/>
  </r>
  <r>
    <x v="7"/>
    <s v="U0275"/>
    <x v="1"/>
    <n v="1238"/>
    <x v="0"/>
    <x v="136"/>
    <n v="20531.669999999998"/>
    <x v="241"/>
    <n v="246380.03999999998"/>
    <s v=""/>
    <d v="2023-11-05T00:00:00"/>
    <d v="2026-11-28T00:00:00"/>
    <n v="2347.3200000000002"/>
    <n v="2848.92"/>
    <s v="OK"/>
    <s v=""/>
    <s v=""/>
    <n v="199.01457189014539"/>
    <n v="5196.24"/>
    <n v="243531.12"/>
    <n v="9"/>
    <x v="4"/>
    <n v="0"/>
    <n v="1238"/>
  </r>
  <r>
    <x v="3"/>
    <s v="U0276"/>
    <x v="1"/>
    <n v="976"/>
    <x v="0"/>
    <x v="106"/>
    <n v="15485.99"/>
    <x v="242"/>
    <n v="185831.88"/>
    <s v=""/>
    <d v="2023-03-10T00:00:00"/>
    <d v="2023-10-03T00:00:00"/>
    <n v="1888.16"/>
    <n v="1453"/>
    <s v="OK"/>
    <s v=""/>
    <s v=""/>
    <n v="190.40151639344262"/>
    <n v="3341.16"/>
    <n v="184378.88"/>
    <n v="0"/>
    <x v="0"/>
    <n v="0"/>
    <n v="976"/>
  </r>
  <r>
    <x v="0"/>
    <s v="U0277"/>
    <x v="0"/>
    <n v="106"/>
    <x v="0"/>
    <x v="24"/>
    <n v="1138.29"/>
    <x v="243"/>
    <n v="13659.48"/>
    <s v=""/>
    <d v="2023-03-09T00:00:00"/>
    <d v="2026-09-21T00:00:00"/>
    <n v="295"/>
    <n v="67.510000000000005"/>
    <s v="OK"/>
    <s v=""/>
    <s v=""/>
    <n v="128.86301886792452"/>
    <n v="362.51"/>
    <n v="13591.97"/>
    <n v="7"/>
    <x v="4"/>
    <n v="0"/>
    <n v="106"/>
  </r>
  <r>
    <x v="0"/>
    <s v="U0278"/>
    <x v="0"/>
    <n v="488"/>
    <x v="0"/>
    <x v="42"/>
    <n v="6526.15"/>
    <x v="244"/>
    <n v="78313.799999999988"/>
    <s v=""/>
    <d v="2023-11-02T00:00:00"/>
    <d v="2026-03-28T00:00:00"/>
    <n v="492.15"/>
    <n v="487.89"/>
    <s v="OK"/>
    <s v=""/>
    <s v=""/>
    <n v="160.47909836065574"/>
    <n v="980.04"/>
    <n v="77825.91"/>
    <n v="1"/>
    <x v="0"/>
    <n v="0"/>
    <n v="488"/>
  </r>
  <r>
    <x v="0"/>
    <s v="U0279"/>
    <x v="2"/>
    <n v="81"/>
    <x v="0"/>
    <x v="137"/>
    <n v="1179.27"/>
    <x v="245"/>
    <n v="14151.24"/>
    <s v=""/>
    <d v="2022-03-22T00:00:00"/>
    <d v="2023-12-01T00:00:00"/>
    <n v="142.53"/>
    <n v="73.38"/>
    <s v="OK"/>
    <s v=""/>
    <s v=""/>
    <n v="174.70666666666668"/>
    <n v="215.91"/>
    <n v="14077.86"/>
    <n v="0"/>
    <x v="0"/>
    <n v="0"/>
    <n v="81"/>
  </r>
  <r>
    <x v="1"/>
    <s v="U0280"/>
    <x v="2"/>
    <n v="1232"/>
    <x v="0"/>
    <x v="82"/>
    <n v="8562.11"/>
    <x v="246"/>
    <n v="102745.32"/>
    <s v=""/>
    <d v="2022-12-28T00:00:00"/>
    <d v="2024-01-22T00:00:00"/>
    <n v="2195.6999999999998"/>
    <n v="836.15"/>
    <s v="OK"/>
    <s v=""/>
    <s v=""/>
    <n v="83.397175324675331"/>
    <n v="3031.85"/>
    <n v="101909.17000000001"/>
    <n v="0"/>
    <x v="0"/>
    <n v="0"/>
    <n v="1232"/>
  </r>
  <r>
    <x v="5"/>
    <s v="U0281"/>
    <x v="0"/>
    <n v="980"/>
    <x v="0"/>
    <x v="80"/>
    <n v="7900.49"/>
    <x v="247"/>
    <n v="94805.88"/>
    <s v=""/>
    <d v="2022-07-03T00:00:00"/>
    <d v="2025-03-15T00:00:00"/>
    <n v="1837.08"/>
    <n v="625.22"/>
    <s v="OK"/>
    <s v=""/>
    <s v=""/>
    <n v="96.740693877551024"/>
    <n v="2462.3000000000002"/>
    <n v="94180.66"/>
    <n v="0"/>
    <x v="0"/>
    <n v="0"/>
    <n v="980"/>
  </r>
  <r>
    <x v="7"/>
    <s v="U0282"/>
    <x v="1"/>
    <n v="331"/>
    <x v="0"/>
    <x v="114"/>
    <n v="3165.13"/>
    <x v="248"/>
    <n v="37981.56"/>
    <s v=""/>
    <d v="2021-07-29T00:00:00"/>
    <d v="2024-09-06T00:00:00"/>
    <n v="506.81"/>
    <n v="279.74"/>
    <s v="OK"/>
    <s v=""/>
    <s v=""/>
    <n v="114.74791540785498"/>
    <n v="786.55"/>
    <n v="37701.82"/>
    <n v="0"/>
    <x v="0"/>
    <n v="0"/>
    <n v="331"/>
  </r>
  <r>
    <x v="4"/>
    <s v="U0283"/>
    <x v="1"/>
    <n v="1460"/>
    <x v="1"/>
    <x v="1"/>
    <n v="0"/>
    <x v="1"/>
    <n v="0"/>
    <s v=""/>
    <m/>
    <m/>
    <n v="2858.59"/>
    <n v="1129.1500000000001"/>
    <s v="OK"/>
    <s v=""/>
    <s v="Rent&lt;=0"/>
    <s v=""/>
    <n v="3987.7400000000002"/>
    <s v=""/>
    <n v="0"/>
    <x v="1"/>
    <n v="1460"/>
    <n v="0"/>
  </r>
  <r>
    <x v="4"/>
    <s v="U0284"/>
    <x v="0"/>
    <n v="1210"/>
    <x v="0"/>
    <x v="110"/>
    <n v="13787.9"/>
    <x v="249"/>
    <n v="165454.79999999999"/>
    <s v=""/>
    <d v="2023-08-04T00:00:00"/>
    <d v="2027-02-22T00:00:00"/>
    <n v="2390.36"/>
    <n v="862.57"/>
    <s v="OK"/>
    <s v=""/>
    <s v=""/>
    <n v="136.73950413223139"/>
    <n v="3252.9300000000003"/>
    <n v="164592.22999999998"/>
    <n v="12"/>
    <x v="4"/>
    <n v="0"/>
    <n v="1210"/>
  </r>
  <r>
    <x v="1"/>
    <s v="U0285"/>
    <x v="1"/>
    <n v="571"/>
    <x v="0"/>
    <x v="138"/>
    <n v="7851.82"/>
    <x v="250"/>
    <n v="94221.84"/>
    <s v=""/>
    <d v="2022-06-16T00:00:00"/>
    <d v="2024-05-12T00:00:00"/>
    <n v="747.16"/>
    <n v="304.94"/>
    <s v="OK"/>
    <s v=""/>
    <s v=""/>
    <n v="165.01197898423817"/>
    <n v="1052.0999999999999"/>
    <n v="93916.9"/>
    <n v="0"/>
    <x v="0"/>
    <n v="0"/>
    <n v="571"/>
  </r>
  <r>
    <x v="2"/>
    <s v="U0286"/>
    <x v="2"/>
    <n v="926"/>
    <x v="0"/>
    <x v="44"/>
    <n v="9100.9599999999991"/>
    <x v="251"/>
    <n v="109211.51999999999"/>
    <s v=""/>
    <d v="2021-04-06T00:00:00"/>
    <d v="2025-08-05T00:00:00"/>
    <n v="1356.3"/>
    <n v="2238.13"/>
    <s v="OK"/>
    <s v=""/>
    <s v=""/>
    <n v="117.93900647948165"/>
    <n v="3594.4300000000003"/>
    <n v="106973.39"/>
    <n v="0"/>
    <x v="0"/>
    <n v="0"/>
    <n v="926"/>
  </r>
  <r>
    <x v="6"/>
    <s v="U0287"/>
    <x v="3"/>
    <n v="49"/>
    <x v="0"/>
    <x v="6"/>
    <n v="637.78"/>
    <x v="252"/>
    <n v="7653.36"/>
    <s v=""/>
    <d v="2023-02-10T00:00:00"/>
    <d v="2025-05-05T00:00:00"/>
    <n v="97.67"/>
    <n v="68.25"/>
    <s v="OK"/>
    <s v=""/>
    <s v=""/>
    <n v="156.19102040816327"/>
    <n v="165.92000000000002"/>
    <n v="7585.11"/>
    <n v="0"/>
    <x v="0"/>
    <n v="0"/>
    <n v="49"/>
  </r>
  <r>
    <x v="1"/>
    <s v="U0288"/>
    <x v="3"/>
    <n v="1020"/>
    <x v="0"/>
    <x v="139"/>
    <n v="17994.990000000002"/>
    <x v="253"/>
    <n v="215939.88"/>
    <s v=""/>
    <d v="2023-06-11T00:00:00"/>
    <d v="2027-06-24T00:00:00"/>
    <n v="1778.99"/>
    <n v="1874.36"/>
    <s v="OK"/>
    <s v=""/>
    <s v=""/>
    <n v="211.70576470588236"/>
    <n v="3653.35"/>
    <n v="214065.52000000002"/>
    <n v="16"/>
    <x v="3"/>
    <n v="0"/>
    <n v="1020"/>
  </r>
  <r>
    <x v="3"/>
    <s v="U0289"/>
    <x v="2"/>
    <n v="733"/>
    <x v="0"/>
    <x v="140"/>
    <n v="7837.59"/>
    <x v="254"/>
    <n v="94051.08"/>
    <s v=""/>
    <d v="2021-05-31T00:00:00"/>
    <d v="2022-05-10T00:00:00"/>
    <n v="746.48"/>
    <n v="1693.19"/>
    <s v="OK"/>
    <s v=""/>
    <s v=""/>
    <n v="128.30979536152796"/>
    <n v="2439.67"/>
    <n v="92357.89"/>
    <n v="0"/>
    <x v="0"/>
    <n v="0"/>
    <n v="733"/>
  </r>
  <r>
    <x v="5"/>
    <s v="U0290"/>
    <x v="3"/>
    <n v="72"/>
    <x v="0"/>
    <x v="100"/>
    <n v="1143.33"/>
    <x v="255"/>
    <n v="13719.96"/>
    <s v=""/>
    <d v="2023-08-20T00:00:00"/>
    <d v="2024-07-04T00:00:00"/>
    <n v="72.27"/>
    <n v="120.22"/>
    <s v="OK"/>
    <s v=""/>
    <s v=""/>
    <n v="190.55499999999998"/>
    <n v="192.49"/>
    <n v="13599.74"/>
    <n v="0"/>
    <x v="0"/>
    <n v="0"/>
    <n v="72"/>
  </r>
  <r>
    <x v="3"/>
    <s v="U0291"/>
    <x v="3"/>
    <n v="500"/>
    <x v="0"/>
    <x v="61"/>
    <n v="4235.62"/>
    <x v="256"/>
    <n v="50827.44"/>
    <s v=""/>
    <d v="2022-07-27T00:00:00"/>
    <d v="2024-09-25T00:00:00"/>
    <n v="915.81"/>
    <n v="314.49"/>
    <s v="OK"/>
    <s v=""/>
    <s v=""/>
    <n v="101.65488000000001"/>
    <n v="1230.3"/>
    <n v="50512.950000000004"/>
    <n v="0"/>
    <x v="0"/>
    <n v="0"/>
    <n v="500"/>
  </r>
  <r>
    <x v="7"/>
    <s v="U0292"/>
    <x v="3"/>
    <n v="1067"/>
    <x v="0"/>
    <x v="141"/>
    <n v="8200.6"/>
    <x v="257"/>
    <n v="98407.200000000012"/>
    <s v=""/>
    <d v="2021-11-26T00:00:00"/>
    <d v="2023-03-25T00:00:00"/>
    <n v="2740.96"/>
    <n v="1278.76"/>
    <s v="OK"/>
    <s v=""/>
    <s v=""/>
    <n v="92.227928772258664"/>
    <n v="4019.7200000000003"/>
    <n v="97128.44"/>
    <n v="0"/>
    <x v="0"/>
    <n v="0"/>
    <n v="1067"/>
  </r>
  <r>
    <x v="5"/>
    <s v="U0293"/>
    <x v="3"/>
    <n v="317"/>
    <x v="0"/>
    <x v="25"/>
    <n v="3380.11"/>
    <x v="258"/>
    <n v="40561.32"/>
    <s v=""/>
    <d v="2021-05-30T00:00:00"/>
    <d v="2024-03-01T00:00:00"/>
    <n v="350.54"/>
    <n v="375.9"/>
    <s v="OK"/>
    <s v=""/>
    <s v=""/>
    <n v="127.95369085173502"/>
    <n v="726.44"/>
    <n v="40185.42"/>
    <n v="0"/>
    <x v="0"/>
    <n v="0"/>
    <n v="317"/>
  </r>
  <r>
    <x v="1"/>
    <s v="U0294"/>
    <x v="2"/>
    <n v="1407"/>
    <x v="0"/>
    <x v="142"/>
    <n v="10290.18"/>
    <x v="259"/>
    <n v="123482.16"/>
    <s v=""/>
    <d v="2023-01-08T00:00:00"/>
    <d v="2025-05-05T00:00:00"/>
    <n v="2528.39"/>
    <n v="1708.29"/>
    <s v="OK"/>
    <s v=""/>
    <s v=""/>
    <n v="87.762729211087418"/>
    <n v="4236.68"/>
    <n v="121773.87000000001"/>
    <n v="0"/>
    <x v="0"/>
    <n v="0"/>
    <n v="1407"/>
  </r>
  <r>
    <x v="2"/>
    <s v="U0295"/>
    <x v="3"/>
    <n v="230"/>
    <x v="0"/>
    <x v="84"/>
    <n v="2861.89"/>
    <x v="260"/>
    <n v="34342.68"/>
    <s v=""/>
    <d v="2023-06-02T00:00:00"/>
    <d v="2025-06-30T00:00:00"/>
    <n v="673.52"/>
    <n v="304.17"/>
    <s v="OK"/>
    <s v=""/>
    <s v=""/>
    <n v="149.316"/>
    <n v="977.69"/>
    <n v="34038.51"/>
    <n v="0"/>
    <x v="0"/>
    <n v="0"/>
    <n v="230"/>
  </r>
  <r>
    <x v="1"/>
    <s v="U0296"/>
    <x v="2"/>
    <n v="1143"/>
    <x v="0"/>
    <x v="19"/>
    <n v="11363.16"/>
    <x v="261"/>
    <n v="136357.91999999998"/>
    <s v=""/>
    <d v="2023-12-27T00:00:00"/>
    <d v="2028-06-13T00:00:00"/>
    <n v="2253.48"/>
    <n v="1776.11"/>
    <s v="OK"/>
    <s v=""/>
    <s v=""/>
    <n v="119.29826771653545"/>
    <n v="4029.59"/>
    <n v="134581.81000000003"/>
    <n v="27"/>
    <x v="3"/>
    <n v="0"/>
    <n v="1143"/>
  </r>
  <r>
    <x v="6"/>
    <s v="U0297"/>
    <x v="2"/>
    <n v="610"/>
    <x v="0"/>
    <x v="75"/>
    <n v="9036.81"/>
    <x v="262"/>
    <n v="108441.72"/>
    <s v=""/>
    <d v="2022-05-31T00:00:00"/>
    <d v="2025-11-11T00:00:00"/>
    <n v="1682.9"/>
    <n v="345.02"/>
    <s v="OK"/>
    <s v=""/>
    <s v=""/>
    <n v="177.77331147540983"/>
    <n v="2027.92"/>
    <n v="108096.7"/>
    <n v="0"/>
    <x v="0"/>
    <n v="0"/>
    <n v="610"/>
  </r>
  <r>
    <x v="4"/>
    <s v="U0298"/>
    <x v="3"/>
    <n v="416"/>
    <x v="1"/>
    <x v="1"/>
    <n v="0"/>
    <x v="1"/>
    <n v="0"/>
    <s v=""/>
    <m/>
    <m/>
    <n v="1144.53"/>
    <n v="447.46"/>
    <s v="OK"/>
    <s v=""/>
    <s v="Rent&lt;=0"/>
    <s v=""/>
    <n v="1591.99"/>
    <s v=""/>
    <n v="0"/>
    <x v="1"/>
    <n v="416"/>
    <n v="0"/>
  </r>
  <r>
    <x v="1"/>
    <s v="U0299"/>
    <x v="1"/>
    <n v="1390"/>
    <x v="0"/>
    <x v="143"/>
    <n v="11428.83"/>
    <x v="263"/>
    <n v="137145.96"/>
    <s v=""/>
    <d v="2023-01-25T00:00:00"/>
    <d v="2024-08-16T00:00:00"/>
    <n v="4077.01"/>
    <n v="3088.13"/>
    <s v="OK"/>
    <s v=""/>
    <s v=""/>
    <n v="98.666158273381285"/>
    <n v="7165.14"/>
    <n v="134057.82999999999"/>
    <n v="0"/>
    <x v="0"/>
    <n v="0"/>
    <n v="1390"/>
  </r>
  <r>
    <x v="5"/>
    <s v="U0300"/>
    <x v="0"/>
    <n v="1322"/>
    <x v="0"/>
    <x v="65"/>
    <n v="12631.54"/>
    <x v="264"/>
    <n v="151578.48000000001"/>
    <s v=""/>
    <d v="2021-08-28T00:00:00"/>
    <d v="2025-12-22T00:00:00"/>
    <n v="2931.08"/>
    <n v="1674.42"/>
    <s v="OK"/>
    <s v=""/>
    <s v=""/>
    <n v="114.65845688350984"/>
    <n v="4605.5"/>
    <n v="149904.06"/>
    <n v="0"/>
    <x v="0"/>
    <n v="0"/>
    <n v="1322"/>
  </r>
  <r>
    <x v="2"/>
    <s v="U0301"/>
    <x v="1"/>
    <n v="417"/>
    <x v="0"/>
    <x v="58"/>
    <n v="4524.76"/>
    <x v="265"/>
    <n v="54297.120000000003"/>
    <s v=""/>
    <d v="2022-03-31T00:00:00"/>
    <d v="2025-03-06T00:00:00"/>
    <n v="875.91"/>
    <n v="662.07"/>
    <s v="OK"/>
    <s v=""/>
    <s v=""/>
    <n v="130.20892086330934"/>
    <n v="1537.98"/>
    <n v="53635.05"/>
    <n v="0"/>
    <x v="0"/>
    <n v="0"/>
    <n v="417"/>
  </r>
  <r>
    <x v="0"/>
    <s v="U0302"/>
    <x v="1"/>
    <n v="957"/>
    <x v="0"/>
    <x v="68"/>
    <n v="5878.29"/>
    <x v="266"/>
    <n v="70539.48"/>
    <s v=""/>
    <d v="2022-07-01T00:00:00"/>
    <d v="2026-11-13T00:00:00"/>
    <n v="1360.8"/>
    <n v="1326.67"/>
    <s v="OK"/>
    <s v=""/>
    <s v=""/>
    <n v="73.708965517241381"/>
    <n v="2687.4700000000003"/>
    <n v="69212.81"/>
    <n v="8"/>
    <x v="4"/>
    <n v="0"/>
    <n v="957"/>
  </r>
  <r>
    <x v="7"/>
    <s v="U0303"/>
    <x v="3"/>
    <n v="904"/>
    <x v="0"/>
    <x v="144"/>
    <n v="15566.6"/>
    <x v="267"/>
    <n v="186799.2"/>
    <s v=""/>
    <d v="2023-02-03T00:00:00"/>
    <d v="2027-12-23T00:00:00"/>
    <n v="1984.63"/>
    <n v="893.09"/>
    <s v="OK"/>
    <s v=""/>
    <s v=""/>
    <n v="206.63628318584071"/>
    <n v="2877.7200000000003"/>
    <n v="185906.11000000002"/>
    <n v="22"/>
    <x v="3"/>
    <n v="0"/>
    <n v="904"/>
  </r>
  <r>
    <x v="1"/>
    <s v="U0304"/>
    <x v="2"/>
    <n v="1055"/>
    <x v="0"/>
    <x v="122"/>
    <n v="11721.12"/>
    <x v="268"/>
    <n v="140653.44"/>
    <s v=""/>
    <d v="2022-08-13T00:00:00"/>
    <d v="2024-03-30T00:00:00"/>
    <n v="1707.82"/>
    <n v="2582.69"/>
    <s v="OK"/>
    <s v=""/>
    <s v=""/>
    <n v="133.32079620853079"/>
    <n v="4290.51"/>
    <n v="138070.75"/>
    <n v="0"/>
    <x v="0"/>
    <n v="0"/>
    <n v="1055"/>
  </r>
  <r>
    <x v="7"/>
    <s v="U0305"/>
    <x v="2"/>
    <n v="1309"/>
    <x v="0"/>
    <x v="145"/>
    <n v="22127.87"/>
    <x v="269"/>
    <n v="265534.44"/>
    <s v=""/>
    <d v="2023-10-17T00:00:00"/>
    <d v="2024-05-17T00:00:00"/>
    <n v="2467.16"/>
    <n v="2862.67"/>
    <s v="OK"/>
    <s v=""/>
    <s v=""/>
    <n v="202.85289533995416"/>
    <n v="5329.83"/>
    <n v="262671.77"/>
    <n v="0"/>
    <x v="0"/>
    <n v="0"/>
    <n v="1309"/>
  </r>
  <r>
    <x v="6"/>
    <s v="U0306"/>
    <x v="2"/>
    <n v="144"/>
    <x v="0"/>
    <x v="143"/>
    <n v="2533.36"/>
    <x v="270"/>
    <n v="30400.32"/>
    <s v=""/>
    <d v="2023-11-25T00:00:00"/>
    <d v="2028-03-05T00:00:00"/>
    <n v="250.98"/>
    <n v="161.71"/>
    <s v="OK"/>
    <s v=""/>
    <s v=""/>
    <n v="211.11333333333334"/>
    <n v="412.69"/>
    <n v="30238.61"/>
    <n v="24"/>
    <x v="3"/>
    <n v="0"/>
    <n v="144"/>
  </r>
  <r>
    <x v="5"/>
    <s v="U0307"/>
    <x v="3"/>
    <n v="1223"/>
    <x v="0"/>
    <x v="6"/>
    <n v="17297.29"/>
    <x v="271"/>
    <n v="207567.48"/>
    <s v=""/>
    <d v="2021-04-11T00:00:00"/>
    <d v="2022-09-29T00:00:00"/>
    <n v="1762.79"/>
    <n v="1191.1400000000001"/>
    <s v="OK"/>
    <s v=""/>
    <s v=""/>
    <n v="169.71993458708096"/>
    <n v="2953.9300000000003"/>
    <n v="206376.34"/>
    <n v="0"/>
    <x v="0"/>
    <n v="0"/>
    <n v="1223"/>
  </r>
  <r>
    <x v="4"/>
    <s v="U0308"/>
    <x v="3"/>
    <n v="906"/>
    <x v="0"/>
    <x v="20"/>
    <n v="7534.59"/>
    <x v="272"/>
    <n v="90415.08"/>
    <s v=""/>
    <d v="2022-08-05T00:00:00"/>
    <d v="2023-04-08T00:00:00"/>
    <n v="2394.37"/>
    <n v="1256.72"/>
    <s v="OK"/>
    <s v=""/>
    <s v=""/>
    <n v="99.795894039735103"/>
    <n v="3651.09"/>
    <n v="89158.36"/>
    <n v="0"/>
    <x v="0"/>
    <n v="0"/>
    <n v="906"/>
  </r>
  <r>
    <x v="7"/>
    <s v="U0309"/>
    <x v="0"/>
    <n v="1449"/>
    <x v="0"/>
    <x v="95"/>
    <n v="20239.34"/>
    <x v="273"/>
    <n v="242872.08000000002"/>
    <s v=""/>
    <d v="2023-08-30T00:00:00"/>
    <d v="2025-11-10T00:00:00"/>
    <n v="2088.81"/>
    <n v="848.51"/>
    <s v="OK"/>
    <s v=""/>
    <s v=""/>
    <n v="167.61358178053828"/>
    <n v="2937.3199999999997"/>
    <n v="242023.56999999998"/>
    <n v="0"/>
    <x v="0"/>
    <n v="0"/>
    <n v="1449"/>
  </r>
  <r>
    <x v="6"/>
    <s v="U0310"/>
    <x v="1"/>
    <n v="707"/>
    <x v="1"/>
    <x v="1"/>
    <n v="0"/>
    <x v="1"/>
    <n v="0"/>
    <s v=""/>
    <m/>
    <m/>
    <n v="2051.5500000000002"/>
    <n v="1360.92"/>
    <s v="OK"/>
    <s v=""/>
    <s v="Rent&lt;=0"/>
    <s v=""/>
    <n v="3412.4700000000003"/>
    <s v=""/>
    <n v="0"/>
    <x v="1"/>
    <n v="707"/>
    <n v="0"/>
  </r>
  <r>
    <x v="6"/>
    <s v="U0311"/>
    <x v="1"/>
    <n v="124"/>
    <x v="0"/>
    <x v="35"/>
    <n v="2048.7600000000002"/>
    <x v="274"/>
    <n v="24585.120000000003"/>
    <s v=""/>
    <d v="2023-12-28T00:00:00"/>
    <d v="2026-06-02T00:00:00"/>
    <n v="177.34"/>
    <n v="118.93"/>
    <s v="OK"/>
    <s v=""/>
    <s v=""/>
    <n v="198.26709677419353"/>
    <n v="296.27"/>
    <n v="24466.19"/>
    <n v="3"/>
    <x v="0"/>
    <n v="0"/>
    <n v="124"/>
  </r>
  <r>
    <x v="3"/>
    <s v="U0312"/>
    <x v="0"/>
    <n v="611"/>
    <x v="0"/>
    <x v="2"/>
    <n v="6945.57"/>
    <x v="275"/>
    <n v="83346.84"/>
    <s v=""/>
    <d v="2021-12-17T00:00:00"/>
    <d v="2023-06-15T00:00:00"/>
    <n v="921.15"/>
    <n v="1439.39"/>
    <s v="OK"/>
    <s v=""/>
    <s v=""/>
    <n v="136.41054009819968"/>
    <n v="2360.54"/>
    <n v="81907.45"/>
    <n v="0"/>
    <x v="0"/>
    <n v="0"/>
    <n v="611"/>
  </r>
  <r>
    <x v="3"/>
    <s v="U0313"/>
    <x v="0"/>
    <n v="845"/>
    <x v="0"/>
    <x v="40"/>
    <n v="5589.75"/>
    <x v="276"/>
    <n v="67077"/>
    <s v=""/>
    <d v="2021-07-13T00:00:00"/>
    <d v="2026-01-29T00:00:00"/>
    <n v="1153.04"/>
    <n v="764.44"/>
    <s v="OK"/>
    <s v=""/>
    <s v=""/>
    <n v="79.381065088757396"/>
    <n v="1917.48"/>
    <n v="66312.56"/>
    <n v="0"/>
    <x v="0"/>
    <n v="0"/>
    <n v="845"/>
  </r>
  <r>
    <x v="1"/>
    <s v="U0314"/>
    <x v="1"/>
    <n v="796"/>
    <x v="0"/>
    <x v="135"/>
    <n v="13034.9"/>
    <x v="277"/>
    <n v="156418.79999999999"/>
    <s v=""/>
    <d v="2021-06-16T00:00:00"/>
    <d v="2024-09-27T00:00:00"/>
    <n v="1519.95"/>
    <n v="512.58000000000004"/>
    <s v="OK"/>
    <s v=""/>
    <s v=""/>
    <n v="196.50603015075376"/>
    <n v="2032.5300000000002"/>
    <n v="155906.22"/>
    <n v="0"/>
    <x v="0"/>
    <n v="0"/>
    <n v="796"/>
  </r>
  <r>
    <x v="6"/>
    <s v="U0315"/>
    <x v="1"/>
    <n v="1498"/>
    <x v="0"/>
    <x v="146"/>
    <n v="25902.71"/>
    <x v="278"/>
    <n v="310832.52"/>
    <s v=""/>
    <d v="2022-02-11T00:00:00"/>
    <d v="2025-06-29T00:00:00"/>
    <n v="2605.59"/>
    <n v="1384.98"/>
    <s v="OK"/>
    <s v=""/>
    <s v=""/>
    <n v="207.49834445927905"/>
    <n v="3990.57"/>
    <n v="309447.54000000004"/>
    <n v="0"/>
    <x v="0"/>
    <n v="0"/>
    <n v="1498"/>
  </r>
  <r>
    <x v="6"/>
    <s v="U0316"/>
    <x v="2"/>
    <n v="1435"/>
    <x v="1"/>
    <x v="1"/>
    <n v="0"/>
    <x v="1"/>
    <n v="0"/>
    <s v=""/>
    <m/>
    <m/>
    <n v="3914.07"/>
    <n v="3140.88"/>
    <s v="OK"/>
    <s v=""/>
    <s v="Rent&lt;=0"/>
    <s v=""/>
    <n v="7054.9500000000007"/>
    <s v=""/>
    <n v="0"/>
    <x v="1"/>
    <n v="1435"/>
    <n v="0"/>
  </r>
  <r>
    <x v="0"/>
    <s v="U0317"/>
    <x v="0"/>
    <n v="1071"/>
    <x v="0"/>
    <x v="19"/>
    <n v="7364.38"/>
    <x v="279"/>
    <n v="88372.56"/>
    <s v=""/>
    <d v="2022-10-29T00:00:00"/>
    <d v="2026-03-07T00:00:00"/>
    <n v="2733.88"/>
    <n v="2505.89"/>
    <s v="OK"/>
    <s v=""/>
    <s v=""/>
    <n v="82.514061624649855"/>
    <n v="5239.7700000000004"/>
    <n v="85866.67"/>
    <n v="0"/>
    <x v="0"/>
    <n v="0"/>
    <n v="1071"/>
  </r>
  <r>
    <x v="0"/>
    <s v="U0318"/>
    <x v="1"/>
    <n v="776"/>
    <x v="0"/>
    <x v="147"/>
    <n v="8563.9599999999991"/>
    <x v="280"/>
    <n v="102767.51999999999"/>
    <s v=""/>
    <d v="2023-06-18T00:00:00"/>
    <d v="2027-08-27T00:00:00"/>
    <n v="1237.04"/>
    <n v="1760.96"/>
    <s v="OK"/>
    <s v=""/>
    <s v=""/>
    <n v="132.43237113402063"/>
    <n v="2998"/>
    <n v="101006.56"/>
    <n v="18"/>
    <x v="3"/>
    <n v="0"/>
    <n v="776"/>
  </r>
  <r>
    <x v="3"/>
    <s v="U0319"/>
    <x v="2"/>
    <n v="315"/>
    <x v="0"/>
    <x v="98"/>
    <n v="4607.32"/>
    <x v="281"/>
    <n v="55287.839999999997"/>
    <s v=""/>
    <d v="2023-10-24T00:00:00"/>
    <d v="2028-01-19T00:00:00"/>
    <n v="564.84"/>
    <n v="323.02999999999997"/>
    <s v="OK"/>
    <s v=""/>
    <s v=""/>
    <n v="175.51695238095238"/>
    <n v="887.87"/>
    <n v="54964.81"/>
    <n v="22"/>
    <x v="3"/>
    <n v="0"/>
    <n v="315"/>
  </r>
  <r>
    <x v="1"/>
    <s v="U0320"/>
    <x v="0"/>
    <n v="399"/>
    <x v="0"/>
    <x v="28"/>
    <n v="3362.77"/>
    <x v="282"/>
    <n v="40353.24"/>
    <s v=""/>
    <d v="2022-10-02T00:00:00"/>
    <d v="2023-08-03T00:00:00"/>
    <n v="643.52"/>
    <n v="560.03"/>
    <s v="OK"/>
    <s v=""/>
    <s v=""/>
    <n v="101.13593984962405"/>
    <n v="1203.55"/>
    <n v="39793.21"/>
    <n v="0"/>
    <x v="0"/>
    <n v="0"/>
    <n v="399"/>
  </r>
  <r>
    <x v="4"/>
    <s v="U0321"/>
    <x v="2"/>
    <n v="1039"/>
    <x v="0"/>
    <x v="81"/>
    <n v="18377.830000000002"/>
    <x v="283"/>
    <n v="220533.96000000002"/>
    <s v=""/>
    <d v="2022-11-16T00:00:00"/>
    <d v="2023-06-27T00:00:00"/>
    <n v="1076.99"/>
    <n v="1385.93"/>
    <s v="OK"/>
    <s v=""/>
    <s v=""/>
    <n v="212.25597690086622"/>
    <n v="2462.92"/>
    <n v="219148.03"/>
    <n v="0"/>
    <x v="0"/>
    <n v="0"/>
    <n v="1039"/>
  </r>
  <r>
    <x v="2"/>
    <s v="U0322"/>
    <x v="1"/>
    <n v="735"/>
    <x v="0"/>
    <x v="148"/>
    <n v="9993.8700000000008"/>
    <x v="284"/>
    <n v="119926.44"/>
    <s v=""/>
    <d v="2021-10-17T00:00:00"/>
    <d v="2022-09-12T00:00:00"/>
    <n v="1377.37"/>
    <n v="1169.5999999999999"/>
    <s v="OK"/>
    <s v=""/>
    <s v=""/>
    <n v="163.16522448979592"/>
    <n v="2546.9699999999998"/>
    <n v="118756.84"/>
    <n v="0"/>
    <x v="0"/>
    <n v="0"/>
    <n v="735"/>
  </r>
  <r>
    <x v="1"/>
    <s v="U0323"/>
    <x v="0"/>
    <n v="97"/>
    <x v="1"/>
    <x v="1"/>
    <n v="0"/>
    <x v="1"/>
    <n v="0"/>
    <s v=""/>
    <m/>
    <m/>
    <n v="289.79000000000002"/>
    <n v="96.66"/>
    <s v="OK"/>
    <s v=""/>
    <s v="Rent&lt;=0"/>
    <s v=""/>
    <n v="386.45000000000005"/>
    <s v=""/>
    <n v="0"/>
    <x v="1"/>
    <n v="97"/>
    <n v="0"/>
  </r>
  <r>
    <x v="5"/>
    <s v="U0324"/>
    <x v="3"/>
    <n v="1150"/>
    <x v="0"/>
    <x v="85"/>
    <n v="19756.36"/>
    <x v="285"/>
    <n v="237076.32"/>
    <s v=""/>
    <d v="2023-12-09T00:00:00"/>
    <d v="2028-07-01T00:00:00"/>
    <n v="2102.14"/>
    <n v="1143.9100000000001"/>
    <s v="OK"/>
    <s v=""/>
    <s v=""/>
    <n v="206.15332173913043"/>
    <n v="3246.05"/>
    <n v="235932.41"/>
    <n v="28"/>
    <x v="3"/>
    <n v="0"/>
    <n v="1150"/>
  </r>
  <r>
    <x v="3"/>
    <s v="U0325"/>
    <x v="3"/>
    <n v="1389"/>
    <x v="0"/>
    <x v="149"/>
    <n v="23163.84"/>
    <x v="286"/>
    <n v="277966.08000000002"/>
    <s v=""/>
    <d v="2023-07-26T00:00:00"/>
    <d v="2027-02-22T00:00:00"/>
    <n v="2315.8000000000002"/>
    <n v="1647.38"/>
    <s v="OK"/>
    <s v=""/>
    <s v=""/>
    <n v="200.11956803455726"/>
    <n v="3963.1800000000003"/>
    <n v="276318.7"/>
    <n v="12"/>
    <x v="4"/>
    <n v="0"/>
    <n v="1389"/>
  </r>
  <r>
    <x v="4"/>
    <s v="U0326"/>
    <x v="0"/>
    <n v="509"/>
    <x v="0"/>
    <x v="119"/>
    <n v="4213.1099999999997"/>
    <x v="287"/>
    <n v="50557.319999999992"/>
    <s v=""/>
    <d v="2022-03-21T00:00:00"/>
    <d v="2024-05-03T00:00:00"/>
    <n v="596.69000000000005"/>
    <n v="489.53"/>
    <s v="OK"/>
    <s v=""/>
    <s v=""/>
    <n v="99.326758349705301"/>
    <n v="1086.22"/>
    <n v="50067.79"/>
    <n v="0"/>
    <x v="0"/>
    <n v="0"/>
    <n v="509"/>
  </r>
  <r>
    <x v="7"/>
    <s v="U0327"/>
    <x v="2"/>
    <n v="1238"/>
    <x v="1"/>
    <x v="1"/>
    <n v="0"/>
    <x v="1"/>
    <n v="0"/>
    <s v=""/>
    <m/>
    <m/>
    <n v="2115.77"/>
    <n v="901.27"/>
    <s v="OK"/>
    <s v=""/>
    <s v="Rent&lt;=0"/>
    <s v=""/>
    <n v="3017.04"/>
    <s v=""/>
    <n v="0"/>
    <x v="1"/>
    <n v="1238"/>
    <n v="0"/>
  </r>
  <r>
    <x v="3"/>
    <s v="U0328"/>
    <x v="2"/>
    <n v="1078"/>
    <x v="1"/>
    <x v="1"/>
    <n v="0"/>
    <x v="1"/>
    <n v="0"/>
    <s v=""/>
    <m/>
    <m/>
    <n v="2848.41"/>
    <n v="948.51"/>
    <s v="OK"/>
    <s v=""/>
    <s v="Rent&lt;=0"/>
    <s v=""/>
    <n v="3796.92"/>
    <s v=""/>
    <n v="0"/>
    <x v="1"/>
    <n v="1078"/>
    <n v="0"/>
  </r>
  <r>
    <x v="7"/>
    <s v="U0329"/>
    <x v="2"/>
    <n v="1470"/>
    <x v="0"/>
    <x v="23"/>
    <n v="25210.78"/>
    <x v="288"/>
    <n v="302529.36"/>
    <s v=""/>
    <d v="2023-06-26T00:00:00"/>
    <d v="2025-03-10T00:00:00"/>
    <n v="1870.39"/>
    <n v="3527.01"/>
    <s v="OK"/>
    <s v=""/>
    <s v=""/>
    <n v="205.80228571428572"/>
    <n v="5397.4000000000005"/>
    <n v="299002.34999999998"/>
    <n v="0"/>
    <x v="0"/>
    <n v="0"/>
    <n v="1470"/>
  </r>
  <r>
    <x v="3"/>
    <s v="U0330"/>
    <x v="1"/>
    <n v="917"/>
    <x v="0"/>
    <x v="74"/>
    <n v="15789.77"/>
    <x v="289"/>
    <n v="189477.24"/>
    <s v=""/>
    <d v="2023-03-25T00:00:00"/>
    <d v="2024-10-23T00:00:00"/>
    <n v="1692.7"/>
    <n v="1630.76"/>
    <s v="OK"/>
    <s v=""/>
    <s v=""/>
    <n v="206.62730643402398"/>
    <n v="3323.46"/>
    <n v="187846.47999999998"/>
    <n v="0"/>
    <x v="0"/>
    <n v="0"/>
    <n v="917"/>
  </r>
  <r>
    <x v="0"/>
    <s v="U0331"/>
    <x v="0"/>
    <n v="221"/>
    <x v="0"/>
    <x v="150"/>
    <n v="3069.84"/>
    <x v="290"/>
    <n v="36838.080000000002"/>
    <s v=""/>
    <d v="2022-06-22T00:00:00"/>
    <d v="2026-06-19T00:00:00"/>
    <n v="476.68"/>
    <n v="362.13"/>
    <s v="OK"/>
    <s v=""/>
    <s v=""/>
    <n v="166.6881447963801"/>
    <n v="838.81"/>
    <n v="36475.950000000004"/>
    <n v="3"/>
    <x v="0"/>
    <n v="0"/>
    <n v="221"/>
  </r>
  <r>
    <x v="1"/>
    <s v="U0332"/>
    <x v="1"/>
    <n v="393"/>
    <x v="0"/>
    <x v="110"/>
    <n v="3938.87"/>
    <x v="291"/>
    <n v="47266.44"/>
    <s v=""/>
    <d v="2022-05-03T00:00:00"/>
    <d v="2023-02-04T00:00:00"/>
    <n v="1143.69"/>
    <n v="741.89"/>
    <s v="OK"/>
    <s v=""/>
    <s v=""/>
    <n v="120.27083969465649"/>
    <n v="1885.58"/>
    <n v="46524.55"/>
    <n v="0"/>
    <x v="0"/>
    <n v="0"/>
    <n v="393"/>
  </r>
  <r>
    <x v="3"/>
    <s v="U0333"/>
    <x v="1"/>
    <n v="1055"/>
    <x v="0"/>
    <x v="151"/>
    <n v="14461.26"/>
    <x v="292"/>
    <n v="173535.12"/>
    <s v=""/>
    <d v="2023-04-16T00:00:00"/>
    <d v="2028-01-07T00:00:00"/>
    <n v="3014.05"/>
    <n v="2348.25"/>
    <s v="OK"/>
    <s v=""/>
    <s v=""/>
    <n v="164.48826540284361"/>
    <n v="5362.3"/>
    <n v="171186.87"/>
    <n v="22"/>
    <x v="3"/>
    <n v="0"/>
    <n v="1055"/>
  </r>
  <r>
    <x v="6"/>
    <s v="U0334"/>
    <x v="0"/>
    <n v="1297"/>
    <x v="0"/>
    <x v="152"/>
    <n v="8477.92"/>
    <x v="293"/>
    <n v="101735.04000000001"/>
    <s v=""/>
    <d v="2022-09-08T00:00:00"/>
    <d v="2025-09-02T00:00:00"/>
    <n v="3743.76"/>
    <n v="2650.27"/>
    <s v="OK"/>
    <s v=""/>
    <s v=""/>
    <n v="78.438735543562061"/>
    <n v="6394.0300000000007"/>
    <n v="99084.76999999999"/>
    <n v="0"/>
    <x v="0"/>
    <n v="0"/>
    <n v="1297"/>
  </r>
  <r>
    <x v="4"/>
    <s v="U0335"/>
    <x v="1"/>
    <n v="901"/>
    <x v="0"/>
    <x v="31"/>
    <n v="14194.61"/>
    <x v="294"/>
    <n v="170335.32"/>
    <s v=""/>
    <d v="2021-05-15T00:00:00"/>
    <d v="2025-05-29T00:00:00"/>
    <n v="2674.58"/>
    <n v="1193.1300000000001"/>
    <s v="OK"/>
    <s v=""/>
    <s v=""/>
    <n v="189.05140954495008"/>
    <n v="3867.71"/>
    <n v="169142.19"/>
    <n v="0"/>
    <x v="0"/>
    <n v="0"/>
    <n v="901"/>
  </r>
  <r>
    <x v="1"/>
    <s v="U0336"/>
    <x v="2"/>
    <n v="1471"/>
    <x v="1"/>
    <x v="1"/>
    <n v="0"/>
    <x v="1"/>
    <n v="0"/>
    <s v=""/>
    <m/>
    <m/>
    <n v="1484.76"/>
    <n v="2212.84"/>
    <s v="OK"/>
    <s v=""/>
    <s v="Rent&lt;=0"/>
    <s v=""/>
    <n v="3697.6000000000004"/>
    <s v=""/>
    <n v="0"/>
    <x v="1"/>
    <n v="1471"/>
    <n v="0"/>
  </r>
  <r>
    <x v="2"/>
    <s v="U0337"/>
    <x v="3"/>
    <n v="927"/>
    <x v="0"/>
    <x v="134"/>
    <n v="6771.59"/>
    <x v="295"/>
    <n v="81259.08"/>
    <s v=""/>
    <d v="2021-08-16T00:00:00"/>
    <d v="2024-12-02T00:00:00"/>
    <n v="1834.65"/>
    <n v="1915.06"/>
    <s v="OK"/>
    <s v=""/>
    <s v=""/>
    <n v="87.658122977346281"/>
    <n v="3749.71"/>
    <n v="79344.02"/>
    <n v="0"/>
    <x v="0"/>
    <n v="0"/>
    <n v="927"/>
  </r>
  <r>
    <x v="3"/>
    <s v="U0338"/>
    <x v="0"/>
    <n v="572"/>
    <x v="0"/>
    <x v="5"/>
    <n v="8921.52"/>
    <x v="296"/>
    <n v="107058.24000000001"/>
    <s v=""/>
    <d v="2021-11-17T00:00:00"/>
    <d v="2022-12-28T00:00:00"/>
    <n v="1130.2"/>
    <n v="555.63"/>
    <s v="OK"/>
    <s v=""/>
    <s v=""/>
    <n v="187.16475524475524"/>
    <n v="1685.83"/>
    <n v="106502.61"/>
    <n v="0"/>
    <x v="0"/>
    <n v="0"/>
    <n v="572"/>
  </r>
  <r>
    <x v="6"/>
    <s v="U0339"/>
    <x v="3"/>
    <n v="1388"/>
    <x v="0"/>
    <x v="57"/>
    <n v="15260.85"/>
    <x v="297"/>
    <n v="183130.2"/>
    <s v=""/>
    <d v="2022-07-03T00:00:00"/>
    <d v="2025-04-29T00:00:00"/>
    <n v="4050.3"/>
    <n v="2859.92"/>
    <s v="OK"/>
    <s v=""/>
    <s v=""/>
    <n v="131.93818443804037"/>
    <n v="6910.22"/>
    <n v="180270.28"/>
    <n v="0"/>
    <x v="0"/>
    <n v="0"/>
    <n v="1388"/>
  </r>
  <r>
    <x v="5"/>
    <s v="U0340"/>
    <x v="1"/>
    <n v="81"/>
    <x v="0"/>
    <x v="27"/>
    <n v="750.41"/>
    <x v="298"/>
    <n v="9004.92"/>
    <s v=""/>
    <d v="2021-06-13T00:00:00"/>
    <d v="2022-01-20T00:00:00"/>
    <n v="154.77000000000001"/>
    <n v="66.69"/>
    <s v="OK"/>
    <s v=""/>
    <s v=""/>
    <n v="111.17185185185186"/>
    <n v="221.46"/>
    <n v="8938.23"/>
    <n v="0"/>
    <x v="0"/>
    <n v="0"/>
    <n v="81"/>
  </r>
  <r>
    <x v="1"/>
    <s v="U0341"/>
    <x v="0"/>
    <n v="279"/>
    <x v="0"/>
    <x v="76"/>
    <n v="2970.96"/>
    <x v="299"/>
    <n v="35651.520000000004"/>
    <s v=""/>
    <d v="2022-09-29T00:00:00"/>
    <d v="2026-08-18T00:00:00"/>
    <n v="314.29000000000002"/>
    <n v="490.96"/>
    <s v="OK"/>
    <s v=""/>
    <s v=""/>
    <n v="127.7832258064516"/>
    <n v="805.25"/>
    <n v="35160.559999999998"/>
    <n v="5"/>
    <x v="2"/>
    <n v="0"/>
    <n v="279"/>
  </r>
  <r>
    <x v="3"/>
    <s v="U0342"/>
    <x v="1"/>
    <n v="712"/>
    <x v="1"/>
    <x v="1"/>
    <n v="0"/>
    <x v="1"/>
    <n v="0"/>
    <s v=""/>
    <m/>
    <m/>
    <n v="1503.84"/>
    <n v="1525.24"/>
    <s v="OK"/>
    <s v=""/>
    <s v="Rent&lt;=0"/>
    <s v=""/>
    <n v="3029.08"/>
    <s v=""/>
    <n v="0"/>
    <x v="1"/>
    <n v="712"/>
    <n v="0"/>
  </r>
  <r>
    <x v="7"/>
    <s v="U0343"/>
    <x v="1"/>
    <n v="137"/>
    <x v="0"/>
    <x v="93"/>
    <n v="971.76"/>
    <x v="300"/>
    <n v="11661.119999999999"/>
    <s v=""/>
    <d v="2023-03-11T00:00:00"/>
    <d v="2026-01-21T00:00:00"/>
    <n v="209.69"/>
    <n v="105.28"/>
    <s v="OK"/>
    <s v=""/>
    <s v=""/>
    <n v="85.117664233576647"/>
    <n v="314.97000000000003"/>
    <n v="11555.84"/>
    <n v="0"/>
    <x v="0"/>
    <n v="0"/>
    <n v="137"/>
  </r>
  <r>
    <x v="7"/>
    <s v="U0344"/>
    <x v="0"/>
    <n v="64"/>
    <x v="0"/>
    <x v="5"/>
    <n v="559.6"/>
    <x v="301"/>
    <n v="6715.2000000000007"/>
    <s v=""/>
    <d v="2022-06-22T00:00:00"/>
    <d v="2027-04-27T00:00:00"/>
    <n v="179.71"/>
    <n v="49.55"/>
    <s v="OK"/>
    <s v=""/>
    <s v=""/>
    <n v="104.925"/>
    <n v="229.26"/>
    <n v="6665.65"/>
    <n v="14"/>
    <x v="3"/>
    <n v="0"/>
    <n v="64"/>
  </r>
  <r>
    <x v="3"/>
    <s v="U0345"/>
    <x v="3"/>
    <n v="91"/>
    <x v="0"/>
    <x v="146"/>
    <n v="589.92999999999995"/>
    <x v="302"/>
    <n v="7079.16"/>
    <s v=""/>
    <d v="2023-09-05T00:00:00"/>
    <d v="2025-08-05T00:00:00"/>
    <n v="125.8"/>
    <n v="169.73"/>
    <s v="OK"/>
    <s v=""/>
    <s v=""/>
    <n v="77.792967032967027"/>
    <n v="295.52999999999997"/>
    <n v="6909.43"/>
    <n v="0"/>
    <x v="0"/>
    <n v="0"/>
    <n v="91"/>
  </r>
  <r>
    <x v="3"/>
    <s v="U0346"/>
    <x v="3"/>
    <n v="185"/>
    <x v="0"/>
    <x v="151"/>
    <n v="2621.0300000000002"/>
    <x v="303"/>
    <n v="31452.36"/>
    <s v=""/>
    <d v="2022-12-06T00:00:00"/>
    <d v="2025-08-15T00:00:00"/>
    <n v="400.67"/>
    <n v="330.05"/>
    <s v="OK"/>
    <s v=""/>
    <s v=""/>
    <n v="170.01275675675677"/>
    <n v="730.72"/>
    <n v="31122.31"/>
    <n v="0"/>
    <x v="0"/>
    <n v="0"/>
    <n v="185"/>
  </r>
  <r>
    <x v="6"/>
    <s v="U0347"/>
    <x v="1"/>
    <n v="1223"/>
    <x v="0"/>
    <x v="65"/>
    <n v="10048.27"/>
    <x v="304"/>
    <n v="120579.24"/>
    <s v=""/>
    <d v="2023-12-09T00:00:00"/>
    <d v="2026-05-05T00:00:00"/>
    <n v="2010.74"/>
    <n v="1576.53"/>
    <s v="OK"/>
    <s v=""/>
    <s v=""/>
    <n v="98.59300081766149"/>
    <n v="3587.27"/>
    <n v="119002.71"/>
    <n v="2"/>
    <x v="0"/>
    <n v="0"/>
    <n v="1223"/>
  </r>
  <r>
    <x v="3"/>
    <s v="U0348"/>
    <x v="2"/>
    <n v="369"/>
    <x v="0"/>
    <x v="110"/>
    <n v="6165.81"/>
    <x v="305"/>
    <n v="73989.72"/>
    <s v=""/>
    <d v="2021-07-24T00:00:00"/>
    <d v="2025-02-23T00:00:00"/>
    <n v="1070.72"/>
    <n v="751.91"/>
    <s v="OK"/>
    <s v=""/>
    <s v=""/>
    <n v="200.51414634146343"/>
    <n v="1822.63"/>
    <n v="73237.81"/>
    <n v="0"/>
    <x v="0"/>
    <n v="0"/>
    <n v="369"/>
  </r>
  <r>
    <x v="2"/>
    <s v="U0349"/>
    <x v="3"/>
    <n v="1085"/>
    <x v="0"/>
    <x v="151"/>
    <n v="7816.91"/>
    <x v="306"/>
    <n v="93802.92"/>
    <s v=""/>
    <d v="2023-03-15T00:00:00"/>
    <d v="2027-12-03T00:00:00"/>
    <n v="3178.47"/>
    <n v="1589.54"/>
    <s v="OK"/>
    <s v=""/>
    <s v=""/>
    <n v="86.454304147465436"/>
    <n v="4768.01"/>
    <n v="92213.38"/>
    <n v="21"/>
    <x v="3"/>
    <n v="0"/>
    <n v="1085"/>
  </r>
  <r>
    <x v="1"/>
    <s v="U0350"/>
    <x v="3"/>
    <n v="1321"/>
    <x v="0"/>
    <x v="97"/>
    <n v="10263.85"/>
    <x v="307"/>
    <n v="123166.20000000001"/>
    <s v=""/>
    <d v="2023-11-25T00:00:00"/>
    <d v="2027-11-15T00:00:00"/>
    <n v="3763.07"/>
    <n v="2404.23"/>
    <s v="OK"/>
    <s v=""/>
    <s v=""/>
    <n v="93.237093111279336"/>
    <n v="6167.3"/>
    <n v="120761.97"/>
    <n v="20"/>
    <x v="3"/>
    <n v="0"/>
    <n v="1321"/>
  </r>
  <r>
    <x v="0"/>
    <s v="U0351"/>
    <x v="0"/>
    <n v="941"/>
    <x v="0"/>
    <x v="134"/>
    <n v="9818.9500000000007"/>
    <x v="308"/>
    <n v="117827.40000000001"/>
    <s v=""/>
    <d v="2021-07-01T00:00:00"/>
    <d v="2023-12-09T00:00:00"/>
    <n v="2362.4"/>
    <n v="710.91"/>
    <s v="OK"/>
    <s v=""/>
    <s v=""/>
    <n v="125.21509032943676"/>
    <n v="3073.31"/>
    <n v="117116.48999999999"/>
    <n v="0"/>
    <x v="0"/>
    <n v="0"/>
    <n v="941"/>
  </r>
  <r>
    <x v="0"/>
    <s v="U0352"/>
    <x v="1"/>
    <n v="1087"/>
    <x v="0"/>
    <x v="84"/>
    <n v="10029.85"/>
    <x v="309"/>
    <n v="120358.20000000001"/>
    <s v=""/>
    <d v="2023-03-10T00:00:00"/>
    <d v="2025-02-22T00:00:00"/>
    <n v="1830.99"/>
    <n v="1982.45"/>
    <s v="OK"/>
    <s v=""/>
    <s v=""/>
    <n v="110.72511499540018"/>
    <n v="3813.44"/>
    <n v="118375.75"/>
    <n v="0"/>
    <x v="0"/>
    <n v="0"/>
    <n v="1087"/>
  </r>
  <r>
    <x v="5"/>
    <s v="U0353"/>
    <x v="1"/>
    <n v="545"/>
    <x v="1"/>
    <x v="1"/>
    <n v="0"/>
    <x v="1"/>
    <n v="0"/>
    <s v=""/>
    <m/>
    <m/>
    <n v="1540.43"/>
    <n v="385.23"/>
    <s v="OK"/>
    <s v=""/>
    <s v="Rent&lt;=0"/>
    <s v=""/>
    <n v="1925.66"/>
    <s v=""/>
    <n v="0"/>
    <x v="1"/>
    <n v="545"/>
    <n v="0"/>
  </r>
  <r>
    <x v="7"/>
    <s v="U0354"/>
    <x v="3"/>
    <n v="620"/>
    <x v="0"/>
    <x v="153"/>
    <n v="8182.13"/>
    <x v="310"/>
    <n v="98185.56"/>
    <s v=""/>
    <d v="2023-05-28T00:00:00"/>
    <d v="2024-01-15T00:00:00"/>
    <n v="1647.31"/>
    <n v="1249.67"/>
    <s v="OK"/>
    <s v=""/>
    <s v=""/>
    <n v="158.3638064516129"/>
    <n v="2896.98"/>
    <n v="96935.89"/>
    <n v="0"/>
    <x v="0"/>
    <n v="0"/>
    <n v="620"/>
  </r>
  <r>
    <x v="1"/>
    <s v="U0355"/>
    <x v="1"/>
    <n v="463"/>
    <x v="0"/>
    <x v="90"/>
    <n v="5135.97"/>
    <x v="311"/>
    <n v="61631.64"/>
    <s v=""/>
    <d v="2022-10-11T00:00:00"/>
    <d v="2027-06-11T00:00:00"/>
    <n v="672.99"/>
    <n v="1112.6199999999999"/>
    <s v="OK"/>
    <s v=""/>
    <s v=""/>
    <n v="133.11369330453564"/>
    <n v="1785.61"/>
    <n v="60519.02"/>
    <n v="15"/>
    <x v="3"/>
    <n v="0"/>
    <n v="463"/>
  </r>
  <r>
    <x v="4"/>
    <s v="U0356"/>
    <x v="1"/>
    <n v="1448"/>
    <x v="0"/>
    <x v="32"/>
    <n v="9486.93"/>
    <x v="312"/>
    <n v="113843.16"/>
    <s v=""/>
    <d v="2021-10-01T00:00:00"/>
    <d v="2024-07-26T00:00:00"/>
    <n v="2150.16"/>
    <n v="2884.89"/>
    <s v="OK"/>
    <s v=""/>
    <s v=""/>
    <n v="78.620966850828736"/>
    <n v="5035.0499999999993"/>
    <n v="110958.27"/>
    <n v="0"/>
    <x v="0"/>
    <n v="0"/>
    <n v="1448"/>
  </r>
  <r>
    <x v="5"/>
    <s v="U0357"/>
    <x v="2"/>
    <n v="933"/>
    <x v="0"/>
    <x v="118"/>
    <n v="6289.52"/>
    <x v="313"/>
    <n v="75474.240000000005"/>
    <s v=""/>
    <d v="2021-07-04T00:00:00"/>
    <d v="2023-09-30T00:00:00"/>
    <n v="2493.27"/>
    <n v="1612.55"/>
    <s v="OK"/>
    <s v=""/>
    <s v=""/>
    <n v="80.894147909967856"/>
    <n v="4105.82"/>
    <n v="73861.69"/>
    <n v="0"/>
    <x v="0"/>
    <n v="0"/>
    <n v="933"/>
  </r>
  <r>
    <x v="1"/>
    <s v="U0358"/>
    <x v="3"/>
    <n v="152"/>
    <x v="0"/>
    <x v="119"/>
    <n v="2079.2600000000002"/>
    <x v="314"/>
    <n v="24951.120000000003"/>
    <s v=""/>
    <d v="2022-06-16T00:00:00"/>
    <d v="2023-05-27T00:00:00"/>
    <n v="406.43"/>
    <n v="138.79"/>
    <s v="OK"/>
    <s v=""/>
    <s v=""/>
    <n v="164.15210526315789"/>
    <n v="545.22"/>
    <n v="24812.329999999998"/>
    <n v="0"/>
    <x v="0"/>
    <n v="0"/>
    <n v="152"/>
  </r>
  <r>
    <x v="2"/>
    <s v="U0359"/>
    <x v="1"/>
    <n v="1041"/>
    <x v="0"/>
    <x v="137"/>
    <n v="7343.51"/>
    <x v="315"/>
    <n v="88122.12"/>
    <s v=""/>
    <d v="2021-11-24T00:00:00"/>
    <d v="2026-11-13T00:00:00"/>
    <n v="2070.8200000000002"/>
    <n v="1492.42"/>
    <s v="OK"/>
    <s v=""/>
    <s v=""/>
    <n v="84.651412103746395"/>
    <n v="3563.2400000000002"/>
    <n v="86629.7"/>
    <n v="8"/>
    <x v="4"/>
    <n v="0"/>
    <n v="1041"/>
  </r>
  <r>
    <x v="2"/>
    <s v="U0360"/>
    <x v="1"/>
    <n v="978"/>
    <x v="1"/>
    <x v="1"/>
    <n v="0"/>
    <x v="1"/>
    <n v="0"/>
    <s v=""/>
    <m/>
    <m/>
    <n v="2467.21"/>
    <n v="1476.81"/>
    <s v="OK"/>
    <s v=""/>
    <s v="Rent&lt;=0"/>
    <s v=""/>
    <n v="3944.02"/>
    <s v=""/>
    <n v="0"/>
    <x v="1"/>
    <n v="978"/>
    <n v="0"/>
  </r>
  <r>
    <x v="6"/>
    <s v="U0361"/>
    <x v="2"/>
    <n v="1024"/>
    <x v="0"/>
    <x v="123"/>
    <n v="8543.24"/>
    <x v="316"/>
    <n v="102518.88"/>
    <s v=""/>
    <d v="2022-02-15T00:00:00"/>
    <d v="2023-01-04T00:00:00"/>
    <n v="2448.21"/>
    <n v="1317.98"/>
    <s v="OK"/>
    <s v=""/>
    <s v=""/>
    <n v="100.11609375"/>
    <n v="3766.19"/>
    <n v="101200.90000000001"/>
    <n v="0"/>
    <x v="0"/>
    <n v="0"/>
    <n v="1024"/>
  </r>
  <r>
    <x v="7"/>
    <s v="U0362"/>
    <x v="1"/>
    <n v="319"/>
    <x v="0"/>
    <x v="47"/>
    <n v="3246.09"/>
    <x v="317"/>
    <n v="38953.08"/>
    <s v=""/>
    <d v="2022-11-03T00:00:00"/>
    <d v="2023-11-09T00:00:00"/>
    <n v="955.23"/>
    <n v="174.29"/>
    <s v="OK"/>
    <s v=""/>
    <s v=""/>
    <n v="122.10996865203762"/>
    <n v="1129.52"/>
    <n v="38778.79"/>
    <n v="0"/>
    <x v="0"/>
    <n v="0"/>
    <n v="319"/>
  </r>
  <r>
    <x v="3"/>
    <s v="U0363"/>
    <x v="2"/>
    <n v="1143"/>
    <x v="0"/>
    <x v="46"/>
    <n v="11047.86"/>
    <x v="318"/>
    <n v="132574.32"/>
    <s v=""/>
    <d v="2022-12-27T00:00:00"/>
    <d v="2027-04-09T00:00:00"/>
    <n v="3122.53"/>
    <n v="847.72"/>
    <s v="OK"/>
    <s v=""/>
    <s v=""/>
    <n v="115.988031496063"/>
    <n v="3970.25"/>
    <n v="131726.6"/>
    <n v="13"/>
    <x v="3"/>
    <n v="0"/>
    <n v="1143"/>
  </r>
  <r>
    <x v="2"/>
    <s v="U0364"/>
    <x v="2"/>
    <n v="1250"/>
    <x v="0"/>
    <x v="57"/>
    <n v="12868.99"/>
    <x v="319"/>
    <n v="154427.88"/>
    <s v=""/>
    <d v="2021-04-12T00:00:00"/>
    <d v="2024-08-26T00:00:00"/>
    <n v="3288.02"/>
    <n v="1583.73"/>
    <s v="OK"/>
    <s v=""/>
    <s v=""/>
    <n v="123.542304"/>
    <n v="4871.75"/>
    <n v="152844.15"/>
    <n v="0"/>
    <x v="0"/>
    <n v="0"/>
    <n v="1250"/>
  </r>
  <r>
    <x v="7"/>
    <s v="U0365"/>
    <x v="2"/>
    <n v="1227"/>
    <x v="0"/>
    <x v="43"/>
    <n v="16448.259999999998"/>
    <x v="320"/>
    <n v="197379.12"/>
    <s v=""/>
    <d v="2022-09-30T00:00:00"/>
    <d v="2023-06-22T00:00:00"/>
    <n v="2042.61"/>
    <n v="2948.07"/>
    <s v="OK"/>
    <s v=""/>
    <s v=""/>
    <n v="160.86317848410758"/>
    <n v="4990.68"/>
    <n v="194431.05"/>
    <n v="0"/>
    <x v="0"/>
    <n v="0"/>
    <n v="1227"/>
  </r>
  <r>
    <x v="4"/>
    <s v="U0366"/>
    <x v="3"/>
    <n v="832"/>
    <x v="0"/>
    <x v="154"/>
    <n v="12415.12"/>
    <x v="321"/>
    <n v="148981.44"/>
    <s v=""/>
    <d v="2021-12-18T00:00:00"/>
    <d v="2026-03-13T00:00:00"/>
    <n v="1916.39"/>
    <n v="1262.4100000000001"/>
    <s v="OK"/>
    <s v=""/>
    <s v=""/>
    <n v="179.06423076923076"/>
    <n v="3178.8"/>
    <n v="147719.03"/>
    <n v="0"/>
    <x v="0"/>
    <n v="0"/>
    <n v="832"/>
  </r>
  <r>
    <x v="1"/>
    <s v="U0367"/>
    <x v="3"/>
    <n v="1219"/>
    <x v="0"/>
    <x v="77"/>
    <n v="9797.17"/>
    <x v="322"/>
    <n v="117566.04000000001"/>
    <s v=""/>
    <d v="2023-09-07T00:00:00"/>
    <d v="2027-11-17T00:00:00"/>
    <n v="1507.86"/>
    <n v="834.32"/>
    <s v="OK"/>
    <s v=""/>
    <s v=""/>
    <n v="96.444659557013935"/>
    <n v="2342.1799999999998"/>
    <n v="116731.71999999999"/>
    <n v="20"/>
    <x v="3"/>
    <n v="0"/>
    <n v="1219"/>
  </r>
  <r>
    <x v="0"/>
    <s v="U0368"/>
    <x v="0"/>
    <n v="461"/>
    <x v="0"/>
    <x v="56"/>
    <n v="4177.8100000000004"/>
    <x v="323"/>
    <n v="50133.72"/>
    <s v=""/>
    <d v="2022-11-30T00:00:00"/>
    <d v="2023-11-20T00:00:00"/>
    <n v="672.99"/>
    <n v="503.8"/>
    <s v="OK"/>
    <s v=""/>
    <s v=""/>
    <n v="108.74993492407809"/>
    <n v="1176.79"/>
    <n v="49629.919999999998"/>
    <n v="0"/>
    <x v="0"/>
    <n v="0"/>
    <n v="461"/>
  </r>
  <r>
    <x v="0"/>
    <s v="U0369"/>
    <x v="2"/>
    <n v="616"/>
    <x v="0"/>
    <x v="141"/>
    <n v="10892.84"/>
    <x v="324"/>
    <n v="130714.08"/>
    <s v=""/>
    <d v="2021-04-14T00:00:00"/>
    <d v="2023-10-09T00:00:00"/>
    <n v="1699.62"/>
    <n v="546.44000000000005"/>
    <s v="OK"/>
    <s v=""/>
    <s v=""/>
    <n v="212.19818181818181"/>
    <n v="2246.06"/>
    <n v="130167.64"/>
    <n v="0"/>
    <x v="0"/>
    <n v="0"/>
    <n v="616"/>
  </r>
  <r>
    <x v="3"/>
    <s v="U0370"/>
    <x v="1"/>
    <n v="1261"/>
    <x v="0"/>
    <x v="38"/>
    <n v="21633.43"/>
    <x v="325"/>
    <n v="259601.16"/>
    <s v=""/>
    <d v="2021-04-27T00:00:00"/>
    <d v="2022-07-14T00:00:00"/>
    <n v="3081.01"/>
    <n v="1098.1300000000001"/>
    <s v="OK"/>
    <s v=""/>
    <s v=""/>
    <n v="205.86927835051546"/>
    <n v="4179.1400000000003"/>
    <n v="258503.03"/>
    <n v="0"/>
    <x v="0"/>
    <n v="0"/>
    <n v="1261"/>
  </r>
  <r>
    <x v="6"/>
    <s v="U0371"/>
    <x v="1"/>
    <n v="363"/>
    <x v="0"/>
    <x v="91"/>
    <n v="3714.86"/>
    <x v="326"/>
    <n v="44578.32"/>
    <s v=""/>
    <d v="2022-06-09T00:00:00"/>
    <d v="2026-08-30T00:00:00"/>
    <n v="640.04"/>
    <n v="542.4"/>
    <s v="OK"/>
    <s v=""/>
    <s v=""/>
    <n v="122.80528925619835"/>
    <n v="1182.44"/>
    <n v="44035.92"/>
    <n v="6"/>
    <x v="2"/>
    <n v="0"/>
    <n v="363"/>
  </r>
  <r>
    <x v="5"/>
    <s v="U0372"/>
    <x v="0"/>
    <n v="349"/>
    <x v="1"/>
    <x v="1"/>
    <n v="0"/>
    <x v="1"/>
    <n v="0"/>
    <s v=""/>
    <m/>
    <m/>
    <n v="875.42"/>
    <n v="778.91"/>
    <s v="OK"/>
    <s v=""/>
    <s v="Rent&lt;=0"/>
    <s v=""/>
    <n v="1654.33"/>
    <s v=""/>
    <n v="0"/>
    <x v="1"/>
    <n v="349"/>
    <n v="0"/>
  </r>
  <r>
    <x v="4"/>
    <s v="U0373"/>
    <x v="3"/>
    <n v="1117"/>
    <x v="0"/>
    <x v="84"/>
    <n v="15252.13"/>
    <x v="327"/>
    <n v="183025.56"/>
    <s v=""/>
    <d v="2022-05-11T00:00:00"/>
    <d v="2024-03-09T00:00:00"/>
    <n v="1769.91"/>
    <n v="2306.02"/>
    <s v="OK"/>
    <s v=""/>
    <s v=""/>
    <n v="163.85457475380483"/>
    <n v="4075.9300000000003"/>
    <n v="180719.54"/>
    <n v="0"/>
    <x v="0"/>
    <n v="0"/>
    <n v="1117"/>
  </r>
  <r>
    <x v="0"/>
    <s v="U0374"/>
    <x v="1"/>
    <n v="979"/>
    <x v="0"/>
    <x v="155"/>
    <n v="7258.29"/>
    <x v="328"/>
    <n v="87099.48"/>
    <s v=""/>
    <d v="2022-12-23T00:00:00"/>
    <d v="2023-11-19T00:00:00"/>
    <n v="2053.69"/>
    <n v="1646.9"/>
    <s v="OK"/>
    <s v=""/>
    <s v=""/>
    <n v="88.967803881511742"/>
    <n v="3700.59"/>
    <n v="85452.58"/>
    <n v="0"/>
    <x v="0"/>
    <n v="0"/>
    <n v="979"/>
  </r>
  <r>
    <x v="0"/>
    <s v="U0375"/>
    <x v="3"/>
    <n v="275"/>
    <x v="0"/>
    <x v="156"/>
    <n v="2509.3200000000002"/>
    <x v="329"/>
    <n v="30111.840000000004"/>
    <s v=""/>
    <d v="2023-03-16T00:00:00"/>
    <d v="2024-06-26T00:00:00"/>
    <n v="352.8"/>
    <n v="152.69999999999999"/>
    <s v="OK"/>
    <s v=""/>
    <s v=""/>
    <n v="109.49760000000001"/>
    <n v="505.5"/>
    <n v="29959.14"/>
    <n v="0"/>
    <x v="0"/>
    <n v="0"/>
    <n v="275"/>
  </r>
  <r>
    <x v="7"/>
    <s v="U0376"/>
    <x v="2"/>
    <n v="1423"/>
    <x v="1"/>
    <x v="1"/>
    <n v="0"/>
    <x v="1"/>
    <n v="0"/>
    <s v=""/>
    <m/>
    <m/>
    <n v="2184.6"/>
    <n v="1100.49"/>
    <s v="OK"/>
    <s v=""/>
    <s v="Rent&lt;=0"/>
    <s v=""/>
    <n v="3285.09"/>
    <s v=""/>
    <n v="0"/>
    <x v="1"/>
    <n v="1423"/>
    <n v="0"/>
  </r>
  <r>
    <x v="4"/>
    <s v="U0377"/>
    <x v="1"/>
    <n v="648"/>
    <x v="0"/>
    <x v="59"/>
    <n v="6723.92"/>
    <x v="330"/>
    <n v="80687.040000000008"/>
    <s v=""/>
    <d v="2021-07-22T00:00:00"/>
    <d v="2022-05-21T00:00:00"/>
    <n v="1477.33"/>
    <n v="712.95"/>
    <s v="OK"/>
    <s v=""/>
    <s v=""/>
    <n v="124.51703703703703"/>
    <n v="2190.2799999999997"/>
    <n v="79974.09"/>
    <n v="0"/>
    <x v="0"/>
    <n v="0"/>
    <n v="648"/>
  </r>
  <r>
    <x v="5"/>
    <s v="U0378"/>
    <x v="1"/>
    <n v="991"/>
    <x v="0"/>
    <x v="35"/>
    <n v="11378.92"/>
    <x v="331"/>
    <n v="136547.04"/>
    <s v=""/>
    <d v="2023-05-04T00:00:00"/>
    <d v="2028-03-14T00:00:00"/>
    <n v="2623.38"/>
    <n v="729.16"/>
    <s v="OK"/>
    <s v=""/>
    <s v=""/>
    <n v="137.78712411705348"/>
    <n v="3352.54"/>
    <n v="135817.88"/>
    <n v="24"/>
    <x v="3"/>
    <n v="0"/>
    <n v="991"/>
  </r>
  <r>
    <x v="4"/>
    <s v="U0379"/>
    <x v="2"/>
    <n v="1036"/>
    <x v="0"/>
    <x v="157"/>
    <n v="15907.58"/>
    <x v="332"/>
    <n v="190890.96"/>
    <s v=""/>
    <d v="2021-10-30T00:00:00"/>
    <d v="2024-09-18T00:00:00"/>
    <n v="2736.27"/>
    <n v="1899.78"/>
    <s v="OK"/>
    <s v=""/>
    <s v=""/>
    <n v="184.25768339768339"/>
    <n v="4636.05"/>
    <n v="188991.18"/>
    <n v="0"/>
    <x v="0"/>
    <n v="0"/>
    <n v="1036"/>
  </r>
  <r>
    <x v="4"/>
    <s v="U0380"/>
    <x v="1"/>
    <n v="221"/>
    <x v="0"/>
    <x v="142"/>
    <n v="1713.53"/>
    <x v="333"/>
    <n v="20562.36"/>
    <s v=""/>
    <d v="2021-06-27T00:00:00"/>
    <d v="2022-06-18T00:00:00"/>
    <n v="463.43"/>
    <n v="426.15"/>
    <s v="OK"/>
    <s v=""/>
    <s v=""/>
    <n v="93.042352941176475"/>
    <n v="889.57999999999993"/>
    <n v="20136.21"/>
    <n v="0"/>
    <x v="0"/>
    <n v="0"/>
    <n v="221"/>
  </r>
  <r>
    <x v="6"/>
    <s v="U0381"/>
    <x v="0"/>
    <n v="1211"/>
    <x v="0"/>
    <x v="125"/>
    <n v="12642.96"/>
    <x v="334"/>
    <n v="151715.51999999999"/>
    <s v=""/>
    <d v="2023-05-02T00:00:00"/>
    <d v="2026-02-22T00:00:00"/>
    <n v="3413.35"/>
    <n v="1754.03"/>
    <s v="OK"/>
    <s v=""/>
    <s v=""/>
    <n v="125.28118909991741"/>
    <n v="5167.38"/>
    <n v="149961.49"/>
    <n v="0"/>
    <x v="0"/>
    <n v="0"/>
    <n v="1211"/>
  </r>
  <r>
    <x v="6"/>
    <s v="U0382"/>
    <x v="3"/>
    <n v="507"/>
    <x v="0"/>
    <x v="66"/>
    <n v="6298.58"/>
    <x v="335"/>
    <n v="75582.959999999992"/>
    <s v=""/>
    <d v="2021-10-27T00:00:00"/>
    <d v="2026-01-05T00:00:00"/>
    <n v="1419.73"/>
    <n v="862.77"/>
    <s v="OK"/>
    <s v=""/>
    <s v=""/>
    <n v="149.07881656804736"/>
    <n v="2282.5"/>
    <n v="74720.19"/>
    <n v="0"/>
    <x v="0"/>
    <n v="0"/>
    <n v="507"/>
  </r>
  <r>
    <x v="1"/>
    <s v="U0383"/>
    <x v="2"/>
    <n v="605"/>
    <x v="0"/>
    <x v="22"/>
    <n v="10127.66"/>
    <x v="336"/>
    <n v="121531.92"/>
    <s v=""/>
    <d v="2021-06-27T00:00:00"/>
    <d v="2023-08-29T00:00:00"/>
    <n v="902.63"/>
    <n v="1419.42"/>
    <s v="OK"/>
    <s v=""/>
    <s v=""/>
    <n v="200.87920661157025"/>
    <n v="2322.0500000000002"/>
    <n v="120112.5"/>
    <n v="0"/>
    <x v="0"/>
    <n v="0"/>
    <n v="605"/>
  </r>
  <r>
    <x v="0"/>
    <s v="U0384"/>
    <x v="0"/>
    <n v="1015"/>
    <x v="0"/>
    <x v="94"/>
    <n v="18195.12"/>
    <x v="337"/>
    <n v="218341.44"/>
    <s v=""/>
    <d v="2022-09-09T00:00:00"/>
    <d v="2023-05-03T00:00:00"/>
    <n v="2522.12"/>
    <n v="2328.67"/>
    <s v="OK"/>
    <s v=""/>
    <s v=""/>
    <n v="215.11471921182266"/>
    <n v="4850.79"/>
    <n v="216012.77"/>
    <n v="0"/>
    <x v="0"/>
    <n v="0"/>
    <n v="1015"/>
  </r>
  <r>
    <x v="3"/>
    <s v="U0385"/>
    <x v="0"/>
    <n v="1139"/>
    <x v="1"/>
    <x v="1"/>
    <n v="0"/>
    <x v="1"/>
    <n v="0"/>
    <s v=""/>
    <m/>
    <m/>
    <n v="2165.9499999999998"/>
    <n v="1552.78"/>
    <s v="OK"/>
    <s v=""/>
    <s v="Rent&lt;=0"/>
    <s v=""/>
    <n v="3718.7299999999996"/>
    <s v=""/>
    <n v="0"/>
    <x v="1"/>
    <n v="1139"/>
    <n v="0"/>
  </r>
  <r>
    <x v="1"/>
    <s v="U0386"/>
    <x v="2"/>
    <n v="683"/>
    <x v="0"/>
    <x v="54"/>
    <n v="8898.0499999999993"/>
    <x v="338"/>
    <n v="106776.59999999999"/>
    <s v=""/>
    <d v="2023-03-07T00:00:00"/>
    <d v="2023-09-24T00:00:00"/>
    <n v="1339.22"/>
    <n v="1480.32"/>
    <s v="OK"/>
    <s v=""/>
    <s v=""/>
    <n v="156.33469985358713"/>
    <n v="2819.54"/>
    <n v="105296.28"/>
    <n v="0"/>
    <x v="0"/>
    <n v="0"/>
    <n v="683"/>
  </r>
  <r>
    <x v="1"/>
    <s v="U0387"/>
    <x v="0"/>
    <n v="727"/>
    <x v="0"/>
    <x v="104"/>
    <n v="11485.82"/>
    <x v="339"/>
    <n v="137829.84"/>
    <s v=""/>
    <d v="2023-11-11T00:00:00"/>
    <d v="2027-08-25T00:00:00"/>
    <n v="1229.3699999999999"/>
    <n v="432.69"/>
    <s v="OK"/>
    <s v=""/>
    <s v=""/>
    <n v="189.58712517193948"/>
    <n v="1662.06"/>
    <n v="137397.15"/>
    <n v="18"/>
    <x v="3"/>
    <n v="0"/>
    <n v="727"/>
  </r>
  <r>
    <x v="6"/>
    <s v="U0388"/>
    <x v="0"/>
    <n v="124"/>
    <x v="0"/>
    <x v="158"/>
    <n v="1456.94"/>
    <x v="340"/>
    <n v="17483.28"/>
    <s v=""/>
    <d v="2023-01-03T00:00:00"/>
    <d v="2025-12-20T00:00:00"/>
    <n v="356.44"/>
    <n v="212.92"/>
    <s v="OK"/>
    <s v=""/>
    <s v=""/>
    <n v="140.99419354838707"/>
    <n v="569.36"/>
    <n v="17270.36"/>
    <n v="0"/>
    <x v="0"/>
    <n v="0"/>
    <n v="124"/>
  </r>
  <r>
    <x v="5"/>
    <s v="U0389"/>
    <x v="1"/>
    <n v="65"/>
    <x v="0"/>
    <x v="121"/>
    <n v="496.05"/>
    <x v="341"/>
    <n v="5952.6"/>
    <s v=""/>
    <d v="2022-11-19T00:00:00"/>
    <d v="2023-07-17T00:00:00"/>
    <n v="116.56"/>
    <n v="118.53"/>
    <s v="OK"/>
    <s v=""/>
    <s v=""/>
    <n v="91.578461538461539"/>
    <n v="235.09"/>
    <n v="5834.0700000000006"/>
    <n v="0"/>
    <x v="0"/>
    <n v="0"/>
    <n v="65"/>
  </r>
  <r>
    <x v="1"/>
    <s v="U0390"/>
    <x v="0"/>
    <n v="915"/>
    <x v="0"/>
    <x v="47"/>
    <n v="15341.64"/>
    <x v="342"/>
    <n v="184099.68"/>
    <s v=""/>
    <d v="2021-11-08T00:00:00"/>
    <d v="2022-11-15T00:00:00"/>
    <n v="2438.33"/>
    <n v="1536.72"/>
    <s v="OK"/>
    <s v=""/>
    <s v=""/>
    <n v="201.20183606557376"/>
    <n v="3975.05"/>
    <n v="182562.96"/>
    <n v="0"/>
    <x v="0"/>
    <n v="0"/>
    <n v="915"/>
  </r>
  <r>
    <x v="1"/>
    <s v="U0391"/>
    <x v="0"/>
    <n v="280"/>
    <x v="0"/>
    <x v="37"/>
    <n v="2037.43"/>
    <x v="343"/>
    <n v="24449.16"/>
    <s v=""/>
    <d v="2022-01-09T00:00:00"/>
    <d v="2025-08-13T00:00:00"/>
    <n v="796.35"/>
    <n v="293.64"/>
    <s v="OK"/>
    <s v=""/>
    <s v=""/>
    <n v="87.318428571428569"/>
    <n v="1089.99"/>
    <n v="24155.52"/>
    <n v="0"/>
    <x v="0"/>
    <n v="0"/>
    <n v="280"/>
  </r>
  <r>
    <x v="7"/>
    <s v="U0392"/>
    <x v="0"/>
    <n v="1414"/>
    <x v="0"/>
    <x v="28"/>
    <n v="11039.26"/>
    <x v="344"/>
    <n v="132471.12"/>
    <s v=""/>
    <d v="2021-11-10T00:00:00"/>
    <d v="2025-03-16T00:00:00"/>
    <n v="2126.4499999999998"/>
    <n v="2547.92"/>
    <s v="OK"/>
    <s v=""/>
    <s v=""/>
    <n v="93.685374823196597"/>
    <n v="4674.37"/>
    <n v="129923.2"/>
    <n v="0"/>
    <x v="0"/>
    <n v="0"/>
    <n v="1414"/>
  </r>
  <r>
    <x v="2"/>
    <s v="U0393"/>
    <x v="1"/>
    <n v="1304"/>
    <x v="0"/>
    <x v="95"/>
    <n v="18513.12"/>
    <x v="345"/>
    <n v="222157.44"/>
    <s v=""/>
    <d v="2022-12-03T00:00:00"/>
    <d v="2027-09-10T00:00:00"/>
    <n v="3245.04"/>
    <n v="2014.59"/>
    <s v="OK"/>
    <s v=""/>
    <s v=""/>
    <n v="170.36613496932515"/>
    <n v="5259.63"/>
    <n v="220142.85"/>
    <n v="18"/>
    <x v="3"/>
    <n v="0"/>
    <n v="1304"/>
  </r>
  <r>
    <x v="6"/>
    <s v="U0394"/>
    <x v="2"/>
    <n v="329"/>
    <x v="0"/>
    <x v="62"/>
    <n v="3209.28"/>
    <x v="346"/>
    <n v="38511.360000000001"/>
    <s v=""/>
    <d v="2021-12-22T00:00:00"/>
    <d v="2022-06-21T00:00:00"/>
    <n v="692.25"/>
    <n v="426.96"/>
    <s v="OK"/>
    <s v=""/>
    <s v=""/>
    <n v="117.05580547112463"/>
    <n v="1119.21"/>
    <n v="38084.400000000001"/>
    <n v="0"/>
    <x v="0"/>
    <n v="0"/>
    <n v="329"/>
  </r>
  <r>
    <x v="7"/>
    <s v="U0395"/>
    <x v="2"/>
    <n v="1348"/>
    <x v="1"/>
    <x v="1"/>
    <n v="0"/>
    <x v="1"/>
    <n v="0"/>
    <s v=""/>
    <m/>
    <m/>
    <n v="2208.75"/>
    <n v="2265.89"/>
    <s v="OK"/>
    <s v=""/>
    <s v="Rent&lt;=0"/>
    <s v=""/>
    <n v="4474.6399999999994"/>
    <s v=""/>
    <n v="0"/>
    <x v="1"/>
    <n v="1348"/>
    <n v="0"/>
  </r>
  <r>
    <x v="0"/>
    <s v="U0396"/>
    <x v="0"/>
    <n v="1444"/>
    <x v="0"/>
    <x v="154"/>
    <n v="17620.599999999999"/>
    <x v="347"/>
    <n v="211447.19999999998"/>
    <s v=""/>
    <d v="2023-09-08T00:00:00"/>
    <d v="2026-05-26T00:00:00"/>
    <n v="2721.49"/>
    <n v="951.69"/>
    <s v="OK"/>
    <s v=""/>
    <s v=""/>
    <n v="146.43157894736842"/>
    <n v="3673.18"/>
    <n v="210495.51"/>
    <n v="3"/>
    <x v="0"/>
    <n v="0"/>
    <n v="1444"/>
  </r>
  <r>
    <x v="2"/>
    <s v="U0397"/>
    <x v="0"/>
    <n v="404"/>
    <x v="0"/>
    <x v="65"/>
    <n v="7023.08"/>
    <x v="348"/>
    <n v="84276.959999999992"/>
    <s v=""/>
    <d v="2021-04-08T00:00:00"/>
    <d v="2021-11-22T00:00:00"/>
    <n v="869.38"/>
    <n v="832.99"/>
    <s v="OK"/>
    <s v=""/>
    <s v=""/>
    <n v="208.60633663366337"/>
    <n v="1702.37"/>
    <n v="83443.97"/>
    <n v="0"/>
    <x v="0"/>
    <n v="0"/>
    <n v="404"/>
  </r>
  <r>
    <x v="0"/>
    <s v="U0398"/>
    <x v="2"/>
    <n v="743"/>
    <x v="0"/>
    <x v="159"/>
    <n v="7935.91"/>
    <x v="349"/>
    <n v="95230.92"/>
    <s v=""/>
    <d v="2022-05-27T00:00:00"/>
    <d v="2025-07-25T00:00:00"/>
    <n v="2132.3000000000002"/>
    <n v="787.62"/>
    <s v="OK"/>
    <s v=""/>
    <s v=""/>
    <n v="128.17082099596232"/>
    <n v="2919.92"/>
    <n v="94443.3"/>
    <n v="0"/>
    <x v="0"/>
    <n v="0"/>
    <n v="743"/>
  </r>
  <r>
    <x v="0"/>
    <s v="U0399"/>
    <x v="3"/>
    <n v="57"/>
    <x v="0"/>
    <x v="82"/>
    <n v="757.73"/>
    <x v="350"/>
    <n v="9092.76"/>
    <s v=""/>
    <d v="2022-08-31T00:00:00"/>
    <d v="2024-08-29T00:00:00"/>
    <n v="98.16"/>
    <n v="117.62"/>
    <s v="OK"/>
    <s v=""/>
    <s v=""/>
    <n v="159.5221052631579"/>
    <n v="215.78"/>
    <n v="8975.14"/>
    <n v="0"/>
    <x v="0"/>
    <n v="0"/>
    <n v="57"/>
  </r>
  <r>
    <x v="0"/>
    <s v="U0400"/>
    <x v="0"/>
    <n v="490"/>
    <x v="0"/>
    <x v="50"/>
    <n v="3138.74"/>
    <x v="351"/>
    <n v="37664.879999999997"/>
    <s v=""/>
    <d v="2021-08-04T00:00:00"/>
    <d v="2024-08-16T00:00:00"/>
    <n v="1160.05"/>
    <n v="408.36"/>
    <s v="OK"/>
    <s v=""/>
    <s v=""/>
    <n v="76.86710204081632"/>
    <n v="1568.4099999999999"/>
    <n v="37256.519999999997"/>
    <n v="0"/>
    <x v="0"/>
    <n v="0"/>
    <n v="490"/>
  </r>
  <r>
    <x v="5"/>
    <s v="U0401"/>
    <x v="2"/>
    <n v="324"/>
    <x v="0"/>
    <x v="116"/>
    <n v="3517.94"/>
    <x v="352"/>
    <n v="42215.28"/>
    <s v=""/>
    <d v="2023-07-10T00:00:00"/>
    <d v="2024-10-29T00:00:00"/>
    <n v="462.67"/>
    <n v="205.46"/>
    <s v="OK"/>
    <s v=""/>
    <s v=""/>
    <n v="130.29407407407408"/>
    <n v="668.13"/>
    <n v="42009.82"/>
    <n v="0"/>
    <x v="0"/>
    <n v="0"/>
    <n v="324"/>
  </r>
  <r>
    <x v="5"/>
    <s v="U0402"/>
    <x v="0"/>
    <n v="1043"/>
    <x v="0"/>
    <x v="160"/>
    <n v="13632.51"/>
    <x v="353"/>
    <n v="163590.12"/>
    <s v=""/>
    <d v="2022-10-30T00:00:00"/>
    <d v="2024-10-09T00:00:00"/>
    <n v="2104.35"/>
    <n v="1176.17"/>
    <s v="OK"/>
    <s v=""/>
    <s v=""/>
    <n v="156.84575263662512"/>
    <n v="3280.52"/>
    <n v="162413.94999999998"/>
    <n v="0"/>
    <x v="0"/>
    <n v="0"/>
    <n v="1043"/>
  </r>
  <r>
    <x v="7"/>
    <s v="U0403"/>
    <x v="3"/>
    <n v="1118"/>
    <x v="0"/>
    <x v="144"/>
    <n v="9587.6200000000008"/>
    <x v="354"/>
    <n v="115051.44"/>
    <s v=""/>
    <d v="2023-07-07T00:00:00"/>
    <d v="2026-08-28T00:00:00"/>
    <n v="1292.1199999999999"/>
    <n v="1226.02"/>
    <s v="OK"/>
    <s v=""/>
    <s v=""/>
    <n v="102.90826475849732"/>
    <n v="2518.14"/>
    <n v="113825.42"/>
    <n v="6"/>
    <x v="2"/>
    <n v="0"/>
    <n v="1118"/>
  </r>
  <r>
    <x v="7"/>
    <s v="U0404"/>
    <x v="2"/>
    <n v="1117"/>
    <x v="0"/>
    <x v="160"/>
    <n v="18599.96"/>
    <x v="355"/>
    <n v="223199.52"/>
    <s v=""/>
    <d v="2021-04-07T00:00:00"/>
    <d v="2025-03-10T00:00:00"/>
    <n v="2771.6"/>
    <n v="673.87"/>
    <s v="OK"/>
    <s v=""/>
    <s v=""/>
    <n v="199.82051924798566"/>
    <n v="3445.47"/>
    <n v="222525.65"/>
    <n v="0"/>
    <x v="0"/>
    <n v="0"/>
    <n v="1117"/>
  </r>
  <r>
    <x v="4"/>
    <s v="U0405"/>
    <x v="1"/>
    <n v="474"/>
    <x v="0"/>
    <x v="161"/>
    <n v="5328.85"/>
    <x v="356"/>
    <n v="63946.200000000004"/>
    <s v=""/>
    <d v="2021-12-03T00:00:00"/>
    <d v="2024-03-05T00:00:00"/>
    <n v="771.45"/>
    <n v="983.42"/>
    <s v="OK"/>
    <s v=""/>
    <s v=""/>
    <n v="134.90759493670885"/>
    <n v="1754.87"/>
    <n v="62962.78"/>
    <n v="0"/>
    <x v="0"/>
    <n v="0"/>
    <n v="474"/>
  </r>
  <r>
    <x v="2"/>
    <s v="U0406"/>
    <x v="2"/>
    <n v="1448"/>
    <x v="0"/>
    <x v="9"/>
    <n v="22443.91"/>
    <x v="357"/>
    <n v="269326.92"/>
    <s v=""/>
    <d v="2022-10-20T00:00:00"/>
    <d v="2026-05-23T00:00:00"/>
    <n v="1618.67"/>
    <n v="1179.8599999999999"/>
    <s v="OK"/>
    <s v=""/>
    <s v=""/>
    <n v="185.9992541436464"/>
    <n v="2798.5299999999997"/>
    <n v="268147.06"/>
    <n v="3"/>
    <x v="0"/>
    <n v="0"/>
    <n v="1448"/>
  </r>
  <r>
    <x v="1"/>
    <s v="U0407"/>
    <x v="0"/>
    <n v="405"/>
    <x v="0"/>
    <x v="34"/>
    <n v="4865.34"/>
    <x v="358"/>
    <n v="58384.08"/>
    <s v=""/>
    <d v="2023-10-02T00:00:00"/>
    <d v="2026-01-25T00:00:00"/>
    <n v="530.16"/>
    <n v="662.08"/>
    <s v="OK"/>
    <s v=""/>
    <s v=""/>
    <n v="144.15822222222224"/>
    <n v="1192.24"/>
    <n v="57722"/>
    <n v="0"/>
    <x v="0"/>
    <n v="0"/>
    <n v="405"/>
  </r>
  <r>
    <x v="3"/>
    <s v="U0408"/>
    <x v="0"/>
    <n v="694"/>
    <x v="0"/>
    <x v="0"/>
    <n v="8996.6299999999992"/>
    <x v="359"/>
    <n v="107959.56"/>
    <s v=""/>
    <d v="2022-08-22T00:00:00"/>
    <d v="2025-05-23T00:00:00"/>
    <n v="903.14"/>
    <n v="1453.27"/>
    <s v="OK"/>
    <s v=""/>
    <s v=""/>
    <n v="155.56132564841499"/>
    <n v="2356.41"/>
    <n v="106506.29"/>
    <n v="0"/>
    <x v="0"/>
    <n v="0"/>
    <n v="694"/>
  </r>
  <r>
    <x v="7"/>
    <s v="U0409"/>
    <x v="1"/>
    <n v="702"/>
    <x v="1"/>
    <x v="1"/>
    <n v="0"/>
    <x v="1"/>
    <n v="0"/>
    <s v=""/>
    <m/>
    <m/>
    <n v="2049.29"/>
    <n v="1699.71"/>
    <s v="OK"/>
    <s v=""/>
    <s v="Rent&lt;=0"/>
    <s v=""/>
    <n v="3749"/>
    <s v=""/>
    <n v="0"/>
    <x v="1"/>
    <n v="702"/>
    <n v="0"/>
  </r>
  <r>
    <x v="5"/>
    <s v="U0410"/>
    <x v="0"/>
    <n v="537"/>
    <x v="0"/>
    <x v="162"/>
    <n v="4225.95"/>
    <x v="360"/>
    <n v="50711.399999999994"/>
    <s v=""/>
    <d v="2022-12-16T00:00:00"/>
    <d v="2026-12-13T00:00:00"/>
    <n v="1122.8699999999999"/>
    <n v="1251.68"/>
    <s v="OK"/>
    <s v=""/>
    <s v=""/>
    <n v="94.434636871508388"/>
    <n v="2374.5500000000002"/>
    <n v="49459.72"/>
    <n v="9"/>
    <x v="4"/>
    <n v="0"/>
    <n v="537"/>
  </r>
  <r>
    <x v="0"/>
    <s v="U0411"/>
    <x v="3"/>
    <n v="786"/>
    <x v="0"/>
    <x v="105"/>
    <n v="10307.719999999999"/>
    <x v="361"/>
    <n v="123692.63999999998"/>
    <s v=""/>
    <d v="2021-06-27T00:00:00"/>
    <d v="2024-03-23T00:00:00"/>
    <n v="945.49"/>
    <n v="730.73"/>
    <s v="OK"/>
    <s v=""/>
    <s v=""/>
    <n v="157.3697709923664"/>
    <n v="1676.22"/>
    <n v="122961.91"/>
    <n v="0"/>
    <x v="0"/>
    <n v="0"/>
    <n v="786"/>
  </r>
  <r>
    <x v="7"/>
    <s v="U0412"/>
    <x v="0"/>
    <n v="1005"/>
    <x v="0"/>
    <x v="21"/>
    <n v="16317.2"/>
    <x v="362"/>
    <n v="195806.40000000002"/>
    <s v=""/>
    <d v="2022-07-02T00:00:00"/>
    <d v="2027-03-19T00:00:00"/>
    <n v="2347.85"/>
    <n v="769.89"/>
    <s v="OK"/>
    <s v=""/>
    <s v=""/>
    <n v="194.83223880597015"/>
    <n v="3117.74"/>
    <n v="195036.50999999998"/>
    <n v="12"/>
    <x v="4"/>
    <n v="0"/>
    <n v="1005"/>
  </r>
  <r>
    <x v="1"/>
    <s v="U0413"/>
    <x v="0"/>
    <n v="1428"/>
    <x v="0"/>
    <x v="75"/>
    <n v="21891.19"/>
    <x v="363"/>
    <n v="262694.27999999997"/>
    <s v=""/>
    <d v="2022-07-16T00:00:00"/>
    <d v="2026-08-01T00:00:00"/>
    <n v="1939.56"/>
    <n v="843.81"/>
    <s v="OK"/>
    <s v=""/>
    <s v=""/>
    <n v="183.95957983193279"/>
    <n v="2783.37"/>
    <n v="261850.47000000003"/>
    <n v="5"/>
    <x v="2"/>
    <n v="0"/>
    <n v="1428"/>
  </r>
  <r>
    <x v="6"/>
    <s v="U0414"/>
    <x v="1"/>
    <n v="575"/>
    <x v="0"/>
    <x v="58"/>
    <n v="8135.46"/>
    <x v="364"/>
    <n v="97625.52"/>
    <s v=""/>
    <d v="2022-01-24T00:00:00"/>
    <d v="2026-11-06T00:00:00"/>
    <n v="719.52"/>
    <n v="525.37"/>
    <s v="OK"/>
    <s v=""/>
    <s v=""/>
    <n v="169.78351304347828"/>
    <n v="1244.8899999999999"/>
    <n v="97100.150000000009"/>
    <n v="8"/>
    <x v="4"/>
    <n v="0"/>
    <n v="575"/>
  </r>
  <r>
    <x v="4"/>
    <s v="U0415"/>
    <x v="3"/>
    <n v="761"/>
    <x v="0"/>
    <x v="97"/>
    <n v="13490.54"/>
    <x v="365"/>
    <n v="161886.48000000001"/>
    <s v=""/>
    <d v="2022-01-09T00:00:00"/>
    <d v="2024-08-29T00:00:00"/>
    <n v="1816.2"/>
    <n v="1664.72"/>
    <s v="OK"/>
    <s v=""/>
    <s v=""/>
    <n v="212.7286202365309"/>
    <n v="3480.92"/>
    <n v="160221.76000000001"/>
    <n v="0"/>
    <x v="0"/>
    <n v="0"/>
    <n v="761"/>
  </r>
  <r>
    <x v="0"/>
    <s v="U0416"/>
    <x v="2"/>
    <n v="1142"/>
    <x v="0"/>
    <x v="105"/>
    <n v="12479.16"/>
    <x v="366"/>
    <n v="149749.91999999998"/>
    <s v=""/>
    <d v="2022-10-12T00:00:00"/>
    <d v="2027-10-06T00:00:00"/>
    <n v="1522.32"/>
    <n v="2619.02"/>
    <s v="OK"/>
    <s v=""/>
    <s v=""/>
    <n v="131.12952714535902"/>
    <n v="4141.34"/>
    <n v="147130.90000000002"/>
    <n v="19"/>
    <x v="3"/>
    <n v="0"/>
    <n v="1142"/>
  </r>
  <r>
    <x v="3"/>
    <s v="U0417"/>
    <x v="2"/>
    <n v="499"/>
    <x v="0"/>
    <x v="163"/>
    <n v="3728.12"/>
    <x v="367"/>
    <n v="44737.440000000002"/>
    <s v=""/>
    <d v="2021-07-23T00:00:00"/>
    <d v="2026-06-12T00:00:00"/>
    <n v="1136.1199999999999"/>
    <n v="636.99"/>
    <s v="OK"/>
    <s v=""/>
    <s v=""/>
    <n v="89.65418837675351"/>
    <n v="1773.11"/>
    <n v="44100.450000000004"/>
    <n v="3"/>
    <x v="0"/>
    <n v="0"/>
    <n v="499"/>
  </r>
  <r>
    <x v="5"/>
    <s v="U0418"/>
    <x v="0"/>
    <n v="961"/>
    <x v="0"/>
    <x v="35"/>
    <n v="6738.65"/>
    <x v="368"/>
    <n v="80863.799999999988"/>
    <s v=""/>
    <d v="2023-04-04T00:00:00"/>
    <d v="2027-07-03T00:00:00"/>
    <n v="2801.66"/>
    <n v="1999.52"/>
    <s v="OK"/>
    <s v=""/>
    <s v=""/>
    <n v="84.145473465140483"/>
    <n v="4801.18"/>
    <n v="78864.28"/>
    <n v="16"/>
    <x v="3"/>
    <n v="0"/>
    <n v="961"/>
  </r>
  <r>
    <x v="5"/>
    <s v="U0419"/>
    <x v="2"/>
    <n v="1206"/>
    <x v="0"/>
    <x v="60"/>
    <n v="7960.18"/>
    <x v="369"/>
    <n v="95522.16"/>
    <s v=""/>
    <d v="2021-07-26T00:00:00"/>
    <d v="2024-05-16T00:00:00"/>
    <n v="1445.77"/>
    <n v="1462.86"/>
    <s v="OK"/>
    <s v=""/>
    <s v=""/>
    <n v="79.205771144278614"/>
    <n v="2908.63"/>
    <n v="94059.3"/>
    <n v="0"/>
    <x v="0"/>
    <n v="0"/>
    <n v="1206"/>
  </r>
  <r>
    <x v="3"/>
    <s v="U0420"/>
    <x v="0"/>
    <n v="85"/>
    <x v="0"/>
    <x v="164"/>
    <n v="916.71"/>
    <x v="370"/>
    <n v="11000.52"/>
    <s v=""/>
    <d v="2022-01-04T00:00:00"/>
    <d v="2024-12-21T00:00:00"/>
    <n v="244.43"/>
    <n v="189.9"/>
    <s v="OK"/>
    <s v=""/>
    <s v=""/>
    <n v="129.41788235294118"/>
    <n v="434.33000000000004"/>
    <n v="10810.62"/>
    <n v="0"/>
    <x v="0"/>
    <n v="0"/>
    <n v="85"/>
  </r>
  <r>
    <x v="2"/>
    <s v="U0421"/>
    <x v="0"/>
    <n v="36"/>
    <x v="1"/>
    <x v="1"/>
    <n v="0"/>
    <x v="1"/>
    <n v="0"/>
    <s v=""/>
    <m/>
    <m/>
    <n v="45.25"/>
    <n v="27.92"/>
    <s v="OK"/>
    <s v=""/>
    <s v="Rent&lt;=0"/>
    <s v=""/>
    <n v="73.17"/>
    <s v=""/>
    <n v="0"/>
    <x v="1"/>
    <n v="36"/>
    <n v="0"/>
  </r>
  <r>
    <x v="1"/>
    <s v="U0422"/>
    <x v="1"/>
    <n v="780"/>
    <x v="0"/>
    <x v="165"/>
    <n v="12094.08"/>
    <x v="371"/>
    <n v="145128.95999999999"/>
    <s v=""/>
    <d v="2021-09-28T00:00:00"/>
    <d v="2024-04-16T00:00:00"/>
    <n v="1410.31"/>
    <n v="475.11"/>
    <s v="OK"/>
    <s v=""/>
    <s v=""/>
    <n v="186.06276923076922"/>
    <n v="1885.42"/>
    <n v="144653.85"/>
    <n v="0"/>
    <x v="0"/>
    <n v="0"/>
    <n v="780"/>
  </r>
  <r>
    <x v="0"/>
    <s v="U0423"/>
    <x v="2"/>
    <n v="1374"/>
    <x v="0"/>
    <x v="166"/>
    <n v="16819.900000000001"/>
    <x v="372"/>
    <n v="201838.80000000002"/>
    <s v=""/>
    <d v="2023-09-23T00:00:00"/>
    <d v="2026-07-26T00:00:00"/>
    <n v="2183.4299999999998"/>
    <n v="1227.79"/>
    <s v="OK"/>
    <s v=""/>
    <s v=""/>
    <n v="146.89868995633188"/>
    <n v="3411.22"/>
    <n v="200611.00999999998"/>
    <n v="5"/>
    <x v="2"/>
    <n v="0"/>
    <n v="1374"/>
  </r>
  <r>
    <x v="0"/>
    <s v="U0424"/>
    <x v="2"/>
    <n v="721"/>
    <x v="0"/>
    <x v="109"/>
    <n v="8126.64"/>
    <x v="373"/>
    <n v="97519.680000000008"/>
    <s v=""/>
    <d v="2023-01-17T00:00:00"/>
    <d v="2027-02-27T00:00:00"/>
    <n v="1106.69"/>
    <n v="1077.31"/>
    <s v="OK"/>
    <s v=""/>
    <s v=""/>
    <n v="135.2561442441054"/>
    <n v="2184"/>
    <n v="96442.37"/>
    <n v="12"/>
    <x v="4"/>
    <n v="0"/>
    <n v="721"/>
  </r>
  <r>
    <x v="5"/>
    <s v="U0425"/>
    <x v="2"/>
    <n v="725"/>
    <x v="1"/>
    <x v="1"/>
    <n v="0"/>
    <x v="1"/>
    <n v="0"/>
    <s v=""/>
    <m/>
    <m/>
    <n v="1732.66"/>
    <n v="965.08"/>
    <s v="OK"/>
    <s v=""/>
    <s v="Rent&lt;=0"/>
    <s v=""/>
    <n v="2697.7400000000002"/>
    <s v=""/>
    <n v="0"/>
    <x v="1"/>
    <n v="725"/>
    <n v="0"/>
  </r>
  <r>
    <x v="3"/>
    <s v="U0426"/>
    <x v="2"/>
    <n v="246"/>
    <x v="1"/>
    <x v="1"/>
    <n v="0"/>
    <x v="1"/>
    <n v="0"/>
    <s v=""/>
    <m/>
    <m/>
    <n v="565.33000000000004"/>
    <n v="603.05999999999995"/>
    <s v="OK"/>
    <s v=""/>
    <s v="Rent&lt;=0"/>
    <s v=""/>
    <n v="1168.3899999999999"/>
    <s v=""/>
    <n v="0"/>
    <x v="1"/>
    <n v="246"/>
    <n v="0"/>
  </r>
  <r>
    <x v="4"/>
    <s v="U0427"/>
    <x v="0"/>
    <n v="511"/>
    <x v="0"/>
    <x v="153"/>
    <n v="4230.09"/>
    <x v="374"/>
    <n v="50761.08"/>
    <s v=""/>
    <d v="2023-09-24T00:00:00"/>
    <d v="2025-06-14T00:00:00"/>
    <n v="1213.22"/>
    <n v="666.8"/>
    <s v="OK"/>
    <s v=""/>
    <s v=""/>
    <n v="99.336751467710371"/>
    <n v="1880.02"/>
    <n v="50094.28"/>
    <n v="0"/>
    <x v="0"/>
    <n v="0"/>
    <n v="511"/>
  </r>
  <r>
    <x v="5"/>
    <s v="U0428"/>
    <x v="2"/>
    <n v="655"/>
    <x v="0"/>
    <x v="92"/>
    <n v="10816.61"/>
    <x v="375"/>
    <n v="129799.32"/>
    <s v=""/>
    <d v="2022-11-27T00:00:00"/>
    <d v="2027-11-07T00:00:00"/>
    <n v="1209.26"/>
    <n v="1342.05"/>
    <s v="OK"/>
    <s v=""/>
    <s v=""/>
    <n v="198.1669007633588"/>
    <n v="2551.31"/>
    <n v="128457.27"/>
    <n v="20"/>
    <x v="3"/>
    <n v="0"/>
    <n v="655"/>
  </r>
  <r>
    <x v="7"/>
    <s v="U0429"/>
    <x v="3"/>
    <n v="823"/>
    <x v="0"/>
    <x v="166"/>
    <n v="8262.1200000000008"/>
    <x v="376"/>
    <n v="99145.44"/>
    <s v=""/>
    <d v="2021-07-25T00:00:00"/>
    <d v="2024-01-28T00:00:00"/>
    <n v="1813.76"/>
    <n v="866.01"/>
    <s v="OK"/>
    <s v=""/>
    <s v=""/>
    <n v="120.46833535844472"/>
    <n v="2679.77"/>
    <n v="98279.430000000008"/>
    <n v="0"/>
    <x v="0"/>
    <n v="0"/>
    <n v="823"/>
  </r>
  <r>
    <x v="6"/>
    <s v="U0430"/>
    <x v="0"/>
    <n v="1137"/>
    <x v="0"/>
    <x v="116"/>
    <n v="9103.8799999999992"/>
    <x v="377"/>
    <n v="109246.56"/>
    <s v=""/>
    <d v="2022-08-20T00:00:00"/>
    <d v="2025-09-06T00:00:00"/>
    <n v="2419.86"/>
    <n v="2680.9"/>
    <s v="OK"/>
    <s v=""/>
    <s v=""/>
    <n v="96.083166226912923"/>
    <n v="5100.76"/>
    <n v="106565.66"/>
    <n v="0"/>
    <x v="0"/>
    <n v="0"/>
    <n v="1137"/>
  </r>
  <r>
    <x v="1"/>
    <s v="U0431"/>
    <x v="2"/>
    <n v="229"/>
    <x v="0"/>
    <x v="167"/>
    <n v="3526.37"/>
    <x v="378"/>
    <n v="42316.44"/>
    <s v=""/>
    <d v="2022-02-14T00:00:00"/>
    <d v="2023-07-09T00:00:00"/>
    <n v="299.04000000000002"/>
    <n v="210.71"/>
    <s v="OK"/>
    <s v=""/>
    <s v=""/>
    <n v="184.78794759825328"/>
    <n v="509.75"/>
    <n v="42105.73"/>
    <n v="0"/>
    <x v="0"/>
    <n v="0"/>
    <n v="229"/>
  </r>
  <r>
    <x v="6"/>
    <s v="U0432"/>
    <x v="0"/>
    <n v="510"/>
    <x v="0"/>
    <x v="5"/>
    <n v="5292.64"/>
    <x v="379"/>
    <n v="63511.680000000008"/>
    <s v=""/>
    <d v="2021-06-13T00:00:00"/>
    <d v="2024-04-06T00:00:00"/>
    <n v="1488.48"/>
    <n v="505.41"/>
    <s v="OK"/>
    <s v=""/>
    <s v=""/>
    <n v="124.53270588235294"/>
    <n v="1993.89"/>
    <n v="63006.27"/>
    <n v="0"/>
    <x v="0"/>
    <n v="0"/>
    <n v="510"/>
  </r>
  <r>
    <x v="2"/>
    <s v="U0433"/>
    <x v="3"/>
    <n v="797"/>
    <x v="0"/>
    <x v="93"/>
    <n v="14227.12"/>
    <x v="380"/>
    <n v="170725.44"/>
    <s v=""/>
    <d v="2021-07-03T00:00:00"/>
    <d v="2025-02-15T00:00:00"/>
    <n v="2285.38"/>
    <n v="1202.79"/>
    <s v="OK"/>
    <s v=""/>
    <s v=""/>
    <n v="214.21008782936011"/>
    <n v="3488.17"/>
    <n v="169522.65"/>
    <n v="0"/>
    <x v="0"/>
    <n v="0"/>
    <n v="797"/>
  </r>
  <r>
    <x v="2"/>
    <s v="U0434"/>
    <x v="0"/>
    <n v="960"/>
    <x v="0"/>
    <x v="128"/>
    <n v="6799.41"/>
    <x v="381"/>
    <n v="81592.92"/>
    <s v=""/>
    <d v="2021-05-22T00:00:00"/>
    <d v="2025-09-23T00:00:00"/>
    <n v="2033.5"/>
    <n v="1996.25"/>
    <s v="OK"/>
    <s v=""/>
    <s v=""/>
    <n v="84.992625000000004"/>
    <n v="4029.75"/>
    <n v="79596.67"/>
    <n v="0"/>
    <x v="0"/>
    <n v="0"/>
    <n v="960"/>
  </r>
  <r>
    <x v="2"/>
    <s v="U0435"/>
    <x v="0"/>
    <n v="976"/>
    <x v="1"/>
    <x v="1"/>
    <n v="0"/>
    <x v="1"/>
    <n v="0"/>
    <s v=""/>
    <m/>
    <m/>
    <n v="1094.49"/>
    <n v="494.1"/>
    <s v="OK"/>
    <s v=""/>
    <s v="Rent&lt;=0"/>
    <s v=""/>
    <n v="1588.5900000000001"/>
    <s v=""/>
    <n v="0"/>
    <x v="1"/>
    <n v="976"/>
    <n v="0"/>
  </r>
  <r>
    <x v="2"/>
    <s v="U0436"/>
    <x v="2"/>
    <n v="1308"/>
    <x v="1"/>
    <x v="1"/>
    <n v="0"/>
    <x v="1"/>
    <n v="0"/>
    <s v=""/>
    <m/>
    <m/>
    <n v="2116.4"/>
    <n v="2022.23"/>
    <s v="OK"/>
    <s v=""/>
    <s v="Rent&lt;=0"/>
    <s v=""/>
    <n v="4138.63"/>
    <s v=""/>
    <n v="0"/>
    <x v="1"/>
    <n v="1308"/>
    <n v="0"/>
  </r>
  <r>
    <x v="2"/>
    <s v="U0437"/>
    <x v="0"/>
    <n v="1069"/>
    <x v="1"/>
    <x v="1"/>
    <n v="0"/>
    <x v="1"/>
    <n v="0"/>
    <s v=""/>
    <m/>
    <m/>
    <n v="1820.97"/>
    <n v="1542.3"/>
    <s v="OK"/>
    <s v=""/>
    <s v="Rent&lt;=0"/>
    <s v=""/>
    <n v="3363.27"/>
    <s v=""/>
    <n v="0"/>
    <x v="1"/>
    <n v="1069"/>
    <n v="0"/>
  </r>
  <r>
    <x v="3"/>
    <s v="U0438"/>
    <x v="0"/>
    <n v="721"/>
    <x v="0"/>
    <x v="99"/>
    <n v="7974.7"/>
    <x v="382"/>
    <n v="95696.4"/>
    <s v=""/>
    <d v="2022-06-08T00:00:00"/>
    <d v="2025-05-30T00:00:00"/>
    <n v="1213.5899999999999"/>
    <n v="531.24"/>
    <s v="OK"/>
    <s v=""/>
    <s v=""/>
    <n v="132.72732316227462"/>
    <n v="1744.83"/>
    <n v="95165.159999999989"/>
    <n v="0"/>
    <x v="0"/>
    <n v="0"/>
    <n v="721"/>
  </r>
  <r>
    <x v="6"/>
    <s v="U0439"/>
    <x v="3"/>
    <n v="253"/>
    <x v="0"/>
    <x v="168"/>
    <n v="2442"/>
    <x v="383"/>
    <n v="29304"/>
    <s v=""/>
    <d v="2021-09-14T00:00:00"/>
    <d v="2022-07-04T00:00:00"/>
    <n v="676.61"/>
    <n v="162.53"/>
    <s v="OK"/>
    <s v=""/>
    <s v=""/>
    <n v="115.82608695652173"/>
    <n v="839.14"/>
    <n v="29141.47"/>
    <n v="0"/>
    <x v="0"/>
    <n v="0"/>
    <n v="253"/>
  </r>
  <r>
    <x v="7"/>
    <s v="U0440"/>
    <x v="2"/>
    <n v="75"/>
    <x v="0"/>
    <x v="31"/>
    <n v="798.46"/>
    <x v="384"/>
    <n v="9581.52"/>
    <s v=""/>
    <d v="2022-07-19T00:00:00"/>
    <d v="2025-06-03T00:00:00"/>
    <n v="79.010000000000005"/>
    <n v="95.71"/>
    <s v="OK"/>
    <s v=""/>
    <s v=""/>
    <n v="127.75360000000001"/>
    <n v="174.72"/>
    <n v="9485.8100000000013"/>
    <n v="0"/>
    <x v="0"/>
    <n v="0"/>
    <n v="75"/>
  </r>
  <r>
    <x v="7"/>
    <s v="U0441"/>
    <x v="0"/>
    <n v="1037"/>
    <x v="0"/>
    <x v="73"/>
    <n v="17823.32"/>
    <x v="385"/>
    <n v="213879.84"/>
    <s v=""/>
    <d v="2023-02-16T00:00:00"/>
    <d v="2025-04-16T00:00:00"/>
    <n v="1084.42"/>
    <n v="1108.29"/>
    <s v="OK"/>
    <s v=""/>
    <s v=""/>
    <n v="206.24864030858245"/>
    <n v="2192.71"/>
    <n v="212771.55"/>
    <n v="0"/>
    <x v="0"/>
    <n v="0"/>
    <n v="1037"/>
  </r>
  <r>
    <x v="7"/>
    <s v="U0442"/>
    <x v="2"/>
    <n v="728"/>
    <x v="0"/>
    <x v="30"/>
    <n v="5453.56"/>
    <x v="386"/>
    <n v="65442.720000000001"/>
    <s v=""/>
    <d v="2023-02-20T00:00:00"/>
    <d v="2027-11-04T00:00:00"/>
    <n v="2122.9499999999998"/>
    <n v="1792.54"/>
    <s v="OK"/>
    <s v=""/>
    <s v=""/>
    <n v="89.893846153846155"/>
    <n v="3915.49"/>
    <n v="63650.18"/>
    <n v="20"/>
    <x v="3"/>
    <n v="0"/>
    <n v="728"/>
  </r>
  <r>
    <x v="4"/>
    <s v="U0443"/>
    <x v="3"/>
    <n v="309"/>
    <x v="1"/>
    <x v="1"/>
    <n v="0"/>
    <x v="1"/>
    <n v="0"/>
    <s v=""/>
    <m/>
    <m/>
    <n v="668.25"/>
    <n v="500.43"/>
    <s v="OK"/>
    <s v=""/>
    <s v="Rent&lt;=0"/>
    <s v=""/>
    <n v="1168.68"/>
    <s v=""/>
    <n v="0"/>
    <x v="1"/>
    <n v="309"/>
    <n v="0"/>
  </r>
  <r>
    <x v="0"/>
    <s v="U0444"/>
    <x v="2"/>
    <n v="1475"/>
    <x v="0"/>
    <x v="55"/>
    <n v="22632.19"/>
    <x v="387"/>
    <n v="271586.27999999997"/>
    <s v=""/>
    <d v="2023-10-05T00:00:00"/>
    <d v="2027-06-16T00:00:00"/>
    <n v="3001.53"/>
    <n v="2305.9299999999998"/>
    <s v="OK"/>
    <s v=""/>
    <s v=""/>
    <n v="184.12629152542374"/>
    <n v="5307.46"/>
    <n v="269280.35000000003"/>
    <n v="15"/>
    <x v="3"/>
    <n v="0"/>
    <n v="1475"/>
  </r>
  <r>
    <x v="4"/>
    <s v="U0445"/>
    <x v="0"/>
    <n v="355"/>
    <x v="0"/>
    <x v="46"/>
    <n v="3630.86"/>
    <x v="388"/>
    <n v="43570.32"/>
    <s v=""/>
    <d v="2023-07-10T00:00:00"/>
    <d v="2025-12-02T00:00:00"/>
    <n v="574.75"/>
    <n v="309.58"/>
    <s v="OK"/>
    <s v=""/>
    <s v=""/>
    <n v="122.73329577464789"/>
    <n v="884.32999999999993"/>
    <n v="43260.74"/>
    <n v="0"/>
    <x v="0"/>
    <n v="0"/>
    <n v="355"/>
  </r>
  <r>
    <x v="6"/>
    <s v="U0446"/>
    <x v="0"/>
    <n v="1053"/>
    <x v="0"/>
    <x v="21"/>
    <n v="14959.17"/>
    <x v="389"/>
    <n v="179510.04"/>
    <s v=""/>
    <d v="2023-12-16T00:00:00"/>
    <d v="2027-09-15T00:00:00"/>
    <n v="2741.85"/>
    <n v="1601.84"/>
    <s v="OK"/>
    <s v=""/>
    <s v=""/>
    <n v="170.4748717948718"/>
    <n v="4343.6899999999996"/>
    <n v="177908.2"/>
    <n v="18"/>
    <x v="3"/>
    <n v="0"/>
    <n v="1053"/>
  </r>
  <r>
    <x v="2"/>
    <s v="U0447"/>
    <x v="3"/>
    <n v="137"/>
    <x v="0"/>
    <x v="2"/>
    <n v="1105.8399999999999"/>
    <x v="390"/>
    <n v="13270.079999999998"/>
    <s v=""/>
    <d v="2021-04-22T00:00:00"/>
    <d v="2025-10-18T00:00:00"/>
    <n v="344.7"/>
    <n v="235.24"/>
    <s v="OK"/>
    <s v=""/>
    <s v=""/>
    <n v="96.861897810218977"/>
    <n v="579.94000000000005"/>
    <n v="13034.84"/>
    <n v="0"/>
    <x v="0"/>
    <n v="0"/>
    <n v="137"/>
  </r>
  <r>
    <x v="7"/>
    <s v="U0448"/>
    <x v="2"/>
    <n v="823"/>
    <x v="1"/>
    <x v="1"/>
    <n v="0"/>
    <x v="1"/>
    <n v="0"/>
    <s v=""/>
    <m/>
    <m/>
    <n v="1620.6"/>
    <n v="445.72"/>
    <s v="OK"/>
    <s v=""/>
    <s v="Rent&lt;=0"/>
    <s v=""/>
    <n v="2066.3199999999997"/>
    <s v=""/>
    <n v="0"/>
    <x v="1"/>
    <n v="823"/>
    <n v="0"/>
  </r>
  <r>
    <x v="2"/>
    <s v="U0449"/>
    <x v="0"/>
    <n v="601"/>
    <x v="1"/>
    <x v="1"/>
    <n v="0"/>
    <x v="1"/>
    <n v="0"/>
    <s v=""/>
    <m/>
    <m/>
    <n v="911"/>
    <n v="1393.96"/>
    <s v="OK"/>
    <s v=""/>
    <s v="Rent&lt;=0"/>
    <s v=""/>
    <n v="2304.96"/>
    <s v=""/>
    <n v="0"/>
    <x v="1"/>
    <n v="601"/>
    <n v="0"/>
  </r>
  <r>
    <x v="4"/>
    <s v="U0450"/>
    <x v="3"/>
    <n v="1047"/>
    <x v="1"/>
    <x v="1"/>
    <n v="0"/>
    <x v="1"/>
    <n v="0"/>
    <s v=""/>
    <m/>
    <m/>
    <n v="1197.58"/>
    <n v="2187.56"/>
    <s v="OK"/>
    <s v=""/>
    <s v="Rent&lt;=0"/>
    <s v=""/>
    <n v="3385.14"/>
    <s v=""/>
    <n v="0"/>
    <x v="1"/>
    <n v="1047"/>
    <n v="0"/>
  </r>
  <r>
    <x v="1"/>
    <s v="U0451"/>
    <x v="2"/>
    <n v="245"/>
    <x v="0"/>
    <x v="169"/>
    <n v="4094.65"/>
    <x v="391"/>
    <n v="49135.8"/>
    <s v=""/>
    <d v="2022-03-05T00:00:00"/>
    <d v="2022-10-29T00:00:00"/>
    <n v="721.65"/>
    <n v="314.47000000000003"/>
    <s v="OK"/>
    <s v=""/>
    <s v=""/>
    <n v="200.55428571428573"/>
    <n v="1036.1199999999999"/>
    <n v="48821.33"/>
    <n v="0"/>
    <x v="0"/>
    <n v="0"/>
    <n v="245"/>
  </r>
  <r>
    <x v="6"/>
    <s v="U0452"/>
    <x v="1"/>
    <n v="661"/>
    <x v="0"/>
    <x v="131"/>
    <n v="5733.5"/>
    <x v="392"/>
    <n v="68802"/>
    <s v=""/>
    <d v="2022-02-04T00:00:00"/>
    <d v="2023-10-18T00:00:00"/>
    <n v="1282.1199999999999"/>
    <n v="1624.64"/>
    <s v="OK"/>
    <s v=""/>
    <s v=""/>
    <n v="104.08774583963691"/>
    <n v="2906.76"/>
    <n v="67177.36"/>
    <n v="0"/>
    <x v="0"/>
    <n v="0"/>
    <n v="661"/>
  </r>
  <r>
    <x v="7"/>
    <s v="U0453"/>
    <x v="2"/>
    <n v="1324"/>
    <x v="1"/>
    <x v="1"/>
    <n v="0"/>
    <x v="1"/>
    <n v="0"/>
    <s v=""/>
    <m/>
    <m/>
    <n v="1391.72"/>
    <n v="1840.7"/>
    <s v="OK"/>
    <s v=""/>
    <s v="Rent&lt;=0"/>
    <s v=""/>
    <n v="3232.42"/>
    <s v=""/>
    <n v="0"/>
    <x v="1"/>
    <n v="1324"/>
    <n v="0"/>
  </r>
  <r>
    <x v="3"/>
    <s v="U0454"/>
    <x v="3"/>
    <n v="138"/>
    <x v="1"/>
    <x v="1"/>
    <n v="0"/>
    <x v="1"/>
    <n v="0"/>
    <s v=""/>
    <m/>
    <m/>
    <n v="299.39"/>
    <n v="327.54000000000002"/>
    <s v="OK"/>
    <s v=""/>
    <s v="Rent&lt;=0"/>
    <s v=""/>
    <n v="626.93000000000006"/>
    <s v=""/>
    <n v="0"/>
    <x v="1"/>
    <n v="138"/>
    <n v="0"/>
  </r>
  <r>
    <x v="7"/>
    <s v="U0455"/>
    <x v="1"/>
    <n v="1488"/>
    <x v="0"/>
    <x v="96"/>
    <n v="15233.5"/>
    <x v="393"/>
    <n v="182802"/>
    <s v=""/>
    <d v="2022-10-13T00:00:00"/>
    <d v="2025-10-31T00:00:00"/>
    <n v="2363.21"/>
    <n v="3643.21"/>
    <s v="OK"/>
    <s v=""/>
    <s v=""/>
    <n v="122.8508064516129"/>
    <n v="6006.42"/>
    <n v="179158.79"/>
    <n v="0"/>
    <x v="0"/>
    <n v="0"/>
    <n v="1488"/>
  </r>
  <r>
    <x v="7"/>
    <s v="U0456"/>
    <x v="0"/>
    <n v="258"/>
    <x v="1"/>
    <x v="1"/>
    <n v="0"/>
    <x v="1"/>
    <n v="0"/>
    <s v=""/>
    <m/>
    <m/>
    <n v="445.01"/>
    <n v="627.15"/>
    <s v="OK"/>
    <s v=""/>
    <s v="Rent&lt;=0"/>
    <s v=""/>
    <n v="1072.1599999999999"/>
    <s v=""/>
    <n v="0"/>
    <x v="1"/>
    <n v="258"/>
    <n v="0"/>
  </r>
  <r>
    <x v="3"/>
    <s v="U0457"/>
    <x v="3"/>
    <n v="1053"/>
    <x v="0"/>
    <x v="110"/>
    <n v="15035.03"/>
    <x v="394"/>
    <n v="180420.36000000002"/>
    <s v=""/>
    <d v="2022-09-13T00:00:00"/>
    <d v="2026-02-27T00:00:00"/>
    <n v="2785.38"/>
    <n v="540.88"/>
    <s v="OK"/>
    <s v=""/>
    <s v=""/>
    <n v="171.33937321937321"/>
    <n v="3326.26"/>
    <n v="179879.47999999998"/>
    <n v="0"/>
    <x v="0"/>
    <n v="0"/>
    <n v="1053"/>
  </r>
  <r>
    <x v="5"/>
    <s v="U0458"/>
    <x v="3"/>
    <n v="1416"/>
    <x v="0"/>
    <x v="44"/>
    <n v="14922.56"/>
    <x v="395"/>
    <n v="179070.72"/>
    <s v=""/>
    <d v="2023-08-17T00:00:00"/>
    <d v="2027-04-14T00:00:00"/>
    <n v="2506.4"/>
    <n v="1418.52"/>
    <s v="OK"/>
    <s v=""/>
    <s v=""/>
    <n v="126.46237288135593"/>
    <n v="3924.92"/>
    <n v="177652.2"/>
    <n v="13"/>
    <x v="3"/>
    <n v="0"/>
    <n v="1416"/>
  </r>
  <r>
    <x v="4"/>
    <s v="U0459"/>
    <x v="0"/>
    <n v="425"/>
    <x v="1"/>
    <x v="1"/>
    <n v="0"/>
    <x v="1"/>
    <n v="0"/>
    <s v=""/>
    <m/>
    <m/>
    <n v="851.61"/>
    <n v="447.14"/>
    <s v="OK"/>
    <s v=""/>
    <s v="Rent&lt;=0"/>
    <s v=""/>
    <n v="1298.75"/>
    <s v=""/>
    <n v="0"/>
    <x v="1"/>
    <n v="425"/>
    <n v="0"/>
  </r>
  <r>
    <x v="7"/>
    <s v="U0460"/>
    <x v="0"/>
    <n v="1347"/>
    <x v="1"/>
    <x v="1"/>
    <n v="0"/>
    <x v="1"/>
    <n v="0"/>
    <s v=""/>
    <m/>
    <m/>
    <n v="1456.09"/>
    <n v="2333.91"/>
    <s v="OK"/>
    <s v=""/>
    <s v="Rent&lt;=0"/>
    <s v=""/>
    <n v="3790"/>
    <s v=""/>
    <n v="0"/>
    <x v="1"/>
    <n v="1347"/>
    <n v="0"/>
  </r>
  <r>
    <x v="7"/>
    <s v="U0461"/>
    <x v="0"/>
    <n v="460"/>
    <x v="0"/>
    <x v="41"/>
    <n v="5589.31"/>
    <x v="396"/>
    <n v="67071.72"/>
    <s v=""/>
    <d v="2022-06-26T00:00:00"/>
    <d v="2027-06-14T00:00:00"/>
    <n v="793.42"/>
    <n v="626.48"/>
    <s v="OK"/>
    <s v=""/>
    <s v=""/>
    <n v="145.80808695652175"/>
    <n v="1419.9"/>
    <n v="66445.240000000005"/>
    <n v="15"/>
    <x v="3"/>
    <n v="0"/>
    <n v="460"/>
  </r>
  <r>
    <x v="3"/>
    <s v="U0462"/>
    <x v="3"/>
    <n v="1179"/>
    <x v="0"/>
    <x v="110"/>
    <n v="11773.97"/>
    <x v="397"/>
    <n v="141287.63999999998"/>
    <s v=""/>
    <d v="2021-11-30T00:00:00"/>
    <d v="2026-01-06T00:00:00"/>
    <n v="3380.37"/>
    <n v="788.56"/>
    <s v="OK"/>
    <s v=""/>
    <s v=""/>
    <n v="119.83684478371502"/>
    <n v="4168.93"/>
    <n v="140499.08000000002"/>
    <n v="0"/>
    <x v="0"/>
    <n v="0"/>
    <n v="1179"/>
  </r>
  <r>
    <x v="6"/>
    <s v="U0463"/>
    <x v="3"/>
    <n v="46"/>
    <x v="0"/>
    <x v="103"/>
    <n v="293.83999999999997"/>
    <x v="398"/>
    <n v="3526.08"/>
    <s v=""/>
    <d v="2021-07-19T00:00:00"/>
    <d v="2022-11-24T00:00:00"/>
    <n v="61.13"/>
    <n v="46.13"/>
    <s v="OK"/>
    <s v=""/>
    <s v=""/>
    <n v="76.653913043478255"/>
    <n v="107.26"/>
    <n v="3479.95"/>
    <n v="0"/>
    <x v="0"/>
    <n v="0"/>
    <n v="46"/>
  </r>
  <r>
    <x v="0"/>
    <s v="U0464"/>
    <x v="3"/>
    <n v="705"/>
    <x v="0"/>
    <x v="29"/>
    <n v="9229.11"/>
    <x v="399"/>
    <n v="110749.32"/>
    <s v=""/>
    <d v="2023-02-20T00:00:00"/>
    <d v="2028-02-12T00:00:00"/>
    <n v="1698.09"/>
    <n v="505.19"/>
    <s v="OK"/>
    <s v=""/>
    <s v=""/>
    <n v="157.0912340425532"/>
    <n v="2203.2799999999997"/>
    <n v="110244.13"/>
    <n v="23"/>
    <x v="3"/>
    <n v="0"/>
    <n v="705"/>
  </r>
  <r>
    <x v="0"/>
    <s v="U0465"/>
    <x v="2"/>
    <n v="1239"/>
    <x v="0"/>
    <x v="111"/>
    <n v="11343.87"/>
    <x v="400"/>
    <n v="136126.44"/>
    <s v=""/>
    <d v="2023-02-02T00:00:00"/>
    <d v="2027-06-02T00:00:00"/>
    <n v="3297.84"/>
    <n v="2564.13"/>
    <s v="OK"/>
    <s v=""/>
    <s v=""/>
    <n v="109.86799031476998"/>
    <n v="5861.97"/>
    <n v="133562.31"/>
    <n v="15"/>
    <x v="3"/>
    <n v="0"/>
    <n v="1239"/>
  </r>
  <r>
    <x v="1"/>
    <s v="U0466"/>
    <x v="2"/>
    <n v="330"/>
    <x v="0"/>
    <x v="34"/>
    <n v="5311.71"/>
    <x v="401"/>
    <n v="63740.520000000004"/>
    <s v=""/>
    <d v="2023-01-22T00:00:00"/>
    <d v="2026-10-11T00:00:00"/>
    <n v="698.24"/>
    <n v="413.22"/>
    <s v="OK"/>
    <s v=""/>
    <s v=""/>
    <n v="193.15309090909091"/>
    <n v="1111.46"/>
    <n v="63327.299999999996"/>
    <n v="7"/>
    <x v="4"/>
    <n v="0"/>
    <n v="330"/>
  </r>
  <r>
    <x v="0"/>
    <s v="U0467"/>
    <x v="0"/>
    <n v="931"/>
    <x v="0"/>
    <x v="22"/>
    <n v="11865.18"/>
    <x v="402"/>
    <n v="142382.16"/>
    <s v=""/>
    <d v="2023-02-16T00:00:00"/>
    <d v="2027-01-20T00:00:00"/>
    <n v="1047.76"/>
    <n v="1883.2"/>
    <s v="OK"/>
    <s v=""/>
    <s v=""/>
    <n v="152.93465091299677"/>
    <n v="2930.96"/>
    <n v="140498.96"/>
    <n v="11"/>
    <x v="4"/>
    <n v="0"/>
    <n v="931"/>
  </r>
  <r>
    <x v="2"/>
    <s v="U0468"/>
    <x v="1"/>
    <n v="905"/>
    <x v="0"/>
    <x v="57"/>
    <n v="11050.86"/>
    <x v="403"/>
    <n v="132610.32"/>
    <s v=""/>
    <d v="2023-12-22T00:00:00"/>
    <d v="2024-10-29T00:00:00"/>
    <n v="1289.67"/>
    <n v="1832.28"/>
    <s v="OK"/>
    <s v=""/>
    <s v=""/>
    <n v="146.53074033149173"/>
    <n v="3121.95"/>
    <n v="130778.04000000001"/>
    <n v="0"/>
    <x v="0"/>
    <n v="0"/>
    <n v="905"/>
  </r>
  <r>
    <x v="7"/>
    <s v="U0469"/>
    <x v="1"/>
    <n v="773"/>
    <x v="0"/>
    <x v="149"/>
    <n v="6038.58"/>
    <x v="404"/>
    <n v="72462.959999999992"/>
    <s v=""/>
    <d v="2022-03-24T00:00:00"/>
    <d v="2025-06-01T00:00:00"/>
    <n v="2175.7600000000002"/>
    <n v="1644.01"/>
    <s v="OK"/>
    <s v=""/>
    <s v=""/>
    <n v="93.742509702457966"/>
    <n v="3819.7700000000004"/>
    <n v="70818.950000000012"/>
    <n v="0"/>
    <x v="0"/>
    <n v="0"/>
    <n v="773"/>
  </r>
  <r>
    <x v="1"/>
    <s v="U0470"/>
    <x v="2"/>
    <n v="949"/>
    <x v="0"/>
    <x v="139"/>
    <n v="8142.02"/>
    <x v="405"/>
    <n v="97704.24"/>
    <s v=""/>
    <d v="2023-02-13T00:00:00"/>
    <d v="2024-10-03T00:00:00"/>
    <n v="2818.74"/>
    <n v="1971.93"/>
    <s v="OK"/>
    <s v=""/>
    <s v=""/>
    <n v="102.95494204425712"/>
    <n v="4790.67"/>
    <n v="95732.310000000012"/>
    <n v="0"/>
    <x v="0"/>
    <n v="0"/>
    <n v="949"/>
  </r>
  <r>
    <x v="4"/>
    <s v="U0471"/>
    <x v="2"/>
    <n v="172"/>
    <x v="0"/>
    <x v="61"/>
    <n v="2031.12"/>
    <x v="406"/>
    <n v="24373.439999999999"/>
    <s v=""/>
    <d v="2023-04-17T00:00:00"/>
    <d v="2027-12-05T00:00:00"/>
    <n v="375.02"/>
    <n v="146.05000000000001"/>
    <s v="OK"/>
    <s v=""/>
    <s v=""/>
    <n v="141.7060465116279"/>
    <n v="521.06999999999994"/>
    <n v="24227.39"/>
    <n v="21"/>
    <x v="3"/>
    <n v="0"/>
    <n v="172"/>
  </r>
  <r>
    <x v="1"/>
    <s v="U0472"/>
    <x v="0"/>
    <n v="297"/>
    <x v="0"/>
    <x v="123"/>
    <n v="4088.3"/>
    <x v="407"/>
    <n v="49059.600000000006"/>
    <s v=""/>
    <d v="2023-11-04T00:00:00"/>
    <d v="2027-07-18T00:00:00"/>
    <n v="642.5"/>
    <n v="149.47"/>
    <s v="OK"/>
    <s v=""/>
    <s v=""/>
    <n v="165.18383838383838"/>
    <n v="791.97"/>
    <n v="48910.13"/>
    <n v="16"/>
    <x v="3"/>
    <n v="0"/>
    <n v="297"/>
  </r>
  <r>
    <x v="5"/>
    <s v="U0473"/>
    <x v="0"/>
    <n v="497"/>
    <x v="0"/>
    <x v="30"/>
    <n v="3632.07"/>
    <x v="408"/>
    <n v="43584.840000000004"/>
    <s v=""/>
    <d v="2021-06-14T00:00:00"/>
    <d v="2023-06-25T00:00:00"/>
    <n v="1488.95"/>
    <n v="1011.57"/>
    <s v="OK"/>
    <s v=""/>
    <s v=""/>
    <n v="87.695855130784707"/>
    <n v="2500.52"/>
    <n v="42573.27"/>
    <n v="0"/>
    <x v="0"/>
    <n v="0"/>
    <n v="497"/>
  </r>
  <r>
    <x v="6"/>
    <s v="U0474"/>
    <x v="2"/>
    <n v="1255"/>
    <x v="1"/>
    <x v="1"/>
    <n v="0"/>
    <x v="1"/>
    <n v="0"/>
    <s v=""/>
    <m/>
    <m/>
    <n v="2724.85"/>
    <n v="992.82"/>
    <s v="OK"/>
    <s v=""/>
    <s v="Rent&lt;=0"/>
    <s v=""/>
    <n v="3717.67"/>
    <s v=""/>
    <n v="0"/>
    <x v="1"/>
    <n v="1255"/>
    <n v="0"/>
  </r>
  <r>
    <x v="5"/>
    <s v="U0475"/>
    <x v="2"/>
    <n v="1344"/>
    <x v="0"/>
    <x v="170"/>
    <n v="20003.39"/>
    <x v="409"/>
    <n v="240040.68"/>
    <s v=""/>
    <d v="2022-06-11T00:00:00"/>
    <d v="2025-10-11T00:00:00"/>
    <n v="2783.92"/>
    <n v="1713.63"/>
    <s v="OK"/>
    <s v=""/>
    <s v=""/>
    <n v="178.60169642857142"/>
    <n v="4497.55"/>
    <n v="238327.05"/>
    <n v="0"/>
    <x v="0"/>
    <n v="0"/>
    <n v="1344"/>
  </r>
  <r>
    <x v="6"/>
    <s v="U0476"/>
    <x v="1"/>
    <n v="1069"/>
    <x v="0"/>
    <x v="98"/>
    <n v="11668.17"/>
    <x v="410"/>
    <n v="140018.04"/>
    <s v=""/>
    <d v="2021-10-20T00:00:00"/>
    <d v="2023-07-22T00:00:00"/>
    <n v="2099.33"/>
    <n v="1298.1099999999999"/>
    <s v="OK"/>
    <s v=""/>
    <s v=""/>
    <n v="130.98039289055191"/>
    <n v="3397.4399999999996"/>
    <n v="138719.93000000002"/>
    <n v="0"/>
    <x v="0"/>
    <n v="0"/>
    <n v="1069"/>
  </r>
  <r>
    <x v="0"/>
    <s v="U0477"/>
    <x v="2"/>
    <n v="72"/>
    <x v="0"/>
    <x v="83"/>
    <n v="1057.75"/>
    <x v="411"/>
    <n v="12693"/>
    <s v=""/>
    <d v="2021-08-05T00:00:00"/>
    <d v="2022-02-12T00:00:00"/>
    <n v="85.4"/>
    <n v="108.58"/>
    <s v="OK"/>
    <s v=""/>
    <s v=""/>
    <n v="176.29166666666666"/>
    <n v="193.98000000000002"/>
    <n v="12584.42"/>
    <n v="0"/>
    <x v="0"/>
    <n v="0"/>
    <n v="72"/>
  </r>
  <r>
    <x v="7"/>
    <s v="U0478"/>
    <x v="2"/>
    <n v="165"/>
    <x v="0"/>
    <x v="160"/>
    <n v="1329.9"/>
    <x v="412"/>
    <n v="15958.800000000001"/>
    <s v=""/>
    <d v="2023-08-24T00:00:00"/>
    <d v="2026-11-12T00:00:00"/>
    <n v="238.18"/>
    <n v="348.31"/>
    <s v="OK"/>
    <s v=""/>
    <s v=""/>
    <n v="96.72"/>
    <n v="586.49"/>
    <n v="15610.49"/>
    <n v="8"/>
    <x v="4"/>
    <n v="0"/>
    <n v="165"/>
  </r>
  <r>
    <x v="2"/>
    <s v="U0479"/>
    <x v="1"/>
    <n v="116"/>
    <x v="0"/>
    <x v="58"/>
    <n v="1421.8"/>
    <x v="413"/>
    <n v="17061.599999999999"/>
    <s v=""/>
    <d v="2021-12-09T00:00:00"/>
    <d v="2023-07-20T00:00:00"/>
    <n v="207.49"/>
    <n v="95.39"/>
    <s v="OK"/>
    <s v=""/>
    <s v=""/>
    <n v="147.08275862068965"/>
    <n v="302.88"/>
    <n v="16966.21"/>
    <n v="0"/>
    <x v="0"/>
    <n v="0"/>
    <n v="116"/>
  </r>
  <r>
    <x v="5"/>
    <s v="U0480"/>
    <x v="1"/>
    <n v="1190"/>
    <x v="0"/>
    <x v="7"/>
    <n v="16230.87"/>
    <x v="414"/>
    <n v="194770.44"/>
    <s v=""/>
    <d v="2021-06-06T00:00:00"/>
    <d v="2024-01-27T00:00:00"/>
    <n v="2592.08"/>
    <n v="2423.77"/>
    <s v="OK"/>
    <s v=""/>
    <s v=""/>
    <n v="163.67263865546218"/>
    <n v="5015.8500000000004"/>
    <n v="192346.67"/>
    <n v="0"/>
    <x v="0"/>
    <n v="0"/>
    <n v="1190"/>
  </r>
  <r>
    <x v="7"/>
    <s v="U0481"/>
    <x v="2"/>
    <n v="1380"/>
    <x v="0"/>
    <x v="171"/>
    <n v="17122.650000000001"/>
    <x v="415"/>
    <n v="205471.80000000002"/>
    <s v=""/>
    <d v="2023-01-06T00:00:00"/>
    <d v="2025-04-20T00:00:00"/>
    <n v="2813.83"/>
    <n v="713.47"/>
    <s v="OK"/>
    <s v=""/>
    <s v=""/>
    <n v="148.89260869565217"/>
    <n v="3527.3"/>
    <n v="204758.33"/>
    <n v="0"/>
    <x v="0"/>
    <n v="0"/>
    <n v="1380"/>
  </r>
  <r>
    <x v="0"/>
    <s v="U0482"/>
    <x v="3"/>
    <n v="1456"/>
    <x v="0"/>
    <x v="17"/>
    <n v="25817.25"/>
    <x v="416"/>
    <n v="309807"/>
    <s v=""/>
    <d v="2021-09-12T00:00:00"/>
    <d v="2022-10-20T00:00:00"/>
    <n v="4096.12"/>
    <n v="1894.96"/>
    <s v="OK"/>
    <s v=""/>
    <s v=""/>
    <n v="212.77953296703296"/>
    <n v="5991.08"/>
    <n v="307912.03999999998"/>
    <n v="0"/>
    <x v="0"/>
    <n v="0"/>
    <n v="1456"/>
  </r>
  <r>
    <x v="7"/>
    <s v="U0483"/>
    <x v="1"/>
    <n v="1260"/>
    <x v="0"/>
    <x v="126"/>
    <n v="15694.45"/>
    <x v="417"/>
    <n v="188333.40000000002"/>
    <s v=""/>
    <d v="2021-06-16T00:00:00"/>
    <d v="2023-01-15T00:00:00"/>
    <n v="2649.87"/>
    <n v="1537.39"/>
    <s v="OK"/>
    <s v=""/>
    <s v=""/>
    <n v="149.47095238095238"/>
    <n v="4187.26"/>
    <n v="186796.00999999998"/>
    <n v="0"/>
    <x v="0"/>
    <n v="0"/>
    <n v="1260"/>
  </r>
  <r>
    <x v="2"/>
    <s v="U0484"/>
    <x v="3"/>
    <n v="740"/>
    <x v="0"/>
    <x v="172"/>
    <n v="4682.0600000000004"/>
    <x v="418"/>
    <n v="56184.72"/>
    <s v=""/>
    <d v="2021-06-19T00:00:00"/>
    <d v="2025-03-20T00:00:00"/>
    <n v="1873.81"/>
    <n v="1000.38"/>
    <s v="OK"/>
    <s v=""/>
    <s v=""/>
    <n v="75.925297297297305"/>
    <n v="2874.19"/>
    <n v="55184.340000000004"/>
    <n v="0"/>
    <x v="0"/>
    <n v="0"/>
    <n v="740"/>
  </r>
  <r>
    <x v="3"/>
    <s v="U0485"/>
    <x v="1"/>
    <n v="1132"/>
    <x v="1"/>
    <x v="1"/>
    <n v="0"/>
    <x v="1"/>
    <n v="0"/>
    <s v=""/>
    <m/>
    <m/>
    <n v="1405.93"/>
    <n v="2240.6799999999998"/>
    <s v="OK"/>
    <s v=""/>
    <s v="Rent&lt;=0"/>
    <s v=""/>
    <n v="3646.6099999999997"/>
    <s v=""/>
    <n v="0"/>
    <x v="1"/>
    <n v="1132"/>
    <n v="0"/>
  </r>
  <r>
    <x v="7"/>
    <s v="U0486"/>
    <x v="2"/>
    <n v="856"/>
    <x v="0"/>
    <x v="132"/>
    <n v="6414.48"/>
    <x v="419"/>
    <n v="76973.759999999995"/>
    <s v=""/>
    <d v="2023-02-17T00:00:00"/>
    <d v="2027-06-04T00:00:00"/>
    <n v="1727.18"/>
    <n v="710.37"/>
    <s v="OK"/>
    <s v=""/>
    <s v=""/>
    <n v="89.922616822429902"/>
    <n v="2437.5500000000002"/>
    <n v="76263.39"/>
    <n v="15"/>
    <x v="3"/>
    <n v="0"/>
    <n v="856"/>
  </r>
  <r>
    <x v="7"/>
    <s v="U0487"/>
    <x v="0"/>
    <n v="984"/>
    <x v="0"/>
    <x v="8"/>
    <n v="15068.16"/>
    <x v="420"/>
    <n v="180817.91999999998"/>
    <s v=""/>
    <d v="2022-08-28T00:00:00"/>
    <d v="2025-08-26T00:00:00"/>
    <n v="1323.13"/>
    <n v="1577.12"/>
    <s v="OK"/>
    <s v=""/>
    <s v=""/>
    <n v="183.75804878048783"/>
    <n v="2900.25"/>
    <n v="179240.80000000002"/>
    <n v="0"/>
    <x v="0"/>
    <n v="0"/>
    <n v="984"/>
  </r>
  <r>
    <x v="4"/>
    <s v="U0488"/>
    <x v="1"/>
    <n v="243"/>
    <x v="0"/>
    <x v="68"/>
    <n v="2576.3000000000002"/>
    <x v="421"/>
    <n v="30915.600000000002"/>
    <s v=""/>
    <d v="2023-11-26T00:00:00"/>
    <d v="2025-06-08T00:00:00"/>
    <n v="274.18"/>
    <n v="326.92"/>
    <s v="OK"/>
    <s v=""/>
    <s v=""/>
    <n v="127.22469135802469"/>
    <n v="601.1"/>
    <n v="30588.68"/>
    <n v="0"/>
    <x v="0"/>
    <n v="0"/>
    <n v="243"/>
  </r>
  <r>
    <x v="4"/>
    <s v="U0489"/>
    <x v="3"/>
    <n v="1367"/>
    <x v="0"/>
    <x v="147"/>
    <n v="8542.5400000000009"/>
    <x v="422"/>
    <n v="102510.48000000001"/>
    <s v=""/>
    <d v="2022-04-28T00:00:00"/>
    <d v="2023-06-08T00:00:00"/>
    <n v="2563.39"/>
    <n v="2795.11"/>
    <s v="OK"/>
    <s v=""/>
    <s v=""/>
    <n v="74.989378200438921"/>
    <n v="5358.5"/>
    <n v="99715.37"/>
    <n v="0"/>
    <x v="0"/>
    <n v="0"/>
    <n v="1367"/>
  </r>
  <r>
    <x v="4"/>
    <s v="U0490"/>
    <x v="1"/>
    <n v="1198"/>
    <x v="0"/>
    <x v="173"/>
    <n v="10184.14"/>
    <x v="423"/>
    <n v="122209.68"/>
    <s v=""/>
    <d v="2022-01-27T00:00:00"/>
    <d v="2025-04-04T00:00:00"/>
    <n v="2297.1999999999998"/>
    <n v="2412.1999999999998"/>
    <s v="OK"/>
    <s v=""/>
    <s v=""/>
    <n v="102.01141903171953"/>
    <n v="4709.3999999999996"/>
    <n v="119797.48"/>
    <n v="0"/>
    <x v="0"/>
    <n v="0"/>
    <n v="1198"/>
  </r>
  <r>
    <x v="1"/>
    <s v="U0491"/>
    <x v="3"/>
    <n v="1465"/>
    <x v="0"/>
    <x v="45"/>
    <n v="12526.25"/>
    <x v="424"/>
    <n v="150315"/>
    <s v=""/>
    <d v="2022-06-22T00:00:00"/>
    <d v="2026-12-13T00:00:00"/>
    <n v="4142.09"/>
    <n v="3389.91"/>
    <s v="OK"/>
    <s v=""/>
    <s v=""/>
    <n v="102.60409556313994"/>
    <n v="7532"/>
    <n v="146925.09"/>
    <n v="9"/>
    <x v="4"/>
    <n v="0"/>
    <n v="1465"/>
  </r>
  <r>
    <x v="7"/>
    <s v="U0492"/>
    <x v="3"/>
    <n v="1016"/>
    <x v="0"/>
    <x v="148"/>
    <n v="15719.47"/>
    <x v="425"/>
    <n v="188633.63999999998"/>
    <s v=""/>
    <d v="2023-06-08T00:00:00"/>
    <d v="2025-09-04T00:00:00"/>
    <n v="1643.39"/>
    <n v="2491.0300000000002"/>
    <s v="OK"/>
    <s v=""/>
    <s v=""/>
    <n v="185.66303149606301"/>
    <n v="4134.42"/>
    <n v="186142.61000000002"/>
    <n v="0"/>
    <x v="0"/>
    <n v="0"/>
    <n v="1016"/>
  </r>
  <r>
    <x v="6"/>
    <s v="U0493"/>
    <x v="1"/>
    <n v="95"/>
    <x v="0"/>
    <x v="28"/>
    <n v="917"/>
    <x v="426"/>
    <n v="11004"/>
    <s v=""/>
    <d v="2021-09-02T00:00:00"/>
    <d v="2025-07-08T00:00:00"/>
    <n v="222.81"/>
    <n v="228.14"/>
    <s v="OK"/>
    <s v=""/>
    <s v=""/>
    <n v="115.83157894736843"/>
    <n v="450.95"/>
    <n v="10775.86"/>
    <n v="0"/>
    <x v="0"/>
    <n v="0"/>
    <n v="95"/>
  </r>
  <r>
    <x v="6"/>
    <s v="U0494"/>
    <x v="1"/>
    <n v="771"/>
    <x v="1"/>
    <x v="1"/>
    <n v="0"/>
    <x v="1"/>
    <n v="0"/>
    <s v=""/>
    <m/>
    <m/>
    <n v="806.06"/>
    <n v="1196.3800000000001"/>
    <s v="OK"/>
    <s v=""/>
    <s v="Rent&lt;=0"/>
    <s v=""/>
    <n v="2002.44"/>
    <s v=""/>
    <n v="0"/>
    <x v="1"/>
    <n v="771"/>
    <n v="0"/>
  </r>
  <r>
    <x v="1"/>
    <s v="U0495"/>
    <x v="3"/>
    <n v="280"/>
    <x v="1"/>
    <x v="1"/>
    <n v="0"/>
    <x v="1"/>
    <n v="0"/>
    <s v=""/>
    <m/>
    <m/>
    <n v="291.82"/>
    <n v="526.54999999999995"/>
    <s v="OK"/>
    <s v=""/>
    <s v="Rent&lt;=0"/>
    <s v=""/>
    <n v="818.36999999999989"/>
    <s v=""/>
    <n v="0"/>
    <x v="1"/>
    <n v="280"/>
    <n v="0"/>
  </r>
  <r>
    <x v="3"/>
    <s v="U0496"/>
    <x v="3"/>
    <n v="447"/>
    <x v="0"/>
    <x v="74"/>
    <n v="5606.48"/>
    <x v="427"/>
    <n v="67277.759999999995"/>
    <s v=""/>
    <d v="2022-09-14T00:00:00"/>
    <d v="2023-06-11T00:00:00"/>
    <n v="1086.8399999999999"/>
    <n v="1045.93"/>
    <s v="OK"/>
    <s v=""/>
    <s v=""/>
    <n v="150.50953020134227"/>
    <n v="2132.77"/>
    <n v="66231.83"/>
    <n v="0"/>
    <x v="0"/>
    <n v="0"/>
    <n v="447"/>
  </r>
  <r>
    <x v="2"/>
    <s v="U0497"/>
    <x v="1"/>
    <n v="484"/>
    <x v="0"/>
    <x v="2"/>
    <n v="5284.32"/>
    <x v="428"/>
    <n v="63411.839999999997"/>
    <s v=""/>
    <d v="2022-12-01T00:00:00"/>
    <d v="2024-06-10T00:00:00"/>
    <n v="643.79999999999995"/>
    <n v="754.27"/>
    <s v="OK"/>
    <s v=""/>
    <s v=""/>
    <n v="131.01619834710743"/>
    <n v="1398.07"/>
    <n v="62657.57"/>
    <n v="0"/>
    <x v="0"/>
    <n v="0"/>
    <n v="484"/>
  </r>
  <r>
    <x v="6"/>
    <s v="U0498"/>
    <x v="0"/>
    <n v="511"/>
    <x v="0"/>
    <x v="93"/>
    <n v="3922.38"/>
    <x v="429"/>
    <n v="47068.56"/>
    <s v=""/>
    <d v="2021-04-27T00:00:00"/>
    <d v="2023-06-20T00:00:00"/>
    <n v="795.04"/>
    <n v="265.3"/>
    <s v="OK"/>
    <s v=""/>
    <s v=""/>
    <n v="92.110684931506839"/>
    <n v="1060.3399999999999"/>
    <n v="46803.259999999995"/>
    <n v="0"/>
    <x v="0"/>
    <n v="0"/>
    <n v="511"/>
  </r>
  <r>
    <x v="1"/>
    <s v="U0499"/>
    <x v="1"/>
    <n v="699"/>
    <x v="0"/>
    <x v="173"/>
    <n v="9976.8700000000008"/>
    <x v="430"/>
    <n v="119722.44"/>
    <s v=""/>
    <d v="2021-07-24T00:00:00"/>
    <d v="2026-05-07T00:00:00"/>
    <n v="929.53"/>
    <n v="1195.71"/>
    <s v="OK"/>
    <s v=""/>
    <s v=""/>
    <n v="171.27673819742489"/>
    <n v="2125.2399999999998"/>
    <n v="118526.73"/>
    <n v="2"/>
    <x v="0"/>
    <n v="0"/>
    <n v="699"/>
  </r>
  <r>
    <x v="7"/>
    <s v="U0500"/>
    <x v="3"/>
    <n v="1393"/>
    <x v="0"/>
    <x v="155"/>
    <n v="14406.28"/>
    <x v="431"/>
    <n v="172875.36000000002"/>
    <s v=""/>
    <d v="2023-10-26T00:00:00"/>
    <d v="2026-08-17T00:00:00"/>
    <n v="1647.07"/>
    <n v="1582.05"/>
    <s v="OK"/>
    <s v=""/>
    <s v=""/>
    <n v="124.10291457286431"/>
    <n v="3229.12"/>
    <n v="171293.31"/>
    <n v="5"/>
    <x v="2"/>
    <n v="0"/>
    <n v="1393"/>
  </r>
  <r>
    <x v="8"/>
    <m/>
    <x v="4"/>
    <n v="405875"/>
    <x v="2"/>
    <x v="1"/>
    <n v="4155174.1999999988"/>
    <x v="432"/>
    <m/>
    <m/>
    <m/>
    <m/>
    <n v="815654.99999999988"/>
    <n v="585460.53000000049"/>
    <m/>
    <m/>
    <m/>
    <n v="60877.026971891253"/>
    <n v="1401115.5299999993"/>
    <n v="49355221.150000013"/>
    <m/>
    <x v="5"/>
    <n v="54160"/>
    <n v="351715"/>
  </r>
  <r>
    <x v="8"/>
    <m/>
    <x v="4"/>
    <m/>
    <x v="2"/>
    <x v="1"/>
    <m/>
    <x v="433"/>
    <m/>
    <m/>
    <m/>
    <m/>
    <m/>
    <m/>
    <m/>
    <m/>
    <m/>
    <m/>
    <m/>
    <m/>
    <m/>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2FD5A-1C25-4E60-B1EC-17390824C379}" name="PivotTable13"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D4" firstHeaderRow="0" firstDataRow="1" firstDataCol="0"/>
  <pivotFields count="24">
    <pivotField showAll="0">
      <items count="9">
        <item x="1"/>
        <item x="4"/>
        <item x="0"/>
        <item x="5"/>
        <item x="3"/>
        <item x="6"/>
        <item x="2"/>
        <item x="7"/>
        <item t="default"/>
      </items>
    </pivotField>
    <pivotField showAll="0"/>
    <pivotField showAll="0"/>
    <pivotField dataField="1" showAll="0">
      <items count="435">
        <item x="374"/>
        <item x="198"/>
        <item x="47"/>
        <item x="408"/>
        <item x="266"/>
        <item x="355"/>
        <item x="106"/>
        <item x="313"/>
        <item x="347"/>
        <item x="269"/>
        <item x="40"/>
        <item x="259"/>
        <item x="373"/>
        <item x="111"/>
        <item x="314"/>
        <item x="429"/>
        <item x="103"/>
        <item x="150"/>
        <item x="257"/>
        <item x="231"/>
        <item x="95"/>
        <item x="52"/>
        <item x="136"/>
        <item x="209"/>
        <item x="312"/>
        <item x="400"/>
        <item x="197"/>
        <item x="282"/>
        <item x="120"/>
        <item x="324"/>
        <item x="190"/>
        <item x="152"/>
        <item x="151"/>
        <item x="199"/>
        <item x="418"/>
        <item x="116"/>
        <item x="416"/>
        <item x="10"/>
        <item x="56"/>
        <item x="96"/>
        <item x="315"/>
        <item x="167"/>
        <item x="223"/>
        <item x="12"/>
        <item x="303"/>
        <item x="50"/>
        <item x="53"/>
        <item x="273"/>
        <item x="89"/>
        <item x="426"/>
        <item x="397"/>
        <item x="378"/>
        <item x="189"/>
        <item x="388"/>
        <item x="402"/>
        <item x="86"/>
        <item x="146"/>
        <item x="80"/>
        <item x="128"/>
        <item x="337"/>
        <item x="310"/>
        <item x="348"/>
        <item x="168"/>
        <item x="251"/>
        <item x="229"/>
        <item x="35"/>
        <item x="417"/>
        <item x="391"/>
        <item x="293"/>
        <item x="272"/>
        <item x="7"/>
        <item x="218"/>
        <item x="48"/>
        <item x="351"/>
        <item x="411"/>
        <item x="261"/>
        <item x="105"/>
        <item x="334"/>
        <item x="393"/>
        <item x="1"/>
        <item x="26"/>
        <item x="333"/>
        <item x="144"/>
        <item x="316"/>
        <item x="162"/>
        <item x="34"/>
        <item x="200"/>
        <item x="177"/>
        <item x="104"/>
        <item x="157"/>
        <item x="304"/>
        <item x="294"/>
        <item x="137"/>
        <item x="360"/>
        <item x="183"/>
        <item x="155"/>
        <item x="173"/>
        <item x="275"/>
        <item x="16"/>
        <item x="404"/>
        <item x="62"/>
        <item x="37"/>
        <item x="156"/>
        <item x="431"/>
        <item x="70"/>
        <item x="406"/>
        <item x="330"/>
        <item x="323"/>
        <item x="109"/>
        <item x="196"/>
        <item x="359"/>
        <item x="118"/>
        <item x="5"/>
        <item x="23"/>
        <item x="208"/>
        <item x="258"/>
        <item x="356"/>
        <item x="91"/>
        <item x="370"/>
        <item x="270"/>
        <item x="63"/>
        <item x="342"/>
        <item x="299"/>
        <item x="383"/>
        <item x="379"/>
        <item x="33"/>
        <item x="117"/>
        <item x="153"/>
        <item x="165"/>
        <item x="82"/>
        <item x="54"/>
        <item x="363"/>
        <item x="159"/>
        <item x="321"/>
        <item x="17"/>
        <item x="187"/>
        <item x="264"/>
        <item x="308"/>
        <item x="367"/>
        <item x="224"/>
        <item x="185"/>
        <item x="164"/>
        <item x="395"/>
        <item x="343"/>
        <item x="239"/>
        <item x="274"/>
        <item x="286"/>
        <item x="68"/>
        <item x="331"/>
        <item x="322"/>
        <item x="127"/>
        <item x="92"/>
        <item x="225"/>
        <item x="110"/>
        <item x="154"/>
        <item x="174"/>
        <item x="339"/>
        <item x="204"/>
        <item x="188"/>
        <item x="380"/>
        <item x="3"/>
        <item x="398"/>
        <item x="234"/>
        <item x="220"/>
        <item x="135"/>
        <item x="158"/>
        <item x="345"/>
        <item x="213"/>
        <item x="361"/>
        <item x="432"/>
        <item x="205"/>
        <item x="362"/>
        <item x="59"/>
        <item x="409"/>
        <item x="64"/>
        <item x="285"/>
        <item x="250"/>
        <item x="311"/>
        <item x="179"/>
        <item x="131"/>
        <item x="130"/>
        <item x="99"/>
        <item x="377"/>
        <item x="346"/>
        <item x="390"/>
        <item x="268"/>
        <item x="296"/>
        <item x="240"/>
        <item x="423"/>
        <item x="354"/>
        <item x="8"/>
        <item x="169"/>
        <item x="18"/>
        <item x="41"/>
        <item x="368"/>
        <item x="149"/>
        <item x="202"/>
        <item x="430"/>
        <item x="414"/>
        <item x="69"/>
        <item x="292"/>
        <item x="375"/>
        <item x="61"/>
        <item x="249"/>
        <item x="364"/>
        <item x="170"/>
        <item x="132"/>
        <item x="288"/>
        <item x="384"/>
        <item x="102"/>
        <item x="139"/>
        <item x="79"/>
        <item x="246"/>
        <item x="381"/>
        <item x="4"/>
        <item x="247"/>
        <item x="329"/>
        <item x="287"/>
        <item x="207"/>
        <item x="93"/>
        <item x="195"/>
        <item x="83"/>
        <item x="178"/>
        <item x="180"/>
        <item x="203"/>
        <item x="216"/>
        <item x="57"/>
        <item x="65"/>
        <item x="236"/>
        <item x="176"/>
        <item x="217"/>
        <item x="20"/>
        <item x="115"/>
        <item x="227"/>
        <item x="31"/>
        <item x="306"/>
        <item x="279"/>
        <item x="413"/>
        <item x="284"/>
        <item x="242"/>
        <item x="210"/>
        <item x="24"/>
        <item x="175"/>
        <item x="138"/>
        <item x="302"/>
        <item x="51"/>
        <item x="2"/>
        <item x="254"/>
        <item x="265"/>
        <item x="71"/>
        <item x="412"/>
        <item x="241"/>
        <item x="114"/>
        <item x="319"/>
        <item x="76"/>
        <item x="21"/>
        <item x="415"/>
        <item x="201"/>
        <item x="278"/>
        <item x="385"/>
        <item x="371"/>
        <item x="212"/>
        <item x="256"/>
        <item x="326"/>
        <item x="336"/>
        <item x="260"/>
        <item x="425"/>
        <item x="219"/>
        <item x="340"/>
        <item x="74"/>
        <item x="134"/>
        <item x="365"/>
        <item x="344"/>
        <item x="428"/>
        <item x="267"/>
        <item x="39"/>
        <item x="90"/>
        <item x="133"/>
        <item x="81"/>
        <item x="341"/>
        <item x="389"/>
        <item x="295"/>
        <item x="325"/>
        <item x="357"/>
        <item x="396"/>
        <item x="36"/>
        <item x="394"/>
        <item x="280"/>
        <item x="141"/>
        <item x="211"/>
        <item x="98"/>
        <item x="271"/>
        <item x="387"/>
        <item x="291"/>
        <item x="0"/>
        <item x="42"/>
        <item x="300"/>
        <item x="317"/>
        <item x="320"/>
        <item x="30"/>
        <item x="113"/>
        <item x="75"/>
        <item x="335"/>
        <item x="358"/>
        <item x="73"/>
        <item x="182"/>
        <item x="245"/>
        <item x="87"/>
        <item x="235"/>
        <item x="45"/>
        <item x="101"/>
        <item x="424"/>
        <item x="382"/>
        <item x="171"/>
        <item x="369"/>
        <item x="32"/>
        <item x="25"/>
        <item x="297"/>
        <item x="166"/>
        <item x="143"/>
        <item x="407"/>
        <item x="19"/>
        <item x="233"/>
        <item x="60"/>
        <item x="253"/>
        <item x="419"/>
        <item x="14"/>
        <item x="43"/>
        <item x="67"/>
        <item x="11"/>
        <item x="222"/>
        <item x="372"/>
        <item x="263"/>
        <item x="237"/>
        <item x="38"/>
        <item x="15"/>
        <item x="244"/>
        <item x="172"/>
        <item x="283"/>
        <item x="125"/>
        <item x="193"/>
        <item x="328"/>
        <item x="186"/>
        <item x="108"/>
        <item x="255"/>
        <item x="410"/>
        <item x="243"/>
        <item x="28"/>
        <item x="327"/>
        <item x="84"/>
        <item x="22"/>
        <item x="252"/>
        <item x="184"/>
        <item x="422"/>
        <item x="332"/>
        <item x="78"/>
        <item x="29"/>
        <item x="214"/>
        <item x="49"/>
        <item x="230"/>
        <item x="112"/>
        <item x="145"/>
        <item x="160"/>
        <item x="123"/>
        <item x="140"/>
        <item x="305"/>
        <item x="27"/>
        <item x="147"/>
        <item x="350"/>
        <item x="238"/>
        <item x="58"/>
        <item x="386"/>
        <item x="281"/>
        <item x="44"/>
        <item x="215"/>
        <item x="232"/>
        <item x="318"/>
        <item x="277"/>
        <item x="399"/>
        <item x="129"/>
        <item x="55"/>
        <item x="94"/>
        <item x="405"/>
        <item x="352"/>
        <item x="6"/>
        <item x="427"/>
        <item x="72"/>
        <item x="121"/>
        <item x="163"/>
        <item x="66"/>
        <item x="88"/>
        <item x="376"/>
        <item x="126"/>
        <item x="13"/>
        <item x="420"/>
        <item x="77"/>
        <item x="309"/>
        <item x="298"/>
        <item x="276"/>
        <item x="433"/>
        <item x="97"/>
        <item x="119"/>
        <item x="161"/>
        <item x="181"/>
        <item x="122"/>
        <item x="349"/>
        <item x="403"/>
        <item x="191"/>
        <item x="226"/>
        <item x="338"/>
        <item x="221"/>
        <item x="366"/>
        <item x="290"/>
        <item x="206"/>
        <item x="353"/>
        <item x="228"/>
        <item x="46"/>
        <item x="9"/>
        <item x="421"/>
        <item x="262"/>
        <item x="100"/>
        <item x="107"/>
        <item x="194"/>
        <item x="192"/>
        <item x="301"/>
        <item x="307"/>
        <item x="142"/>
        <item x="124"/>
        <item x="392"/>
        <item x="148"/>
        <item x="248"/>
        <item x="401"/>
        <item x="85"/>
        <item x="289"/>
        <item t="default"/>
      </items>
    </pivotField>
    <pivotField showAll="0">
      <items count="3">
        <item x="0"/>
        <item x="1"/>
        <item t="default"/>
      </items>
    </pivotField>
    <pivotField showAll="0"/>
    <pivotField showAll="0">
      <items count="433">
        <item x="1"/>
        <item x="398"/>
        <item x="181"/>
        <item x="341"/>
        <item x="301"/>
        <item x="302"/>
        <item x="252"/>
        <item x="40"/>
        <item x="33"/>
        <item x="298"/>
        <item x="350"/>
        <item x="384"/>
        <item x="82"/>
        <item x="89"/>
        <item x="370"/>
        <item x="426"/>
        <item x="300"/>
        <item x="91"/>
        <item x="134"/>
        <item x="173"/>
        <item x="411"/>
        <item x="390"/>
        <item x="104"/>
        <item x="243"/>
        <item x="255"/>
        <item x="45"/>
        <item x="245"/>
        <item x="48"/>
        <item x="101"/>
        <item x="119"/>
        <item x="412"/>
        <item x="182"/>
        <item x="413"/>
        <item x="340"/>
        <item x="96"/>
        <item x="172"/>
        <item x="153"/>
        <item x="333"/>
        <item x="69"/>
        <item x="406"/>
        <item x="343"/>
        <item x="274"/>
        <item x="314"/>
        <item x="135"/>
        <item x="193"/>
        <item x="154"/>
        <item x="30"/>
        <item x="180"/>
        <item x="179"/>
        <item x="383"/>
        <item x="329"/>
        <item x="270"/>
        <item x="421"/>
        <item x="303"/>
        <item x="237"/>
        <item x="11"/>
        <item x="77"/>
        <item x="83"/>
        <item x="260"/>
        <item x="299"/>
        <item x="115"/>
        <item x="9"/>
        <item x="290"/>
        <item x="138"/>
        <item x="351"/>
        <item x="248"/>
        <item x="346"/>
        <item x="140"/>
        <item x="201"/>
        <item x="317"/>
        <item x="141"/>
        <item x="41"/>
        <item x="282"/>
        <item x="258"/>
        <item x="90"/>
        <item x="158"/>
        <item x="352"/>
        <item x="208"/>
        <item x="378"/>
        <item x="136"/>
        <item x="31"/>
        <item x="74"/>
        <item x="388"/>
        <item x="408"/>
        <item x="326"/>
        <item x="367"/>
        <item x="184"/>
        <item x="209"/>
        <item x="183"/>
        <item x="429"/>
        <item x="291"/>
        <item x="163"/>
        <item x="120"/>
        <item x="407"/>
        <item x="391"/>
        <item x="323"/>
        <item x="287"/>
        <item x="360"/>
        <item x="374"/>
        <item x="256"/>
        <item x="15"/>
        <item x="130"/>
        <item x="148"/>
        <item x="265"/>
        <item x="111"/>
        <item x="281"/>
        <item x="159"/>
        <item x="418"/>
        <item x="54"/>
        <item x="79"/>
        <item x="71"/>
        <item x="358"/>
        <item x="167"/>
        <item x="6"/>
        <item x="311"/>
        <item x="191"/>
        <item x="171"/>
        <item x="215"/>
        <item x="187"/>
        <item x="428"/>
        <item x="379"/>
        <item x="401"/>
        <item x="356"/>
        <item x="169"/>
        <item x="53"/>
        <item x="386"/>
        <item x="396"/>
        <item x="276"/>
        <item x="427"/>
        <item x="50"/>
        <item x="128"/>
        <item x="20"/>
        <item x="192"/>
        <item x="392"/>
        <item x="266"/>
        <item x="95"/>
        <item x="404"/>
        <item x="29"/>
        <item x="123"/>
        <item x="235"/>
        <item x="305"/>
        <item x="188"/>
        <item x="61"/>
        <item x="234"/>
        <item x="313"/>
        <item x="335"/>
        <item x="151"/>
        <item x="419"/>
        <item x="244"/>
        <item x="78"/>
        <item x="85"/>
        <item x="330"/>
        <item x="166"/>
        <item x="368"/>
        <item x="295"/>
        <item x="381"/>
        <item x="144"/>
        <item x="94"/>
        <item x="275"/>
        <item x="117"/>
        <item x="348"/>
        <item x="34"/>
        <item x="202"/>
        <item x="46"/>
        <item x="7"/>
        <item x="328"/>
        <item x="200"/>
        <item x="10"/>
        <item x="315"/>
        <item x="279"/>
        <item x="228"/>
        <item x="155"/>
        <item x="272"/>
        <item x="44"/>
        <item x="133"/>
        <item x="59"/>
        <item x="3"/>
        <item x="139"/>
        <item x="306"/>
        <item x="254"/>
        <item x="250"/>
        <item x="233"/>
        <item x="247"/>
        <item x="349"/>
        <item x="369"/>
        <item x="114"/>
        <item x="382"/>
        <item x="236"/>
        <item x="373"/>
        <item x="364"/>
        <item x="405"/>
        <item x="310"/>
        <item x="257"/>
        <item x="186"/>
        <item x="113"/>
        <item x="75"/>
        <item x="376"/>
        <item x="116"/>
        <item x="102"/>
        <item x="142"/>
        <item x="293"/>
        <item x="422"/>
        <item x="316"/>
        <item x="246"/>
        <item x="280"/>
        <item x="55"/>
        <item x="165"/>
        <item x="210"/>
        <item x="198"/>
        <item x="195"/>
        <item x="338"/>
        <item x="16"/>
        <item x="296"/>
        <item x="359"/>
        <item x="262"/>
        <item x="98"/>
        <item x="28"/>
        <item x="62"/>
        <item x="251"/>
        <item x="377"/>
        <item x="178"/>
        <item x="93"/>
        <item x="399"/>
        <item x="224"/>
        <item x="12"/>
        <item x="38"/>
        <item x="225"/>
        <item x="47"/>
        <item x="35"/>
        <item x="312"/>
        <item x="219"/>
        <item x="354"/>
        <item x="99"/>
        <item x="322"/>
        <item x="308"/>
        <item x="150"/>
        <item x="143"/>
        <item x="8"/>
        <item x="430"/>
        <item x="284"/>
        <item x="197"/>
        <item x="309"/>
        <item x="304"/>
        <item x="189"/>
        <item x="336"/>
        <item x="185"/>
        <item x="423"/>
        <item x="213"/>
        <item x="307"/>
        <item x="259"/>
        <item x="361"/>
        <item x="43"/>
        <item x="4"/>
        <item x="80"/>
        <item x="157"/>
        <item x="240"/>
        <item x="118"/>
        <item x="68"/>
        <item x="375"/>
        <item x="105"/>
        <item x="324"/>
        <item x="232"/>
        <item x="17"/>
        <item x="344"/>
        <item x="318"/>
        <item x="403"/>
        <item x="64"/>
        <item x="100"/>
        <item x="156"/>
        <item x="211"/>
        <item x="222"/>
        <item x="137"/>
        <item x="204"/>
        <item x="400"/>
        <item x="261"/>
        <item x="331"/>
        <item x="263"/>
        <item x="339"/>
        <item x="2"/>
        <item x="88"/>
        <item x="227"/>
        <item x="410"/>
        <item x="160"/>
        <item x="268"/>
        <item x="397"/>
        <item x="218"/>
        <item x="207"/>
        <item x="402"/>
        <item x="23"/>
        <item x="221"/>
        <item x="371"/>
        <item x="220"/>
        <item x="145"/>
        <item x="125"/>
        <item x="229"/>
        <item x="321"/>
        <item x="60"/>
        <item x="162"/>
        <item x="366"/>
        <item x="124"/>
        <item x="108"/>
        <item x="424"/>
        <item x="0"/>
        <item x="56"/>
        <item x="26"/>
        <item x="264"/>
        <item x="334"/>
        <item x="319"/>
        <item x="18"/>
        <item x="21"/>
        <item x="277"/>
        <item x="177"/>
        <item x="216"/>
        <item x="174"/>
        <item x="239"/>
        <item x="97"/>
        <item x="214"/>
        <item x="365"/>
        <item x="161"/>
        <item x="353"/>
        <item x="176"/>
        <item x="217"/>
        <item x="249"/>
        <item x="226"/>
        <item x="52"/>
        <item x="66"/>
        <item x="42"/>
        <item x="65"/>
        <item x="230"/>
        <item x="121"/>
        <item x="206"/>
        <item x="294"/>
        <item x="380"/>
        <item x="27"/>
        <item x="109"/>
        <item x="431"/>
        <item x="231"/>
        <item x="292"/>
        <item x="24"/>
        <item x="205"/>
        <item x="67"/>
        <item x="84"/>
        <item x="51"/>
        <item x="395"/>
        <item x="58"/>
        <item x="389"/>
        <item x="49"/>
        <item x="76"/>
        <item x="394"/>
        <item x="420"/>
        <item x="164"/>
        <item x="127"/>
        <item x="170"/>
        <item x="393"/>
        <item x="327"/>
        <item x="297"/>
        <item x="342"/>
        <item x="242"/>
        <item x="267"/>
        <item x="36"/>
        <item x="86"/>
        <item x="417"/>
        <item x="425"/>
        <item x="289"/>
        <item x="332"/>
        <item x="110"/>
        <item x="87"/>
        <item x="57"/>
        <item x="122"/>
        <item x="414"/>
        <item x="362"/>
        <item x="92"/>
        <item x="320"/>
        <item x="372"/>
        <item x="32"/>
        <item x="152"/>
        <item x="103"/>
        <item x="63"/>
        <item x="37"/>
        <item x="415"/>
        <item x="203"/>
        <item x="271"/>
        <item x="81"/>
        <item x="238"/>
        <item x="70"/>
        <item x="347"/>
        <item x="385"/>
        <item x="190"/>
        <item x="253"/>
        <item x="175"/>
        <item x="146"/>
        <item x="337"/>
        <item x="107"/>
        <item x="196"/>
        <item x="22"/>
        <item x="283"/>
        <item x="19"/>
        <item x="345"/>
        <item x="168"/>
        <item x="355"/>
        <item x="149"/>
        <item x="25"/>
        <item x="194"/>
        <item x="129"/>
        <item x="285"/>
        <item x="409"/>
        <item x="273"/>
        <item x="241"/>
        <item x="106"/>
        <item x="147"/>
        <item x="212"/>
        <item x="14"/>
        <item x="132"/>
        <item x="13"/>
        <item x="39"/>
        <item x="223"/>
        <item x="112"/>
        <item x="325"/>
        <item x="363"/>
        <item x="73"/>
        <item x="269"/>
        <item x="72"/>
        <item x="131"/>
        <item x="357"/>
        <item x="387"/>
        <item x="199"/>
        <item x="286"/>
        <item x="5"/>
        <item x="126"/>
        <item x="288"/>
        <item x="416"/>
        <item x="278"/>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0">
        <item x="0"/>
        <item x="50"/>
        <item x="38"/>
        <item x="32"/>
        <item x="61"/>
        <item x="23"/>
        <item x="9"/>
        <item x="10"/>
        <item x="52"/>
        <item x="62"/>
        <item x="68"/>
        <item x="56"/>
        <item x="18"/>
        <item x="45"/>
        <item x="1"/>
        <item x="6"/>
        <item x="24"/>
        <item x="26"/>
        <item x="35"/>
        <item x="3"/>
        <item x="63"/>
        <item x="29"/>
        <item x="2"/>
        <item x="19"/>
        <item x="43"/>
        <item x="58"/>
        <item x="20"/>
        <item x="16"/>
        <item x="28"/>
        <item x="49"/>
        <item x="36"/>
        <item x="42"/>
        <item x="27"/>
        <item x="51"/>
        <item x="25"/>
        <item x="67"/>
        <item x="21"/>
        <item x="57"/>
        <item x="14"/>
        <item x="31"/>
        <item x="4"/>
        <item x="12"/>
        <item x="53"/>
        <item x="44"/>
        <item x="22"/>
        <item x="59"/>
        <item x="7"/>
        <item x="55"/>
        <item x="40"/>
        <item x="13"/>
        <item x="66"/>
        <item x="47"/>
        <item x="5"/>
        <item x="8"/>
        <item x="39"/>
        <item x="65"/>
        <item x="30"/>
        <item x="11"/>
        <item x="54"/>
        <item x="60"/>
        <item x="64"/>
        <item x="48"/>
        <item x="17"/>
        <item x="46"/>
        <item x="37"/>
        <item x="34"/>
        <item x="41"/>
        <item x="33"/>
        <item x="15"/>
        <item t="default"/>
      </items>
    </pivotField>
    <pivotField dataField="1" showAll="0"/>
  </pivotFields>
  <rowItems count="1">
    <i/>
  </rowItems>
  <colFields count="1">
    <field x="-2"/>
  </colFields>
  <colItems count="4">
    <i>
      <x/>
    </i>
    <i i="1">
      <x v="1"/>
    </i>
    <i i="2">
      <x v="2"/>
    </i>
    <i i="3">
      <x v="3"/>
    </i>
  </colItems>
  <dataFields count="4">
    <dataField name="Summe von Area_sqm" fld="3" baseField="0" baseItem="0"/>
    <dataField name="Summe von Oc_Area" fld="23" baseField="0" baseItem="0"/>
    <dataField name="Summe von Vacant_Area" fld="22" baseField="0" baseItem="0"/>
    <dataField name="Mittelwert von Annual_Rent_EUR" fld="7"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7FC76C-82C1-4E30-9597-9899FE8BFEF8}" name="PivotTable14" cacheId="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3">
  <location ref="A3:B12" firstHeaderRow="1" firstDataRow="1" firstDataCol="1"/>
  <pivotFields count="24">
    <pivotField axis="axisRow" showAll="0" sortType="ascending">
      <items count="10">
        <item x="1"/>
        <item x="4"/>
        <item x="0"/>
        <item x="5"/>
        <item x="3"/>
        <item x="6"/>
        <item x="2"/>
        <item x="7"/>
        <item h="1" x="8"/>
        <item t="default"/>
      </items>
      <autoSortScope>
        <pivotArea dataOnly="0" outline="0" fieldPosition="0">
          <references count="1">
            <reference field="4294967294" count="1" selected="0">
              <x v="0"/>
            </reference>
          </references>
        </pivotArea>
      </autoSortScope>
    </pivotField>
    <pivotField showAll="0"/>
    <pivotField showAll="0">
      <items count="6">
        <item x="1"/>
        <item x="0"/>
        <item x="2"/>
        <item x="3"/>
        <item h="1" x="4"/>
        <item t="default"/>
      </items>
    </pivotField>
    <pivotField showAll="0"/>
    <pivotField showAll="0">
      <items count="4">
        <item x="0"/>
        <item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
    <i>
      <x v="3"/>
    </i>
    <i>
      <x v="6"/>
    </i>
    <i>
      <x/>
    </i>
    <i>
      <x v="5"/>
    </i>
    <i>
      <x v="1"/>
    </i>
    <i>
      <x v="2"/>
    </i>
    <i>
      <x v="7"/>
    </i>
    <i>
      <x v="4"/>
    </i>
    <i t="grand">
      <x/>
    </i>
  </rowItems>
  <colItems count="1">
    <i/>
  </colItems>
  <dataFields count="1">
    <dataField name="Summe von Annual_Rent_EUR" fld="7"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7FF2B4-CB59-4A81-B4FD-E52DEFA21952}" name="PivotTable1" cacheId="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location ref="A3:C12" firstHeaderRow="0" firstDataRow="1" firstDataCol="1"/>
  <pivotFields count="24">
    <pivotField axis="axisRow" showAll="0">
      <items count="10">
        <item x="1"/>
        <item x="4"/>
        <item x="0"/>
        <item x="5"/>
        <item x="3"/>
        <item x="6"/>
        <item x="2"/>
        <item x="7"/>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Summe von Oc_Area" fld="23" baseField="0" baseItem="0"/>
    <dataField name="Summe von Vacant_Area" fld="2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585895-BABA-4B3C-98C3-F11867EFBDE4}" name="PivotTable2" cacheId="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3:B8" firstHeaderRow="1" firstDataRow="1" firstDataCol="1"/>
  <pivotFields count="24">
    <pivotField showAll="0">
      <items count="10">
        <item x="1"/>
        <item x="4"/>
        <item x="0"/>
        <item x="5"/>
        <item x="3"/>
        <item x="6"/>
        <item x="2"/>
        <item x="7"/>
        <item h="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1"/>
        <item x="0"/>
        <item x="3"/>
        <item x="2"/>
        <item x="4"/>
        <item h="1" x="5"/>
        <item t="default"/>
      </items>
    </pivotField>
    <pivotField showAll="0"/>
    <pivotField showAll="0"/>
  </pivotFields>
  <rowFields count="1">
    <field x="21"/>
  </rowFields>
  <rowItems count="5">
    <i>
      <x v="1"/>
    </i>
    <i>
      <x v="2"/>
    </i>
    <i>
      <x v="3"/>
    </i>
    <i>
      <x v="4"/>
    </i>
    <i t="grand">
      <x/>
    </i>
  </rowItems>
  <colItems count="1">
    <i/>
  </colItems>
  <dataFields count="1">
    <dataField name="Summe von Annual_Rent_EUR"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ADC7F-15FB-486A-9DBE-BAA98E7429F8}" name="PivotTable3" cacheId="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3">
  <location ref="A3:B177" firstHeaderRow="1" firstDataRow="1" firstDataCol="1"/>
  <pivotFields count="24">
    <pivotField showAll="0">
      <items count="10">
        <item x="1"/>
        <item x="4"/>
        <item x="0"/>
        <item x="5"/>
        <item x="3"/>
        <item x="6"/>
        <item x="2"/>
        <item x="7"/>
        <item h="1" x="8"/>
        <item t="default"/>
      </items>
    </pivotField>
    <pivotField showAll="0"/>
    <pivotField showAll="0"/>
    <pivotField showAll="0"/>
    <pivotField showAll="0"/>
    <pivotField axis="axisRow" showAll="0">
      <items count="175">
        <item x="60"/>
        <item x="161"/>
        <item x="34"/>
        <item x="130"/>
        <item x="68"/>
        <item x="36"/>
        <item x="151"/>
        <item x="137"/>
        <item x="172"/>
        <item x="104"/>
        <item x="152"/>
        <item x="141"/>
        <item x="116"/>
        <item x="65"/>
        <item x="43"/>
        <item x="118"/>
        <item x="66"/>
        <item x="38"/>
        <item x="86"/>
        <item x="6"/>
        <item x="153"/>
        <item x="44"/>
        <item x="82"/>
        <item x="123"/>
        <item x="156"/>
        <item x="166"/>
        <item x="113"/>
        <item x="2"/>
        <item x="154"/>
        <item x="11"/>
        <item x="160"/>
        <item x="173"/>
        <item x="40"/>
        <item x="105"/>
        <item x="61"/>
        <item x="13"/>
        <item x="54"/>
        <item x="25"/>
        <item x="64"/>
        <item x="24"/>
        <item x="15"/>
        <item x="168"/>
        <item x="149"/>
        <item x="16"/>
        <item x="21"/>
        <item x="9"/>
        <item x="10"/>
        <item x="112"/>
        <item x="28"/>
        <item x="51"/>
        <item x="171"/>
        <item x="20"/>
        <item x="132"/>
        <item x="57"/>
        <item x="127"/>
        <item x="114"/>
        <item x="169"/>
        <item x="26"/>
        <item x="83"/>
        <item x="52"/>
        <item x="39"/>
        <item x="109"/>
        <item x="14"/>
        <item x="99"/>
        <item x="87"/>
        <item x="53"/>
        <item x="89"/>
        <item x="142"/>
        <item x="71"/>
        <item x="158"/>
        <item x="139"/>
        <item x="81"/>
        <item x="111"/>
        <item x="31"/>
        <item x="45"/>
        <item x="167"/>
        <item x="128"/>
        <item x="49"/>
        <item x="125"/>
        <item x="147"/>
        <item x="88"/>
        <item x="138"/>
        <item x="164"/>
        <item x="74"/>
        <item x="163"/>
        <item x="29"/>
        <item x="23"/>
        <item x="80"/>
        <item x="77"/>
        <item x="136"/>
        <item x="95"/>
        <item x="157"/>
        <item x="50"/>
        <item x="72"/>
        <item x="55"/>
        <item x="144"/>
        <item x="32"/>
        <item x="58"/>
        <item x="76"/>
        <item x="96"/>
        <item x="165"/>
        <item x="122"/>
        <item x="47"/>
        <item x="5"/>
        <item x="121"/>
        <item x="110"/>
        <item x="3"/>
        <item x="70"/>
        <item x="62"/>
        <item x="93"/>
        <item x="17"/>
        <item x="4"/>
        <item x="63"/>
        <item x="148"/>
        <item x="22"/>
        <item x="107"/>
        <item x="33"/>
        <item x="133"/>
        <item x="103"/>
        <item x="46"/>
        <item x="78"/>
        <item x="30"/>
        <item x="102"/>
        <item x="75"/>
        <item x="18"/>
        <item x="69"/>
        <item x="85"/>
        <item x="42"/>
        <item x="124"/>
        <item x="170"/>
        <item x="117"/>
        <item x="19"/>
        <item x="159"/>
        <item x="146"/>
        <item x="162"/>
        <item x="108"/>
        <item x="7"/>
        <item x="150"/>
        <item x="140"/>
        <item x="155"/>
        <item x="92"/>
        <item x="79"/>
        <item x="35"/>
        <item x="0"/>
        <item x="119"/>
        <item x="91"/>
        <item x="27"/>
        <item x="145"/>
        <item x="56"/>
        <item x="131"/>
        <item x="8"/>
        <item x="73"/>
        <item x="115"/>
        <item x="126"/>
        <item x="143"/>
        <item x="120"/>
        <item x="129"/>
        <item x="135"/>
        <item x="106"/>
        <item x="48"/>
        <item x="100"/>
        <item x="84"/>
        <item x="67"/>
        <item x="98"/>
        <item x="41"/>
        <item x="90"/>
        <item x="134"/>
        <item x="37"/>
        <item x="12"/>
        <item x="101"/>
        <item x="97"/>
        <item x="94"/>
        <item x="59"/>
        <item h="1" x="1"/>
        <item t="default"/>
      </items>
    </pivotField>
    <pivotField showAll="0"/>
    <pivotField dataField="1" showAll="0">
      <items count="435">
        <item h="1" x="1"/>
        <item h="1" x="398"/>
        <item h="1" x="181"/>
        <item h="1" x="341"/>
        <item h="1" x="301"/>
        <item h="1" x="302"/>
        <item h="1" x="252"/>
        <item h="1" x="40"/>
        <item h="1" x="33"/>
        <item h="1" x="298"/>
        <item h="1" x="350"/>
        <item h="1" x="384"/>
        <item h="1" x="82"/>
        <item h="1" x="89"/>
        <item h="1" x="370"/>
        <item h="1" x="426"/>
        <item h="1" x="300"/>
        <item h="1" x="91"/>
        <item h="1" x="134"/>
        <item h="1" x="173"/>
        <item h="1" x="411"/>
        <item h="1" x="390"/>
        <item h="1" x="104"/>
        <item h="1" x="243"/>
        <item h="1" x="255"/>
        <item h="1" x="45"/>
        <item h="1" x="245"/>
        <item h="1" x="48"/>
        <item h="1" x="101"/>
        <item h="1" x="119"/>
        <item h="1" x="412"/>
        <item h="1" x="182"/>
        <item h="1" x="413"/>
        <item h="1" x="340"/>
        <item h="1" x="96"/>
        <item h="1" x="172"/>
        <item h="1" x="153"/>
        <item h="1" x="333"/>
        <item h="1" x="69"/>
        <item h="1" x="406"/>
        <item h="1" x="343"/>
        <item h="1" x="274"/>
        <item h="1" x="314"/>
        <item h="1" x="135"/>
        <item h="1" x="193"/>
        <item h="1" x="154"/>
        <item h="1" x="30"/>
        <item h="1" x="180"/>
        <item h="1" x="179"/>
        <item h="1" x="383"/>
        <item h="1" x="329"/>
        <item h="1" x="270"/>
        <item h="1" x="421"/>
        <item h="1" x="303"/>
        <item h="1" x="237"/>
        <item h="1" x="11"/>
        <item h="1" x="77"/>
        <item h="1" x="83"/>
        <item h="1" x="260"/>
        <item h="1" x="299"/>
        <item h="1" x="115"/>
        <item h="1" x="9"/>
        <item h="1" x="290"/>
        <item h="1" x="138"/>
        <item h="1" x="351"/>
        <item h="1" x="248"/>
        <item h="1" x="346"/>
        <item h="1" x="140"/>
        <item h="1" x="201"/>
        <item h="1" x="317"/>
        <item h="1" x="141"/>
        <item h="1" x="41"/>
        <item h="1" x="282"/>
        <item h="1" x="258"/>
        <item h="1" x="90"/>
        <item h="1" x="158"/>
        <item h="1" x="352"/>
        <item h="1" x="208"/>
        <item h="1" x="378"/>
        <item h="1" x="136"/>
        <item h="1" x="31"/>
        <item h="1" x="74"/>
        <item h="1" x="388"/>
        <item h="1" x="408"/>
        <item h="1" x="326"/>
        <item h="1" x="367"/>
        <item h="1" x="184"/>
        <item h="1" x="209"/>
        <item h="1" x="183"/>
        <item h="1" x="429"/>
        <item h="1" x="291"/>
        <item h="1" x="163"/>
        <item h="1" x="120"/>
        <item h="1" x="407"/>
        <item h="1" x="391"/>
        <item h="1" x="323"/>
        <item h="1" x="287"/>
        <item h="1" x="360"/>
        <item h="1" x="374"/>
        <item h="1" x="256"/>
        <item h="1" x="15"/>
        <item h="1" x="130"/>
        <item h="1" x="148"/>
        <item h="1" x="265"/>
        <item h="1" x="111"/>
        <item h="1" x="281"/>
        <item h="1" x="159"/>
        <item h="1" x="418"/>
        <item h="1" x="54"/>
        <item h="1" x="79"/>
        <item h="1" x="71"/>
        <item h="1" x="358"/>
        <item h="1" x="167"/>
        <item h="1" x="6"/>
        <item h="1" x="311"/>
        <item h="1" x="191"/>
        <item h="1" x="171"/>
        <item h="1" x="215"/>
        <item h="1" x="187"/>
        <item h="1" x="428"/>
        <item h="1" x="379"/>
        <item h="1" x="401"/>
        <item h="1" x="356"/>
        <item h="1" x="169"/>
        <item h="1" x="53"/>
        <item h="1" x="386"/>
        <item h="1" x="396"/>
        <item h="1" x="276"/>
        <item h="1" x="427"/>
        <item h="1" x="50"/>
        <item h="1" x="128"/>
        <item h="1" x="20"/>
        <item h="1" x="192"/>
        <item h="1" x="392"/>
        <item h="1" x="266"/>
        <item h="1" x="95"/>
        <item h="1" x="404"/>
        <item h="1" x="29"/>
        <item h="1" x="123"/>
        <item h="1" x="235"/>
        <item h="1" x="305"/>
        <item h="1" x="188"/>
        <item h="1" x="61"/>
        <item h="1" x="234"/>
        <item h="1" x="313"/>
        <item h="1" x="335"/>
        <item h="1" x="151"/>
        <item h="1" x="419"/>
        <item h="1" x="244"/>
        <item h="1" x="78"/>
        <item h="1" x="85"/>
        <item h="1" x="330"/>
        <item h="1" x="166"/>
        <item h="1" x="368"/>
        <item h="1" x="295"/>
        <item h="1" x="381"/>
        <item h="1" x="144"/>
        <item h="1" x="94"/>
        <item h="1" x="275"/>
        <item h="1" x="117"/>
        <item h="1" x="348"/>
        <item h="1" x="34"/>
        <item h="1" x="202"/>
        <item h="1" x="46"/>
        <item h="1" x="7"/>
        <item h="1" x="328"/>
        <item h="1" x="200"/>
        <item h="1" x="10"/>
        <item h="1" x="315"/>
        <item h="1" x="279"/>
        <item h="1" x="228"/>
        <item h="1" x="155"/>
        <item h="1" x="272"/>
        <item h="1" x="44"/>
        <item h="1" x="133"/>
        <item h="1" x="59"/>
        <item h="1" x="3"/>
        <item h="1" x="139"/>
        <item h="1" x="306"/>
        <item h="1" x="254"/>
        <item h="1" x="250"/>
        <item h="1" x="233"/>
        <item h="1" x="247"/>
        <item h="1" x="349"/>
        <item h="1" x="369"/>
        <item h="1" x="114"/>
        <item h="1" x="382"/>
        <item h="1" x="236"/>
        <item h="1" x="373"/>
        <item h="1" x="364"/>
        <item h="1" x="405"/>
        <item h="1" x="310"/>
        <item h="1" x="257"/>
        <item h="1" x="186"/>
        <item h="1" x="113"/>
        <item h="1" x="75"/>
        <item h="1" x="376"/>
        <item h="1" x="116"/>
        <item h="1" x="102"/>
        <item h="1" x="142"/>
        <item h="1" x="293"/>
        <item h="1" x="422"/>
        <item h="1" x="316"/>
        <item h="1" x="246"/>
        <item h="1" x="280"/>
        <item h="1" x="55"/>
        <item h="1" x="165"/>
        <item h="1" x="210"/>
        <item h="1" x="198"/>
        <item h="1" x="195"/>
        <item h="1" x="338"/>
        <item h="1" x="16"/>
        <item h="1" x="296"/>
        <item h="1" x="359"/>
        <item h="1" x="262"/>
        <item h="1" x="98"/>
        <item h="1" x="28"/>
        <item h="1" x="62"/>
        <item h="1" x="251"/>
        <item h="1" x="377"/>
        <item h="1" x="178"/>
        <item h="1" x="93"/>
        <item h="1" x="399"/>
        <item h="1" x="224"/>
        <item h="1" x="12"/>
        <item h="1" x="38"/>
        <item h="1" x="225"/>
        <item h="1" x="47"/>
        <item h="1" x="35"/>
        <item h="1" x="312"/>
        <item h="1" x="219"/>
        <item h="1" x="354"/>
        <item h="1" x="99"/>
        <item h="1" x="322"/>
        <item h="1" x="308"/>
        <item h="1" x="150"/>
        <item h="1" x="143"/>
        <item h="1" x="8"/>
        <item h="1" x="430"/>
        <item h="1" x="284"/>
        <item h="1" x="197"/>
        <item h="1" x="309"/>
        <item h="1" x="304"/>
        <item h="1" x="189"/>
        <item h="1" x="336"/>
        <item h="1" x="185"/>
        <item h="1" x="423"/>
        <item h="1" x="213"/>
        <item h="1" x="307"/>
        <item h="1" x="259"/>
        <item h="1" x="361"/>
        <item h="1" x="43"/>
        <item h="1" x="4"/>
        <item h="1" x="80"/>
        <item h="1" x="157"/>
        <item h="1" x="240"/>
        <item h="1" x="118"/>
        <item h="1" x="68"/>
        <item h="1" x="375"/>
        <item h="1" x="105"/>
        <item h="1" x="324"/>
        <item h="1" x="232"/>
        <item h="1" x="17"/>
        <item h="1" x="344"/>
        <item h="1" x="318"/>
        <item h="1" x="403"/>
        <item h="1" x="64"/>
        <item h="1" x="100"/>
        <item h="1" x="156"/>
        <item h="1" x="211"/>
        <item h="1" x="222"/>
        <item h="1" x="137"/>
        <item h="1" x="204"/>
        <item h="1" x="400"/>
        <item h="1" x="261"/>
        <item h="1" x="331"/>
        <item h="1" x="263"/>
        <item h="1" x="339"/>
        <item h="1" x="2"/>
        <item h="1" x="88"/>
        <item h="1" x="227"/>
        <item h="1" x="410"/>
        <item h="1" x="160"/>
        <item h="1" x="268"/>
        <item h="1" x="397"/>
        <item h="1" x="218"/>
        <item h="1" x="207"/>
        <item h="1" x="402"/>
        <item h="1" x="23"/>
        <item h="1" x="221"/>
        <item h="1" x="371"/>
        <item h="1" x="220"/>
        <item h="1" x="145"/>
        <item h="1" x="125"/>
        <item h="1" x="229"/>
        <item h="1" x="321"/>
        <item h="1" x="60"/>
        <item h="1" x="162"/>
        <item h="1" x="366"/>
        <item h="1" x="124"/>
        <item h="1" x="108"/>
        <item h="1" x="424"/>
        <item h="1" x="0"/>
        <item h="1" x="56"/>
        <item h="1" x="26"/>
        <item h="1" x="264"/>
        <item h="1" x="334"/>
        <item h="1" x="319"/>
        <item h="1" x="18"/>
        <item h="1" x="21"/>
        <item h="1" x="277"/>
        <item h="1" x="177"/>
        <item h="1" x="216"/>
        <item h="1" x="174"/>
        <item h="1" x="239"/>
        <item h="1" x="97"/>
        <item h="1" x="214"/>
        <item h="1" x="365"/>
        <item h="1" x="161"/>
        <item h="1" x="353"/>
        <item h="1" x="176"/>
        <item h="1" x="217"/>
        <item h="1" x="249"/>
        <item h="1" x="226"/>
        <item h="1" x="52"/>
        <item h="1" x="66"/>
        <item h="1" x="42"/>
        <item h="1" x="65"/>
        <item h="1" x="230"/>
        <item h="1" x="121"/>
        <item h="1" x="206"/>
        <item h="1" x="294"/>
        <item h="1" x="380"/>
        <item h="1" x="27"/>
        <item h="1" x="109"/>
        <item h="1" x="431"/>
        <item h="1" x="231"/>
        <item h="1" x="292"/>
        <item h="1" x="24"/>
        <item h="1" x="205"/>
        <item h="1" x="67"/>
        <item h="1" x="84"/>
        <item h="1" x="51"/>
        <item h="1" x="395"/>
        <item h="1" x="58"/>
        <item h="1" x="389"/>
        <item h="1" x="49"/>
        <item h="1" x="76"/>
        <item h="1" x="394"/>
        <item h="1" x="420"/>
        <item h="1" x="164"/>
        <item h="1" x="127"/>
        <item h="1" x="170"/>
        <item h="1" x="393"/>
        <item h="1" x="327"/>
        <item h="1" x="297"/>
        <item h="1" x="342"/>
        <item h="1" x="242"/>
        <item h="1" x="267"/>
        <item h="1" x="36"/>
        <item h="1" x="86"/>
        <item h="1" x="417"/>
        <item h="1" x="425"/>
        <item h="1" x="289"/>
        <item h="1" x="332"/>
        <item h="1" x="110"/>
        <item h="1" x="87"/>
        <item h="1" x="57"/>
        <item h="1" x="122"/>
        <item h="1" x="414"/>
        <item h="1" x="362"/>
        <item h="1" x="92"/>
        <item h="1" x="320"/>
        <item h="1" x="372"/>
        <item h="1" x="32"/>
        <item h="1" x="152"/>
        <item h="1" x="103"/>
        <item h="1" x="63"/>
        <item h="1" x="37"/>
        <item h="1" x="415"/>
        <item h="1" x="203"/>
        <item h="1" x="271"/>
        <item h="1" x="81"/>
        <item h="1" x="238"/>
        <item h="1" x="70"/>
        <item h="1" x="347"/>
        <item h="1" x="385"/>
        <item h="1" x="190"/>
        <item h="1" x="253"/>
        <item h="1" x="175"/>
        <item h="1" x="146"/>
        <item h="1" x="337"/>
        <item h="1" x="107"/>
        <item h="1" x="196"/>
        <item h="1" x="22"/>
        <item h="1" x="283"/>
        <item h="1" x="19"/>
        <item h="1" x="345"/>
        <item h="1" x="168"/>
        <item h="1" x="355"/>
        <item h="1" x="149"/>
        <item h="1" x="25"/>
        <item h="1" x="194"/>
        <item h="1" x="129"/>
        <item h="1" x="285"/>
        <item h="1" x="409"/>
        <item h="1" x="273"/>
        <item h="1" x="241"/>
        <item h="1" x="106"/>
        <item h="1" x="147"/>
        <item h="1" x="212"/>
        <item h="1" x="14"/>
        <item h="1" x="132"/>
        <item h="1" x="13"/>
        <item h="1" x="39"/>
        <item h="1" x="223"/>
        <item h="1" x="112"/>
        <item h="1" x="325"/>
        <item h="1" x="363"/>
        <item h="1" x="73"/>
        <item h="1" x="269"/>
        <item h="1" x="72"/>
        <item h="1" x="131"/>
        <item x="357"/>
        <item x="387"/>
        <item x="199"/>
        <item x="286"/>
        <item x="5"/>
        <item x="126"/>
        <item x="288"/>
        <item x="416"/>
        <item x="278"/>
        <item x="432"/>
        <item h="1" x="4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Items count="1">
    <i/>
  </colItems>
  <dataFields count="1">
    <dataField name="Summe von Annual_Rent_EU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3041F8-54B9-4006-A948-5322BB253E55}" name="PivotTable8"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3:B8" firstHeaderRow="1" firstDataRow="1" firstDataCol="1"/>
  <pivotFields count="24">
    <pivotField showAll="0"/>
    <pivotField showAll="0"/>
    <pivotField axis="axisRow" showAll="0">
      <items count="5">
        <item sd="0" x="1"/>
        <item sd="0" x="0"/>
        <item sd="0" x="2"/>
        <item sd="0"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33">
        <item x="166"/>
        <item x="187"/>
        <item x="191"/>
        <item x="10"/>
        <item x="140"/>
        <item x="266"/>
        <item x="115"/>
        <item x="165"/>
        <item x="422"/>
        <item x="418"/>
        <item x="398"/>
        <item x="351"/>
        <item x="172"/>
        <item x="173"/>
        <item x="302"/>
        <item x="78"/>
        <item x="293"/>
        <item x="312"/>
        <item x="48"/>
        <item x="209"/>
        <item x="369"/>
        <item x="276"/>
        <item x="62"/>
        <item x="136"/>
        <item x="12"/>
        <item x="313"/>
        <item x="8"/>
        <item x="279"/>
        <item x="246"/>
        <item x="117"/>
        <item x="368"/>
        <item x="47"/>
        <item x="315"/>
        <item x="381"/>
        <item x="82"/>
        <item x="300"/>
        <item x="202"/>
        <item x="306"/>
        <item x="159"/>
        <item x="343"/>
        <item x="295"/>
        <item x="408"/>
        <item x="259"/>
        <item x="101"/>
        <item x="75"/>
        <item x="93"/>
        <item x="328"/>
        <item x="154"/>
        <item x="367"/>
        <item x="386"/>
        <item x="419"/>
        <item x="234"/>
        <item x="69"/>
        <item x="104"/>
        <item x="341"/>
        <item x="123"/>
        <item x="138"/>
        <item x="429"/>
        <item x="257"/>
        <item x="30"/>
        <item x="333"/>
        <item x="15"/>
        <item x="307"/>
        <item x="344"/>
        <item x="404"/>
        <item x="235"/>
        <item x="360"/>
        <item x="105"/>
        <item x="228"/>
        <item x="377"/>
        <item x="50"/>
        <item x="322"/>
        <item x="412"/>
        <item x="247"/>
        <item x="390"/>
        <item x="31"/>
        <item x="116"/>
        <item x="304"/>
        <item x="263"/>
        <item x="38"/>
        <item x="44"/>
        <item x="287"/>
        <item x="374"/>
        <item x="98"/>
        <item x="272"/>
        <item x="316"/>
        <item x="141"/>
        <item x="282"/>
        <item x="200"/>
        <item x="182"/>
        <item x="158"/>
        <item x="256"/>
        <item x="108"/>
        <item x="423"/>
        <item x="424"/>
        <item x="354"/>
        <item x="405"/>
        <item x="157"/>
        <item x="392"/>
        <item x="224"/>
        <item x="153"/>
        <item x="301"/>
        <item x="35"/>
        <item x="177"/>
        <item x="90"/>
        <item x="323"/>
        <item x="171"/>
        <item x="329"/>
        <item x="237"/>
        <item x="71"/>
        <item x="400"/>
        <item x="43"/>
        <item x="169"/>
        <item x="222"/>
        <item x="89"/>
        <item x="309"/>
        <item x="298"/>
        <item x="85"/>
        <item x="214"/>
        <item x="34"/>
        <item x="17"/>
        <item x="45"/>
        <item x="174"/>
        <item x="54"/>
        <item x="145"/>
        <item x="188"/>
        <item x="155"/>
        <item x="181"/>
        <item x="264"/>
        <item x="95"/>
        <item x="248"/>
        <item x="23"/>
        <item x="233"/>
        <item x="124"/>
        <item x="383"/>
        <item x="426"/>
        <item x="318"/>
        <item x="79"/>
        <item x="7"/>
        <item x="156"/>
        <item x="346"/>
        <item x="195"/>
        <item x="232"/>
        <item x="251"/>
        <item x="261"/>
        <item x="397"/>
        <item x="218"/>
        <item x="33"/>
        <item x="291"/>
        <item x="376"/>
        <item x="133"/>
        <item x="66"/>
        <item x="64"/>
        <item x="120"/>
        <item x="184"/>
        <item x="134"/>
        <item x="201"/>
        <item x="317"/>
        <item x="388"/>
        <item x="205"/>
        <item x="326"/>
        <item x="393"/>
        <item x="216"/>
        <item x="41"/>
        <item x="319"/>
        <item x="197"/>
        <item x="119"/>
        <item x="431"/>
        <item x="330"/>
        <item x="379"/>
        <item x="217"/>
        <item x="308"/>
        <item x="334"/>
        <item x="97"/>
        <item x="99"/>
        <item x="395"/>
        <item x="421"/>
        <item x="185"/>
        <item x="384"/>
        <item x="299"/>
        <item x="258"/>
        <item x="349"/>
        <item x="86"/>
        <item x="254"/>
        <item x="186"/>
        <item x="226"/>
        <item x="178"/>
        <item x="243"/>
        <item x="220"/>
        <item x="370"/>
        <item x="142"/>
        <item x="265"/>
        <item x="352"/>
        <item x="410"/>
        <item x="428"/>
        <item x="366"/>
        <item x="76"/>
        <item x="42"/>
        <item x="297"/>
        <item x="280"/>
        <item x="382"/>
        <item x="311"/>
        <item x="268"/>
        <item x="114"/>
        <item x="92"/>
        <item x="176"/>
        <item x="239"/>
        <item x="356"/>
        <item x="373"/>
        <item x="230"/>
        <item x="240"/>
        <item x="275"/>
        <item x="236"/>
        <item x="249"/>
        <item x="24"/>
        <item x="113"/>
        <item x="213"/>
        <item x="331"/>
        <item x="67"/>
        <item x="163"/>
        <item x="110"/>
        <item x="109"/>
        <item x="0"/>
        <item x="125"/>
        <item x="20"/>
        <item x="340"/>
        <item x="57"/>
        <item x="3"/>
        <item x="206"/>
        <item x="406"/>
        <item x="192"/>
        <item x="16"/>
        <item x="231"/>
        <item x="77"/>
        <item x="151"/>
        <item x="148"/>
        <item x="358"/>
        <item x="103"/>
        <item x="396"/>
        <item x="347"/>
        <item x="80"/>
        <item x="403"/>
        <item x="372"/>
        <item x="413"/>
        <item x="55"/>
        <item x="175"/>
        <item x="170"/>
        <item x="190"/>
        <item x="415"/>
        <item x="335"/>
        <item x="260"/>
        <item x="417"/>
        <item x="58"/>
        <item x="27"/>
        <item x="2"/>
        <item x="100"/>
        <item x="167"/>
        <item x="59"/>
        <item x="122"/>
        <item x="4"/>
        <item x="427"/>
        <item x="51"/>
        <item x="53"/>
        <item x="402"/>
        <item x="160"/>
        <item x="11"/>
        <item x="144"/>
        <item x="198"/>
        <item x="127"/>
        <item x="359"/>
        <item x="81"/>
        <item x="37"/>
        <item x="36"/>
        <item x="252"/>
        <item x="338"/>
        <item x="353"/>
        <item x="399"/>
        <item x="361"/>
        <item x="194"/>
        <item x="68"/>
        <item x="310"/>
        <item x="46"/>
        <item x="350"/>
        <item x="244"/>
        <item x="135"/>
        <item x="320"/>
        <item x="203"/>
        <item x="146"/>
        <item x="61"/>
        <item x="284"/>
        <item x="414"/>
        <item x="18"/>
        <item x="327"/>
        <item x="179"/>
        <item x="149"/>
        <item x="314"/>
        <item x="229"/>
        <item x="292"/>
        <item x="250"/>
        <item x="407"/>
        <item x="221"/>
        <item x="74"/>
        <item x="290"/>
        <item x="84"/>
        <item x="26"/>
        <item x="273"/>
        <item x="238"/>
        <item x="22"/>
        <item x="132"/>
        <item x="107"/>
        <item x="271"/>
        <item x="364"/>
        <item x="87"/>
        <item x="303"/>
        <item x="345"/>
        <item x="389"/>
        <item x="430"/>
        <item x="394"/>
        <item x="21"/>
        <item x="189"/>
        <item x="88"/>
        <item x="219"/>
        <item x="56"/>
        <item x="152"/>
        <item x="212"/>
        <item x="245"/>
        <item x="143"/>
        <item x="162"/>
        <item x="106"/>
        <item x="281"/>
        <item x="19"/>
        <item x="411"/>
        <item x="147"/>
        <item x="39"/>
        <item x="168"/>
        <item x="262"/>
        <item x="409"/>
        <item x="94"/>
        <item x="65"/>
        <item x="321"/>
        <item x="40"/>
        <item x="207"/>
        <item x="129"/>
        <item x="420"/>
        <item x="83"/>
        <item x="363"/>
        <item x="387"/>
        <item x="332"/>
        <item x="128"/>
        <item x="378"/>
        <item x="210"/>
        <item x="425"/>
        <item x="121"/>
        <item x="357"/>
        <item x="371"/>
        <item x="225"/>
        <item x="296"/>
        <item x="161"/>
        <item x="118"/>
        <item x="227"/>
        <item x="294"/>
        <item x="339"/>
        <item x="242"/>
        <item x="255"/>
        <item x="6"/>
        <item x="60"/>
        <item x="401"/>
        <item x="112"/>
        <item x="362"/>
        <item x="126"/>
        <item x="193"/>
        <item x="29"/>
        <item x="223"/>
        <item x="277"/>
        <item x="180"/>
        <item x="32"/>
        <item x="375"/>
        <item x="274"/>
        <item x="150"/>
        <item x="91"/>
        <item x="241"/>
        <item x="355"/>
        <item x="286"/>
        <item x="305"/>
        <item x="391"/>
        <item x="336"/>
        <item x="342"/>
        <item x="204"/>
        <item x="183"/>
        <item x="96"/>
        <item x="269"/>
        <item x="130"/>
        <item x="14"/>
        <item x="63"/>
        <item x="70"/>
        <item x="288"/>
        <item x="325"/>
        <item x="131"/>
        <item x="285"/>
        <item x="385"/>
        <item x="9"/>
        <item x="111"/>
        <item x="289"/>
        <item x="267"/>
        <item x="196"/>
        <item x="278"/>
        <item x="5"/>
        <item x="28"/>
        <item x="49"/>
        <item x="348"/>
        <item x="199"/>
        <item x="25"/>
        <item x="72"/>
        <item x="73"/>
        <item x="164"/>
        <item x="270"/>
        <item x="253"/>
        <item x="102"/>
        <item x="137"/>
        <item x="324"/>
        <item x="139"/>
        <item x="283"/>
        <item x="208"/>
        <item x="365"/>
        <item x="52"/>
        <item x="416"/>
        <item x="13"/>
        <item x="211"/>
        <item x="215"/>
        <item x="380"/>
        <item x="337"/>
        <item x="1"/>
        <item t="default"/>
      </items>
    </pivotField>
    <pivotField showAll="0"/>
    <pivotField showAll="0"/>
    <pivotField showAll="0"/>
    <pivotField showAll="0"/>
    <pivotField showAll="0"/>
    <pivotField showAll="0"/>
  </pivotFields>
  <rowFields count="2">
    <field x="2"/>
    <field x="17"/>
  </rowFields>
  <rowItems count="5">
    <i>
      <x/>
    </i>
    <i>
      <x v="1"/>
    </i>
    <i>
      <x v="2"/>
    </i>
    <i>
      <x v="3"/>
    </i>
    <i t="grand">
      <x/>
    </i>
  </rowItems>
  <colItems count="1">
    <i/>
  </colItems>
  <dataFields count="1">
    <dataField name="Summe von Annual_Rent_EUR"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072221-1375-4F9F-ADB9-7B4C7BC61739}" name="PivotTable12"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12" firstHeaderRow="1" firstDataRow="1" firstDataCol="1"/>
  <pivotFields count="24">
    <pivotField axis="axisRow" showAll="0">
      <items count="9">
        <item x="1"/>
        <item x="4"/>
        <item x="0"/>
        <item x="5"/>
        <item x="3"/>
        <item x="6"/>
        <item x="2"/>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Summe von Monthly_Rent_EUR"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perty" xr10:uid="{E894AAE9-5F0C-4161-919C-FB097A0C6287}" sourceName="Property">
  <pivotTables>
    <pivotTable tabId="11" name="PivotTable14"/>
    <pivotTable tabId="12" name="PivotTable1"/>
    <pivotTable tabId="13" name="PivotTable2"/>
    <pivotTable tabId="14" name="PivotTable3"/>
  </pivotTables>
  <data>
    <tabular pivotCacheId="2143368360">
      <items count="9">
        <i x="1" s="1"/>
        <i x="4" s="1"/>
        <i x="0" s="1"/>
        <i x="5" s="1"/>
        <i x="3" s="1"/>
        <i x="6" s="1"/>
        <i x="2" s="1"/>
        <i x="7" s="1"/>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Unit_Type" xr10:uid="{F98FF2F4-50CC-4FE6-8ADC-AFB5899D35C9}" sourceName="Unit_Type">
  <pivotTables>
    <pivotTable tabId="11" name="PivotTable14"/>
  </pivotTables>
  <data>
    <tabular pivotCacheId="2143368360">
      <items count="5">
        <i x="1" s="1"/>
        <i x="0" s="1"/>
        <i x="2" s="1"/>
        <i x="3"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tatus" xr10:uid="{F792790B-111D-4FC6-BFE8-54DCCC462CC6}" sourceName="Status">
  <pivotTables>
    <pivotTable tabId="11" name="PivotTable14"/>
  </pivotTables>
  <data>
    <tabular pivotCacheId="2143368360">
      <items count="3">
        <i x="0" s="1"/>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perty1" xr10:uid="{4E293686-4AE0-409D-9C3A-979CBC2FAE57}" sourceName="Property">
  <pivotTables>
    <pivotTable tabId="10" name="PivotTable13"/>
  </pivotTables>
  <data>
    <tabular pivotCacheId="1368171074">
      <items count="8">
        <i x="1" s="1"/>
        <i x="4" s="1"/>
        <i x="0" s="1"/>
        <i x="5" s="1"/>
        <i x="3" s="1"/>
        <i x="6" s="1"/>
        <i x="2"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tatus1" xr10:uid="{400C0100-D49C-4070-8E79-2F73E04A0DD2}" sourceName="Status">
  <pivotTables>
    <pivotTable tabId="10" name="PivotTable13"/>
  </pivotTables>
  <data>
    <tabular pivotCacheId="136817107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1" xr10:uid="{DD9E1478-B07B-4E17-A876-14D7D83DD416}" cache="Datenschnitt_Property1" caption="Property" rowHeight="241300"/>
  <slicer name="Status 1" xr10:uid="{0FCF3A1A-B83A-4084-8C36-13EF6B61BAED}" cache="Datenschnitt_Status1"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xr10:uid="{B547EAFE-19D6-4000-B370-B514CA75AC9A}" cache="Datenschnitt_Property" caption="Property" startItem="1" style="SlicerStyleOther2" rowHeight="241300"/>
  <slicer name="Unit_Type" xr10:uid="{92B15926-0586-4148-B03F-6AB14FD93270}" cache="Datenschnitt_Unit_Type" caption="Unit_Type" style="SlicerStyleOther2" rowHeight="241300"/>
  <slicer name="Status" xr10:uid="{D54E69D6-74FA-45F7-BD41-FA864A4FAEDA}" cache="Datenschnitt_Status" caption="Status"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6F1C5-FDDD-4590-862E-44BF6FBA3DAD}" name="tblRentRoll" displayName="tblRentRoll" ref="A1:Z502" totalsRowCount="1" headerRowDxfId="14">
  <autoFilter ref="A1:Z501" xr:uid="{A4F6F1C5-FDDD-4590-862E-44BF6FBA3DAD}"/>
  <tableColumns count="26">
    <tableColumn id="1" xr3:uid="{532EB49B-D1DF-4877-AE92-5A384676ABAD}" name="Property"/>
    <tableColumn id="2" xr3:uid="{1BAA4F64-0794-4C36-9498-8FD4991F975D}" name="Unit_ID"/>
    <tableColumn id="3" xr3:uid="{B62DC965-EAD5-4716-9ECE-9A0244FADD19}" name="Unit_Type"/>
    <tableColumn id="4" xr3:uid="{513C7191-A1E9-4674-966B-9C0998E78237}" name="Area_sqm" totalsRowFunction="sum"/>
    <tableColumn id="5" xr3:uid="{B6339038-B8FC-48AD-9C42-9A8F14B02BAA}" name="Status"/>
    <tableColumn id="6" xr3:uid="{BAD04057-01E2-4062-A50B-A5BF3437FE07}" name="Tenant_Name"/>
    <tableColumn id="7" xr3:uid="{C4E3282B-60C2-4A06-887A-DF36FDBE6247}" name="Monthly_Rent_EUR" totalsRowFunction="sum"/>
    <tableColumn id="8" xr3:uid="{9E5B1B99-62FE-46F0-8F0D-6E2D593C6EED}" name="Annual_Rent_EUR" totalsRowFunction="sum"/>
    <tableColumn id="9" xr3:uid="{F6B242C1-15A5-444E-A244-25702E37E938}" name="Jahresrente_EUR" totalsRowFunction="sum" dataDxfId="13">
      <calculatedColumnFormula>G2*12-H2</calculatedColumnFormula>
    </tableColumn>
    <tableColumn id="19" xr3:uid="{9F31EBBA-C733-42C3-A85B-F68B55C37902}" name="Unterschied" totalsRowFunction="sum" dataDxfId="12"/>
    <tableColumn id="10" xr3:uid="{91BAE3C0-3CE9-4DB9-8465-F1005B72BB93}" name="Lease_Start" dataDxfId="11" totalsRowDxfId="1"/>
    <tableColumn id="11" xr3:uid="{390F13BB-26EE-466D-85C4-A05C3BDDFD20}" name="Lease_End" dataDxfId="10" totalsRowDxfId="0"/>
    <tableColumn id="12" xr3:uid="{001493CC-C6B3-4988-8300-B9E4A29EB91E}" name="Service_Charge_EUR" totalsRowFunction="sum"/>
    <tableColumn id="13" xr3:uid="{38BD9756-B5A9-497B-8B5E-9B1D4702A999}" name="Operating_Cost_EUR" totalsRowFunction="sum"/>
    <tableColumn id="16" xr3:uid="{8D415715-2540-4144-B42A-C437F1E32547}" name="Check"/>
    <tableColumn id="17" xr3:uid="{C32EB13E-53CF-43ED-8030-4350ED78EAF9}" name="Check_Area"/>
    <tableColumn id="18" xr3:uid="{3B6F7C59-FDB9-4F67-8F8A-E6C4C77A15F2}" name="Check_Rent"/>
    <tableColumn id="22" xr3:uid="{CEA99B7B-030D-4873-8F4C-4E377B5317F4}" name="Rent_per_sqm" totalsRowFunction="average">
      <calculatedColumnFormula>IF(AND(tblRentRoll[[#This Row],[Status]]="Occupied", tblRentRoll[[#This Row],[Area_sqm]]&gt;0), tblRentRoll[[#This Row],[Annual_Rent_EUR]]/tblRentRoll[[#This Row],[Area_sqm]],"")</calculatedColumnFormula>
    </tableColumn>
    <tableColumn id="23" xr3:uid="{069F45B2-D598-4044-BF5E-66C7B960CE73}" name="Total_Cost_EURO" totalsRowFunction="sum"/>
    <tableColumn id="24" xr3:uid="{7DB602C8-C7E2-409C-A4C2-FF7A0DE66CB9}" name="NOI_pro_UNIT" totalsRowFunction="sum" dataDxfId="9">
      <calculatedColumnFormula>IF(tblRentRoll[[#This Row],[Annual_Rent_EUR]]&lt;&gt;0,tblRentRoll[[#This Row],[Annual_Rent_EUR]]-tblRentRoll[[#This Row],[Operating_Cost_EUR]], "")</calculatedColumnFormula>
    </tableColumn>
    <tableColumn id="25" xr3:uid="{824893FE-762A-4C5E-8760-6A05632A7379}" name="Month_to_Expiry"/>
    <tableColumn id="26" xr3:uid="{B4B19611-EE63-46E5-8A47-60F05612EF07}" name="Expiry Bucket" dataDxfId="8">
      <calculatedColumnFormula>IF(tblRentRoll[[#This Row],[Status]]&lt;&gt;"Occupied","", IF(tblRentRoll[[#This Row],[Month_to_Expiry]]&lt;=3, "0-3 Monaten",  IF(tblRentRoll[[#This Row],[Month_to_Expiry]]&lt;=6, "3-6 Monaten", IF(tblRentRoll[[#This Row],[Month_to_Expiry]]&lt;=12,"6-12 Monaten", IF(tblRentRoll[[#This Row],[Month_to_Expiry]]&gt;=12, "12 M+",)))))</calculatedColumnFormula>
    </tableColumn>
    <tableColumn id="27" xr3:uid="{948B8761-9F39-4FED-872D-2A27D7C9DA12}" name="Vacant_Area" totalsRowFunction="sum" dataDxfId="7">
      <calculatedColumnFormula>IF(tblRentRoll[[#This Row],[Status]]="Vacant", tblRentRoll[[#This Row],[Area_sqm]],0)</calculatedColumnFormula>
    </tableColumn>
    <tableColumn id="28" xr3:uid="{0195FF52-17BA-411F-B712-424454928F83}" name="Oc_Area" totalsRowFunction="sum" dataDxfId="6">
      <calculatedColumnFormula>IF(tblRentRoll[[#This Row],[Status]]="Occupied", tblRentRoll[[#This Row],[Area_sqm]],0)</calculatedColumnFormula>
    </tableColumn>
    <tableColumn id="14" xr3:uid="{75104E84-B176-4A98-BAEE-854B6E1BEC87}" name="WeightedTermYears" totalsRowFunction="sum" dataDxfId="5">
      <calculatedColumnFormula>tblRentRoll[[#This Row],[Month_to_Expiry]]/12*tblRentRoll[[#This Row],[Annual_Rent_EUR]]</calculatedColumnFormula>
    </tableColumn>
    <tableColumn id="15" xr3:uid="{362588F8-B688-4559-BBDC-86272F9F63E0}" name="Spalte1"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20"/>
  <sheetViews>
    <sheetView zoomScale="86" zoomScaleNormal="86" workbookViewId="0">
      <pane ySplit="1" topLeftCell="A2" activePane="bottomLeft" state="frozen"/>
      <selection activeCell="D1" sqref="D1"/>
      <selection pane="bottomLeft" activeCell="K8" sqref="K8"/>
    </sheetView>
  </sheetViews>
  <sheetFormatPr baseColWidth="10" defaultColWidth="8.7265625" defaultRowHeight="14.5" x14ac:dyDescent="0.35"/>
  <cols>
    <col min="1" max="1" width="18" bestFit="1" customWidth="1"/>
    <col min="2" max="2" width="10.6328125" bestFit="1" customWidth="1"/>
    <col min="3" max="3" width="12.81640625" bestFit="1" customWidth="1"/>
    <col min="4" max="4" width="12.6328125" bestFit="1" customWidth="1"/>
    <col min="5" max="5" width="9.36328125" bestFit="1" customWidth="1"/>
    <col min="6" max="6" width="12.08984375" customWidth="1"/>
    <col min="7" max="7" width="10.81640625" customWidth="1"/>
    <col min="8" max="8" width="10.1796875" customWidth="1"/>
    <col min="9" max="9" width="18.54296875" style="2" hidden="1" customWidth="1"/>
    <col min="10" max="10" width="14.7265625" style="2" hidden="1" customWidth="1"/>
    <col min="11" max="11" width="19.453125" customWidth="1"/>
    <col min="12" max="12" width="21.26953125" customWidth="1"/>
    <col min="13" max="14" width="21.54296875" bestFit="1" customWidth="1"/>
    <col min="15" max="15" width="9.36328125" hidden="1" customWidth="1"/>
    <col min="16" max="17" width="14.26953125" hidden="1" customWidth="1"/>
    <col min="18" max="18" width="16.453125" bestFit="1" customWidth="1"/>
    <col min="19" max="19" width="18.54296875" bestFit="1" customWidth="1"/>
    <col min="20" max="20" width="16.08984375" bestFit="1" customWidth="1"/>
    <col min="21" max="21" width="13.08984375" customWidth="1"/>
    <col min="22" max="22" width="15.54296875" bestFit="1" customWidth="1"/>
    <col min="23" max="23" width="10.6328125" customWidth="1"/>
    <col min="24" max="24" width="10.08984375" customWidth="1"/>
    <col min="25" max="25" width="13.6328125" customWidth="1"/>
  </cols>
  <sheetData>
    <row r="1" spans="1:26" s="18" customFormat="1" ht="57" customHeight="1" x14ac:dyDescent="0.35">
      <c r="A1" s="18" t="s">
        <v>0</v>
      </c>
      <c r="B1" s="18" t="s">
        <v>1</v>
      </c>
      <c r="C1" s="18" t="s">
        <v>2</v>
      </c>
      <c r="D1" s="18" t="s">
        <v>3</v>
      </c>
      <c r="E1" s="18" t="s">
        <v>4</v>
      </c>
      <c r="F1" s="18" t="s">
        <v>5</v>
      </c>
      <c r="G1" s="18" t="s">
        <v>6</v>
      </c>
      <c r="H1" s="18" t="s">
        <v>7</v>
      </c>
      <c r="I1" s="18" t="s">
        <v>702</v>
      </c>
      <c r="J1" s="18" t="s">
        <v>703</v>
      </c>
      <c r="K1" s="18" t="s">
        <v>8</v>
      </c>
      <c r="L1" s="18" t="s">
        <v>9</v>
      </c>
      <c r="M1" s="18" t="s">
        <v>10</v>
      </c>
      <c r="N1" s="18" t="s">
        <v>11</v>
      </c>
      <c r="O1" s="18" t="s">
        <v>699</v>
      </c>
      <c r="P1" s="18" t="s">
        <v>700</v>
      </c>
      <c r="Q1" s="18" t="s">
        <v>701</v>
      </c>
      <c r="R1" s="18" t="s">
        <v>704</v>
      </c>
      <c r="S1" s="18" t="s">
        <v>705</v>
      </c>
      <c r="T1" s="18" t="s">
        <v>706</v>
      </c>
      <c r="U1" s="18" t="s">
        <v>707</v>
      </c>
      <c r="V1" s="18" t="s">
        <v>708</v>
      </c>
      <c r="W1" s="18" t="s">
        <v>709</v>
      </c>
      <c r="X1" s="18" t="s">
        <v>710</v>
      </c>
      <c r="Y1" s="18" t="s">
        <v>734</v>
      </c>
      <c r="Z1" s="18" t="s">
        <v>737</v>
      </c>
    </row>
    <row r="2" spans="1:26" x14ac:dyDescent="0.35">
      <c r="A2" t="s">
        <v>12</v>
      </c>
      <c r="B2" t="s">
        <v>13</v>
      </c>
      <c r="C2" t="s">
        <v>14</v>
      </c>
      <c r="D2">
        <v>1072</v>
      </c>
      <c r="E2" t="s">
        <v>15</v>
      </c>
      <c r="F2" t="s">
        <v>16</v>
      </c>
      <c r="G2">
        <v>12532.9</v>
      </c>
      <c r="H2">
        <v>150394.79999999999</v>
      </c>
      <c r="I2" s="2">
        <f>tblRentRoll[[#This Row],[Monthly_Rent_EUR]]*12</f>
        <v>150394.79999999999</v>
      </c>
      <c r="J2" s="2" t="str">
        <f>IF(tblRentRoll[[#This Row],[Annual_Rent_EUR]]&lt;&gt;tblRentRoll[[#This Row],[Jahresrente_EUR]], "FALSCH", "")</f>
        <v/>
      </c>
      <c r="K2" s="1">
        <v>44468</v>
      </c>
      <c r="L2" s="1">
        <v>45192</v>
      </c>
      <c r="M2">
        <v>1703.34</v>
      </c>
      <c r="N2">
        <v>2323.09</v>
      </c>
      <c r="O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 t="str">
        <f>IF(tblRentRoll[[#This Row],[Area_sqm]]&lt;=0,"Area&lt;=0","")</f>
        <v/>
      </c>
      <c r="Q2" t="str">
        <f>IF(tblRentRoll[[#This Row],[Monthly_Rent_EUR]]&lt;=0,"Rent&lt;=0","")</f>
        <v/>
      </c>
      <c r="R2">
        <f>IF(AND(tblRentRoll[[#This Row],[Status]]="Occupied", tblRentRoll[[#This Row],[Area_sqm]]&gt;0), tblRentRoll[[#This Row],[Annual_Rent_EUR]]/tblRentRoll[[#This Row],[Area_sqm]],"")</f>
        <v>140.2936567164179</v>
      </c>
      <c r="S2">
        <f>tblRentRoll[[#This Row],[Service_Charge_EUR]]+tblRentRoll[[#This Row],[Operating_Cost_EUR]]</f>
        <v>4026.4300000000003</v>
      </c>
      <c r="T2">
        <f>IF(tblRentRoll[[#This Row],[Annual_Rent_EUR]]&lt;&gt;0,tblRentRoll[[#This Row],[Annual_Rent_EUR]]-tblRentRoll[[#This Row],[Operating_Cost_EUR]], "")</f>
        <v>148071.71</v>
      </c>
      <c r="U2">
        <f ca="1">IF(AND(tblRentRoll[[#This Row],[Status]]="Occupied",tblRentRoll[[#This Row],[Lease_End]]&gt;=TODAY()),DATEDIF(TODAY(),tblRentRoll[[#This Row],[Lease_End]],"m"), 0)</f>
        <v>0</v>
      </c>
      <c r="V2" t="str">
        <f ca="1">IF(tblRentRoll[[#This Row],[Status]]&lt;&gt;"Occupied","", IF(tblRentRoll[[#This Row],[Month_to_Expiry]]&lt;=3, "0-3 Monaten",  IF(tblRentRoll[[#This Row],[Month_to_Expiry]]&lt;=6, "3-6 Monaten", IF(tblRentRoll[[#This Row],[Month_to_Expiry]]&lt;=12,"6-12 Monaten", IF(tblRentRoll[[#This Row],[Month_to_Expiry]]&gt;=12, "12 M+",)))))</f>
        <v>0-3 Monaten</v>
      </c>
      <c r="W2">
        <f>IF(tblRentRoll[[#This Row],[Status]]="Vacant", tblRentRoll[[#This Row],[Area_sqm]],0)</f>
        <v>0</v>
      </c>
      <c r="X2">
        <f>IF(tblRentRoll[[#This Row],[Status]]="Occupied", tblRentRoll[[#This Row],[Area_sqm]],0)</f>
        <v>1072</v>
      </c>
      <c r="Y2" s="3">
        <f ca="1">tblRentRoll[[#This Row],[Month_to_Expiry]]/12*tblRentRoll[[#This Row],[Annual_Rent_EUR]]</f>
        <v>0</v>
      </c>
      <c r="Z2" s="3"/>
    </row>
    <row r="3" spans="1:26" x14ac:dyDescent="0.35">
      <c r="A3" t="s">
        <v>17</v>
      </c>
      <c r="B3" t="s">
        <v>18</v>
      </c>
      <c r="C3" t="s">
        <v>19</v>
      </c>
      <c r="D3">
        <v>356</v>
      </c>
      <c r="E3" t="s">
        <v>20</v>
      </c>
      <c r="G3">
        <v>0</v>
      </c>
      <c r="H3">
        <v>0</v>
      </c>
      <c r="I3" s="2">
        <f>tblRentRoll[[#This Row],[Monthly_Rent_EUR]]*12</f>
        <v>0</v>
      </c>
      <c r="J3" s="2" t="str">
        <f>IF(tblRentRoll[[#This Row],[Annual_Rent_EUR]]&lt;&gt;tblRentRoll[[#This Row],[Jahresrente_EUR]], "FALSCH", "")</f>
        <v/>
      </c>
      <c r="M3">
        <v>581.04999999999995</v>
      </c>
      <c r="N3">
        <v>327.43</v>
      </c>
      <c r="O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 t="str">
        <f>IF(tblRentRoll[[#This Row],[Area_sqm]]&lt;=0,"Area&lt;=0","")</f>
        <v/>
      </c>
      <c r="Q3" t="str">
        <f>IF(tblRentRoll[[#This Row],[Monthly_Rent_EUR]]&lt;=0,"Rent&lt;=0","")</f>
        <v>Rent&lt;=0</v>
      </c>
      <c r="R3" t="str">
        <f>IF(AND(tblRentRoll[[#This Row],[Status]]="Occupied", tblRentRoll[[#This Row],[Area_sqm]]&gt;0), tblRentRoll[[#This Row],[Annual_Rent_EUR]]/tblRentRoll[[#This Row],[Area_sqm]],"")</f>
        <v/>
      </c>
      <c r="S3">
        <f>tblRentRoll[[#This Row],[Service_Charge_EUR]]+tblRentRoll[[#This Row],[Operating_Cost_EUR]]</f>
        <v>908.48</v>
      </c>
      <c r="T3" t="str">
        <f>IF(tblRentRoll[[#This Row],[Annual_Rent_EUR]]&lt;&gt;0,tblRentRoll[[#This Row],[Annual_Rent_EUR]]-tblRentRoll[[#This Row],[Operating_Cost_EUR]], "")</f>
        <v/>
      </c>
      <c r="U3">
        <f ca="1">IF(AND(tblRentRoll[[#This Row],[Status]]="Occupied",tblRentRoll[[#This Row],[Lease_End]]&gt;=TODAY()),DATEDIF(TODAY(),tblRentRoll[[#This Row],[Lease_End]],"m"), 0)</f>
        <v>0</v>
      </c>
      <c r="V3" t="str">
        <f>IF(tblRentRoll[[#This Row],[Status]]&lt;&gt;"Occupied","", IF(tblRentRoll[[#This Row],[Month_to_Expiry]]&lt;=3, "0-3 Monaten",  IF(tblRentRoll[[#This Row],[Month_to_Expiry]]&lt;=6, "3-6 Monaten", IF(tblRentRoll[[#This Row],[Month_to_Expiry]]&lt;=12,"6-12 Monaten", IF(tblRentRoll[[#This Row],[Month_to_Expiry]]&gt;=12, "12 M+",)))))</f>
        <v/>
      </c>
      <c r="W3">
        <f>IF(tblRentRoll[[#This Row],[Status]]="Vacant", tblRentRoll[[#This Row],[Area_sqm]],0)</f>
        <v>356</v>
      </c>
      <c r="X3" s="3">
        <f>IF(tblRentRoll[[#This Row],[Status]]="Occupied", tblRentRoll[[#This Row],[Area_sqm]],0)</f>
        <v>0</v>
      </c>
      <c r="Y3" s="3">
        <f ca="1">tblRentRoll[[#This Row],[Month_to_Expiry]]/12*tblRentRoll[[#This Row],[Annual_Rent_EUR]]</f>
        <v>0</v>
      </c>
      <c r="Z3" s="3"/>
    </row>
    <row r="4" spans="1:26" x14ac:dyDescent="0.35">
      <c r="A4" t="s">
        <v>21</v>
      </c>
      <c r="B4" t="s">
        <v>22</v>
      </c>
      <c r="C4" t="s">
        <v>19</v>
      </c>
      <c r="D4">
        <v>920</v>
      </c>
      <c r="E4" t="s">
        <v>15</v>
      </c>
      <c r="F4" t="s">
        <v>23</v>
      </c>
      <c r="G4">
        <v>11487.23</v>
      </c>
      <c r="H4">
        <v>137846.28</v>
      </c>
      <c r="I4" s="2">
        <f>tblRentRoll[[#This Row],[Monthly_Rent_EUR]]*12</f>
        <v>137846.76</v>
      </c>
      <c r="J4" s="2" t="str">
        <f>IF(tblRentRoll[[#This Row],[Annual_Rent_EUR]]&lt;&gt;tblRentRoll[[#This Row],[Jahresrente_EUR]], "FALSCH", "")</f>
        <v>FALSCH</v>
      </c>
      <c r="K4" s="1">
        <v>44344</v>
      </c>
      <c r="L4" s="1">
        <v>45863</v>
      </c>
      <c r="M4">
        <v>1667.69</v>
      </c>
      <c r="N4">
        <v>1006.92</v>
      </c>
      <c r="O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 t="str">
        <f>IF(tblRentRoll[[#This Row],[Area_sqm]]&lt;=0,"Area&lt;=0","")</f>
        <v/>
      </c>
      <c r="Q4" t="str">
        <f>IF(tblRentRoll[[#This Row],[Monthly_Rent_EUR]]&lt;=0,"Rent&lt;=0","")</f>
        <v/>
      </c>
      <c r="R4">
        <f>IF(AND(tblRentRoll[[#This Row],[Status]]="Occupied", tblRentRoll[[#This Row],[Area_sqm]]&gt;0), tblRentRoll[[#This Row],[Annual_Rent_EUR]]/tblRentRoll[[#This Row],[Area_sqm]],"")</f>
        <v>149.83291304347827</v>
      </c>
      <c r="S4">
        <f>tblRentRoll[[#This Row],[Service_Charge_EUR]]+tblRentRoll[[#This Row],[Operating_Cost_EUR]]</f>
        <v>2674.61</v>
      </c>
      <c r="T4">
        <f>IF(tblRentRoll[[#This Row],[Annual_Rent_EUR]]&lt;&gt;0,tblRentRoll[[#This Row],[Annual_Rent_EUR]]-tblRentRoll[[#This Row],[Operating_Cost_EUR]], "")</f>
        <v>136839.35999999999</v>
      </c>
      <c r="U4">
        <f ca="1">IF(AND(tblRentRoll[[#This Row],[Status]]="Occupied",tblRentRoll[[#This Row],[Lease_End]]&gt;=TODAY()),DATEDIF(TODAY(),tblRentRoll[[#This Row],[Lease_End]],"m"), 0)</f>
        <v>0</v>
      </c>
      <c r="V4" t="str">
        <f ca="1">IF(tblRentRoll[[#This Row],[Status]]&lt;&gt;"Occupied","", IF(tblRentRoll[[#This Row],[Month_to_Expiry]]&lt;=3, "0-3 Monaten",  IF(tblRentRoll[[#This Row],[Month_to_Expiry]]&lt;=6, "3-6 Monaten", IF(tblRentRoll[[#This Row],[Month_to_Expiry]]&lt;=12,"6-12 Monaten", IF(tblRentRoll[[#This Row],[Month_to_Expiry]]&gt;=12, "12 M+",)))))</f>
        <v>0-3 Monaten</v>
      </c>
      <c r="W4">
        <f>IF(tblRentRoll[[#This Row],[Status]]="Vacant", tblRentRoll[[#This Row],[Area_sqm]],0)</f>
        <v>0</v>
      </c>
      <c r="X4" s="3">
        <f>IF(tblRentRoll[[#This Row],[Status]]="Occupied", tblRentRoll[[#This Row],[Area_sqm]],0)</f>
        <v>920</v>
      </c>
      <c r="Y4" s="3">
        <f ca="1">tblRentRoll[[#This Row],[Month_to_Expiry]]/12*tblRentRoll[[#This Row],[Annual_Rent_EUR]]</f>
        <v>0</v>
      </c>
      <c r="Z4" s="3"/>
    </row>
    <row r="5" spans="1:26" x14ac:dyDescent="0.35">
      <c r="A5" t="s">
        <v>24</v>
      </c>
      <c r="B5" t="s">
        <v>25</v>
      </c>
      <c r="C5" t="s">
        <v>19</v>
      </c>
      <c r="D5">
        <v>659</v>
      </c>
      <c r="E5" t="s">
        <v>15</v>
      </c>
      <c r="F5" t="s">
        <v>26</v>
      </c>
      <c r="G5">
        <v>7757.21</v>
      </c>
      <c r="H5">
        <v>93086.52</v>
      </c>
      <c r="I5" s="2">
        <f>tblRentRoll[[#This Row],[Monthly_Rent_EUR]]*12</f>
        <v>93086.52</v>
      </c>
      <c r="J5" s="2" t="str">
        <f>IF(tblRentRoll[[#This Row],[Annual_Rent_EUR]]&lt;&gt;tblRentRoll[[#This Row],[Jahresrente_EUR]], "FALSCH", "")</f>
        <v/>
      </c>
      <c r="K5" s="1">
        <v>44578</v>
      </c>
      <c r="L5" s="1">
        <v>45408</v>
      </c>
      <c r="M5">
        <v>1291.24</v>
      </c>
      <c r="N5">
        <v>769.66</v>
      </c>
      <c r="O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 t="str">
        <f>IF(tblRentRoll[[#This Row],[Area_sqm]]&lt;=0,"Area&lt;=0","")</f>
        <v/>
      </c>
      <c r="Q5" t="str">
        <f>IF(tblRentRoll[[#This Row],[Monthly_Rent_EUR]]&lt;=0,"Rent&lt;=0","")</f>
        <v/>
      </c>
      <c r="R5">
        <f>IF(AND(tblRentRoll[[#This Row],[Status]]="Occupied", tblRentRoll[[#This Row],[Area_sqm]]&gt;0), tblRentRoll[[#This Row],[Annual_Rent_EUR]]/tblRentRoll[[#This Row],[Area_sqm]],"")</f>
        <v>141.25420333839151</v>
      </c>
      <c r="S5">
        <f>tblRentRoll[[#This Row],[Service_Charge_EUR]]+tblRentRoll[[#This Row],[Operating_Cost_EUR]]</f>
        <v>2060.9</v>
      </c>
      <c r="T5">
        <f>IF(tblRentRoll[[#This Row],[Annual_Rent_EUR]]&lt;&gt;0,tblRentRoll[[#This Row],[Annual_Rent_EUR]]-tblRentRoll[[#This Row],[Operating_Cost_EUR]], "")</f>
        <v>92316.86</v>
      </c>
      <c r="U5">
        <f ca="1">IF(AND(tblRentRoll[[#This Row],[Status]]="Occupied",tblRentRoll[[#This Row],[Lease_End]]&gt;=TODAY()),DATEDIF(TODAY(),tblRentRoll[[#This Row],[Lease_End]],"m"), 0)</f>
        <v>0</v>
      </c>
      <c r="V5" t="str">
        <f ca="1">IF(tblRentRoll[[#This Row],[Status]]&lt;&gt;"Occupied","", IF(tblRentRoll[[#This Row],[Month_to_Expiry]]&lt;=3, "0-3 Monaten",  IF(tblRentRoll[[#This Row],[Month_to_Expiry]]&lt;=6, "3-6 Monaten", IF(tblRentRoll[[#This Row],[Month_to_Expiry]]&lt;=12,"6-12 Monaten", IF(tblRentRoll[[#This Row],[Month_to_Expiry]]&gt;=12, "12 M+",)))))</f>
        <v>0-3 Monaten</v>
      </c>
      <c r="W5">
        <f>IF(tblRentRoll[[#This Row],[Status]]="Vacant", tblRentRoll[[#This Row],[Area_sqm]],0)</f>
        <v>0</v>
      </c>
      <c r="X5" s="3">
        <f>IF(tblRentRoll[[#This Row],[Status]]="Occupied", tblRentRoll[[#This Row],[Area_sqm]],0)</f>
        <v>659</v>
      </c>
      <c r="Y5" s="3">
        <f ca="1">tblRentRoll[[#This Row],[Month_to_Expiry]]/12*tblRentRoll[[#This Row],[Annual_Rent_EUR]]</f>
        <v>0</v>
      </c>
      <c r="Z5" s="3"/>
    </row>
    <row r="6" spans="1:26" x14ac:dyDescent="0.35">
      <c r="A6" t="s">
        <v>27</v>
      </c>
      <c r="B6" t="s">
        <v>28</v>
      </c>
      <c r="C6" t="s">
        <v>29</v>
      </c>
      <c r="D6">
        <v>826</v>
      </c>
      <c r="E6" t="s">
        <v>15</v>
      </c>
      <c r="F6" t="s">
        <v>30</v>
      </c>
      <c r="G6">
        <v>10359.75</v>
      </c>
      <c r="H6">
        <v>124317</v>
      </c>
      <c r="I6" s="2">
        <f>tblRentRoll[[#This Row],[Monthly_Rent_EUR]]*12</f>
        <v>124317</v>
      </c>
      <c r="J6" s="2" t="str">
        <f>IF(tblRentRoll[[#This Row],[Annual_Rent_EUR]]&lt;&gt;tblRentRoll[[#This Row],[Jahresrente_EUR]], "FALSCH", "")</f>
        <v/>
      </c>
      <c r="K6" s="1">
        <v>44436</v>
      </c>
      <c r="L6" s="1">
        <v>46209</v>
      </c>
      <c r="M6">
        <v>2093.1</v>
      </c>
      <c r="N6">
        <v>766.61</v>
      </c>
      <c r="O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 t="str">
        <f>IF(tblRentRoll[[#This Row],[Area_sqm]]&lt;=0,"Area&lt;=0","")</f>
        <v/>
      </c>
      <c r="Q6" t="str">
        <f>IF(tblRentRoll[[#This Row],[Monthly_Rent_EUR]]&lt;=0,"Rent&lt;=0","")</f>
        <v/>
      </c>
      <c r="R6">
        <f>IF(AND(tblRentRoll[[#This Row],[Status]]="Occupied", tblRentRoll[[#This Row],[Area_sqm]]&gt;0), tblRentRoll[[#This Row],[Annual_Rent_EUR]]/tblRentRoll[[#This Row],[Area_sqm]],"")</f>
        <v>150.50484261501211</v>
      </c>
      <c r="S6">
        <f>tblRentRoll[[#This Row],[Service_Charge_EUR]]+tblRentRoll[[#This Row],[Operating_Cost_EUR]]</f>
        <v>2859.71</v>
      </c>
      <c r="T6">
        <f>IF(tblRentRoll[[#This Row],[Annual_Rent_EUR]]&lt;&gt;0,tblRentRoll[[#This Row],[Annual_Rent_EUR]]-tblRentRoll[[#This Row],[Operating_Cost_EUR]], "")</f>
        <v>123550.39</v>
      </c>
      <c r="U6">
        <f ca="1">IF(AND(tblRentRoll[[#This Row],[Status]]="Occupied",tblRentRoll[[#This Row],[Lease_End]]&gt;=TODAY()),DATEDIF(TODAY(),tblRentRoll[[#This Row],[Lease_End]],"m"), 0)</f>
        <v>3</v>
      </c>
      <c r="V6" t="str">
        <f ca="1">IF(tblRentRoll[[#This Row],[Status]]&lt;&gt;"Occupied","", IF(tblRentRoll[[#This Row],[Month_to_Expiry]]&lt;=3, "0-3 Monaten",  IF(tblRentRoll[[#This Row],[Month_to_Expiry]]&lt;=6, "3-6 Monaten", IF(tblRentRoll[[#This Row],[Month_to_Expiry]]&lt;=12,"6-12 Monaten", IF(tblRentRoll[[#This Row],[Month_to_Expiry]]&gt;=12, "12 M+",)))))</f>
        <v>0-3 Monaten</v>
      </c>
      <c r="W6">
        <f>IF(tblRentRoll[[#This Row],[Status]]="Vacant", tblRentRoll[[#This Row],[Area_sqm]],0)</f>
        <v>0</v>
      </c>
      <c r="X6" s="3">
        <f>IF(tblRentRoll[[#This Row],[Status]]="Occupied", tblRentRoll[[#This Row],[Area_sqm]],0)</f>
        <v>826</v>
      </c>
      <c r="Y6" s="3">
        <f ca="1">tblRentRoll[[#This Row],[Month_to_Expiry]]/12*tblRentRoll[[#This Row],[Annual_Rent_EUR]]</f>
        <v>31079.25</v>
      </c>
      <c r="Z6" s="3"/>
    </row>
    <row r="7" spans="1:26" x14ac:dyDescent="0.35">
      <c r="A7" t="s">
        <v>31</v>
      </c>
      <c r="B7" t="s">
        <v>32</v>
      </c>
      <c r="C7" t="s">
        <v>33</v>
      </c>
      <c r="D7">
        <v>482</v>
      </c>
      <c r="E7" t="s">
        <v>20</v>
      </c>
      <c r="G7">
        <v>0</v>
      </c>
      <c r="H7">
        <v>0</v>
      </c>
      <c r="I7" s="2">
        <f>tblRentRoll[[#This Row],[Monthly_Rent_EUR]]*12</f>
        <v>0</v>
      </c>
      <c r="J7" s="2" t="str">
        <f>IF(tblRentRoll[[#This Row],[Annual_Rent_EUR]]&lt;&gt;tblRentRoll[[#This Row],[Jahresrente_EUR]], "FALSCH", "")</f>
        <v/>
      </c>
      <c r="M7">
        <v>913.83</v>
      </c>
      <c r="N7">
        <v>1004.86</v>
      </c>
      <c r="O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 t="str">
        <f>IF(tblRentRoll[[#This Row],[Area_sqm]]&lt;=0,"Area&lt;=0","")</f>
        <v/>
      </c>
      <c r="Q7" t="str">
        <f>IF(tblRentRoll[[#This Row],[Monthly_Rent_EUR]]&lt;=0,"Rent&lt;=0","")</f>
        <v>Rent&lt;=0</v>
      </c>
      <c r="R7" t="str">
        <f>IF(AND(tblRentRoll[[#This Row],[Status]]="Occupied", tblRentRoll[[#This Row],[Area_sqm]]&gt;0), tblRentRoll[[#This Row],[Annual_Rent_EUR]]/tblRentRoll[[#This Row],[Area_sqm]],"")</f>
        <v/>
      </c>
      <c r="S7">
        <f>tblRentRoll[[#This Row],[Service_Charge_EUR]]+tblRentRoll[[#This Row],[Operating_Cost_EUR]]</f>
        <v>1918.69</v>
      </c>
      <c r="T7" t="str">
        <f>IF(tblRentRoll[[#This Row],[Annual_Rent_EUR]]&lt;&gt;0,tblRentRoll[[#This Row],[Annual_Rent_EUR]]-tblRentRoll[[#This Row],[Operating_Cost_EUR]], "")</f>
        <v/>
      </c>
      <c r="U7">
        <f ca="1">IF(AND(tblRentRoll[[#This Row],[Status]]="Occupied",tblRentRoll[[#This Row],[Lease_End]]&gt;=TODAY()),DATEDIF(TODAY(),tblRentRoll[[#This Row],[Lease_End]],"m"), 0)</f>
        <v>0</v>
      </c>
      <c r="V7" t="str">
        <f>IF(tblRentRoll[[#This Row],[Status]]&lt;&gt;"Occupied","", IF(tblRentRoll[[#This Row],[Month_to_Expiry]]&lt;=3, "0-3 Monaten",  IF(tblRentRoll[[#This Row],[Month_to_Expiry]]&lt;=6, "3-6 Monaten", IF(tblRentRoll[[#This Row],[Month_to_Expiry]]&lt;=12,"6-12 Monaten", IF(tblRentRoll[[#This Row],[Month_to_Expiry]]&gt;=12, "12 M+",)))))</f>
        <v/>
      </c>
      <c r="W7">
        <f>IF(tblRentRoll[[#This Row],[Status]]="Vacant", tblRentRoll[[#This Row],[Area_sqm]],0)</f>
        <v>482</v>
      </c>
      <c r="X7" s="3">
        <f>IF(tblRentRoll[[#This Row],[Status]]="Occupied", tblRentRoll[[#This Row],[Area_sqm]],0)</f>
        <v>0</v>
      </c>
      <c r="Y7" s="3">
        <f ca="1">tblRentRoll[[#This Row],[Month_to_Expiry]]/12*tblRentRoll[[#This Row],[Annual_Rent_EUR]]</f>
        <v>0</v>
      </c>
      <c r="Z7" s="3"/>
    </row>
    <row r="8" spans="1:26" x14ac:dyDescent="0.35">
      <c r="A8" t="s">
        <v>31</v>
      </c>
      <c r="B8" t="s">
        <v>34</v>
      </c>
      <c r="C8" t="s">
        <v>19</v>
      </c>
      <c r="D8">
        <v>1358</v>
      </c>
      <c r="E8" t="s">
        <v>15</v>
      </c>
      <c r="F8" t="s">
        <v>35</v>
      </c>
      <c r="G8">
        <v>23528.639999999999</v>
      </c>
      <c r="H8">
        <v>282343.67999999999</v>
      </c>
      <c r="I8" s="2">
        <f>tblRentRoll[[#This Row],[Monthly_Rent_EUR]]*12</f>
        <v>282343.67999999999</v>
      </c>
      <c r="J8" s="2" t="str">
        <f>IF(tblRentRoll[[#This Row],[Annual_Rent_EUR]]&lt;&gt;tblRentRoll[[#This Row],[Jahresrente_EUR]], "FALSCH", "")</f>
        <v/>
      </c>
      <c r="K8" s="1">
        <v>45044</v>
      </c>
      <c r="L8" s="1">
        <v>46181</v>
      </c>
      <c r="M8">
        <v>1782.23</v>
      </c>
      <c r="N8">
        <v>1177.76</v>
      </c>
      <c r="O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 t="str">
        <f>IF(tblRentRoll[[#This Row],[Area_sqm]]&lt;=0,"Area&lt;=0","")</f>
        <v/>
      </c>
      <c r="Q8" t="str">
        <f>IF(tblRentRoll[[#This Row],[Monthly_Rent_EUR]]&lt;=0,"Rent&lt;=0","")</f>
        <v/>
      </c>
      <c r="R8">
        <f>IF(AND(tblRentRoll[[#This Row],[Status]]="Occupied", tblRentRoll[[#This Row],[Area_sqm]]&gt;0), tblRentRoll[[#This Row],[Annual_Rent_EUR]]/tblRentRoll[[#This Row],[Area_sqm]],"")</f>
        <v>207.91139911634755</v>
      </c>
      <c r="S8">
        <f>tblRentRoll[[#This Row],[Service_Charge_EUR]]+tblRentRoll[[#This Row],[Operating_Cost_EUR]]</f>
        <v>2959.99</v>
      </c>
      <c r="T8">
        <f>IF(tblRentRoll[[#This Row],[Annual_Rent_EUR]]&lt;&gt;0,tblRentRoll[[#This Row],[Annual_Rent_EUR]]-tblRentRoll[[#This Row],[Operating_Cost_EUR]], "")</f>
        <v>281165.92</v>
      </c>
      <c r="U8">
        <f ca="1">IF(AND(tblRentRoll[[#This Row],[Status]]="Occupied",tblRentRoll[[#This Row],[Lease_End]]&gt;=TODAY()),DATEDIF(TODAY(),tblRentRoll[[#This Row],[Lease_End]],"m"), 0)</f>
        <v>2</v>
      </c>
      <c r="V8" t="str">
        <f ca="1">IF(tblRentRoll[[#This Row],[Status]]&lt;&gt;"Occupied","", IF(tblRentRoll[[#This Row],[Month_to_Expiry]]&lt;=3, "0-3 Monaten",  IF(tblRentRoll[[#This Row],[Month_to_Expiry]]&lt;=6, "3-6 Monaten", IF(tblRentRoll[[#This Row],[Month_to_Expiry]]&lt;=12,"6-12 Monaten", IF(tblRentRoll[[#This Row],[Month_to_Expiry]]&gt;=12, "12 M+",)))))</f>
        <v>0-3 Monaten</v>
      </c>
      <c r="W8">
        <f>IF(tblRentRoll[[#This Row],[Status]]="Vacant", tblRentRoll[[#This Row],[Area_sqm]],0)</f>
        <v>0</v>
      </c>
      <c r="X8" s="3">
        <f>IF(tblRentRoll[[#This Row],[Status]]="Occupied", tblRentRoll[[#This Row],[Area_sqm]],0)</f>
        <v>1358</v>
      </c>
      <c r="Y8" s="3">
        <f ca="1">tblRentRoll[[#This Row],[Month_to_Expiry]]/12*tblRentRoll[[#This Row],[Annual_Rent_EUR]]</f>
        <v>47057.279999999999</v>
      </c>
      <c r="Z8" s="3"/>
    </row>
    <row r="9" spans="1:26" x14ac:dyDescent="0.35">
      <c r="A9" t="s">
        <v>21</v>
      </c>
      <c r="B9" t="s">
        <v>36</v>
      </c>
      <c r="C9" t="s">
        <v>29</v>
      </c>
      <c r="D9">
        <v>319</v>
      </c>
      <c r="E9" t="s">
        <v>15</v>
      </c>
      <c r="F9" t="s">
        <v>37</v>
      </c>
      <c r="G9">
        <v>5107.1499999999996</v>
      </c>
      <c r="H9">
        <v>61285.8</v>
      </c>
      <c r="I9" s="2">
        <f>tblRentRoll[[#This Row],[Monthly_Rent_EUR]]*12</f>
        <v>61285.799999999996</v>
      </c>
      <c r="J9" s="2" t="str">
        <f>IF(tblRentRoll[[#This Row],[Annual_Rent_EUR]]&lt;&gt;tblRentRoll[[#This Row],[Jahresrente_EUR]], "FALSCH", "")</f>
        <v/>
      </c>
      <c r="K9" s="1">
        <v>44377</v>
      </c>
      <c r="L9" s="1">
        <v>44757</v>
      </c>
      <c r="M9">
        <v>849.14</v>
      </c>
      <c r="N9">
        <v>729.67</v>
      </c>
      <c r="O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 t="str">
        <f>IF(tblRentRoll[[#This Row],[Area_sqm]]&lt;=0,"Area&lt;=0","")</f>
        <v/>
      </c>
      <c r="Q9" t="str">
        <f>IF(tblRentRoll[[#This Row],[Monthly_Rent_EUR]]&lt;=0,"Rent&lt;=0","")</f>
        <v/>
      </c>
      <c r="R9">
        <f>IF(AND(tblRentRoll[[#This Row],[Status]]="Occupied", tblRentRoll[[#This Row],[Area_sqm]]&gt;0), tblRentRoll[[#This Row],[Annual_Rent_EUR]]/tblRentRoll[[#This Row],[Area_sqm]],"")</f>
        <v>192.11849529780565</v>
      </c>
      <c r="S9">
        <f>tblRentRoll[[#This Row],[Service_Charge_EUR]]+tblRentRoll[[#This Row],[Operating_Cost_EUR]]</f>
        <v>1578.81</v>
      </c>
      <c r="T9">
        <f>IF(tblRentRoll[[#This Row],[Annual_Rent_EUR]]&lt;&gt;0,tblRentRoll[[#This Row],[Annual_Rent_EUR]]-tblRentRoll[[#This Row],[Operating_Cost_EUR]], "")</f>
        <v>60556.130000000005</v>
      </c>
      <c r="U9">
        <f ca="1">IF(AND(tblRentRoll[[#This Row],[Status]]="Occupied",tblRentRoll[[#This Row],[Lease_End]]&gt;=TODAY()),DATEDIF(TODAY(),tblRentRoll[[#This Row],[Lease_End]],"m"), 0)</f>
        <v>0</v>
      </c>
      <c r="V9" t="str">
        <f ca="1">IF(tblRentRoll[[#This Row],[Status]]&lt;&gt;"Occupied","", IF(tblRentRoll[[#This Row],[Month_to_Expiry]]&lt;=3, "0-3 Monaten",  IF(tblRentRoll[[#This Row],[Month_to_Expiry]]&lt;=6, "3-6 Monaten", IF(tblRentRoll[[#This Row],[Month_to_Expiry]]&lt;=12,"6-12 Monaten", IF(tblRentRoll[[#This Row],[Month_to_Expiry]]&gt;=12, "12 M+",)))))</f>
        <v>0-3 Monaten</v>
      </c>
      <c r="W9">
        <f>IF(tblRentRoll[[#This Row],[Status]]="Vacant", tblRentRoll[[#This Row],[Area_sqm]],0)</f>
        <v>0</v>
      </c>
      <c r="X9" s="3">
        <f>IF(tblRentRoll[[#This Row],[Status]]="Occupied", tblRentRoll[[#This Row],[Area_sqm]],0)</f>
        <v>319</v>
      </c>
      <c r="Y9" s="3">
        <f ca="1">tblRentRoll[[#This Row],[Month_to_Expiry]]/12*tblRentRoll[[#This Row],[Annual_Rent_EUR]]</f>
        <v>0</v>
      </c>
      <c r="Z9" s="3"/>
    </row>
    <row r="10" spans="1:26" x14ac:dyDescent="0.35">
      <c r="A10" t="s">
        <v>12</v>
      </c>
      <c r="B10" t="s">
        <v>38</v>
      </c>
      <c r="C10" t="s">
        <v>33</v>
      </c>
      <c r="D10">
        <v>744</v>
      </c>
      <c r="E10" t="s">
        <v>15</v>
      </c>
      <c r="F10" t="s">
        <v>39</v>
      </c>
      <c r="G10">
        <v>7237.57</v>
      </c>
      <c r="H10">
        <v>86850.84</v>
      </c>
      <c r="I10" s="2">
        <f>tblRentRoll[[#This Row],[Monthly_Rent_EUR]]*12</f>
        <v>86850.84</v>
      </c>
      <c r="J10" s="2" t="str">
        <f>IF(tblRentRoll[[#This Row],[Annual_Rent_EUR]]&lt;&gt;tblRentRoll[[#This Row],[Jahresrente_EUR]], "FALSCH", "")</f>
        <v/>
      </c>
      <c r="K10" s="1">
        <v>44351</v>
      </c>
      <c r="L10" s="1">
        <v>45778</v>
      </c>
      <c r="M10">
        <v>2153.19</v>
      </c>
      <c r="N10">
        <v>1468.13</v>
      </c>
      <c r="O1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 t="str">
        <f>IF(tblRentRoll[[#This Row],[Area_sqm]]&lt;=0,"Area&lt;=0","")</f>
        <v/>
      </c>
      <c r="Q10" t="str">
        <f>IF(tblRentRoll[[#This Row],[Monthly_Rent_EUR]]&lt;=0,"Rent&lt;=0","")</f>
        <v/>
      </c>
      <c r="R10">
        <f>IF(AND(tblRentRoll[[#This Row],[Status]]="Occupied", tblRentRoll[[#This Row],[Area_sqm]]&gt;0), tblRentRoll[[#This Row],[Annual_Rent_EUR]]/tblRentRoll[[#This Row],[Area_sqm]],"")</f>
        <v>116.735</v>
      </c>
      <c r="S10">
        <f>tblRentRoll[[#This Row],[Service_Charge_EUR]]+tblRentRoll[[#This Row],[Operating_Cost_EUR]]</f>
        <v>3621.32</v>
      </c>
      <c r="T10">
        <f>IF(tblRentRoll[[#This Row],[Annual_Rent_EUR]]&lt;&gt;0,tblRentRoll[[#This Row],[Annual_Rent_EUR]]-tblRentRoll[[#This Row],[Operating_Cost_EUR]], "")</f>
        <v>85382.709999999992</v>
      </c>
      <c r="U10">
        <f ca="1">IF(AND(tblRentRoll[[#This Row],[Status]]="Occupied",tblRentRoll[[#This Row],[Lease_End]]&gt;=TODAY()),DATEDIF(TODAY(),tblRentRoll[[#This Row],[Lease_End]],"m"), 0)</f>
        <v>0</v>
      </c>
      <c r="V10" t="str">
        <f ca="1">IF(tblRentRoll[[#This Row],[Status]]&lt;&gt;"Occupied","", IF(tblRentRoll[[#This Row],[Month_to_Expiry]]&lt;=3, "0-3 Monaten",  IF(tblRentRoll[[#This Row],[Month_to_Expiry]]&lt;=6, "3-6 Monaten", IF(tblRentRoll[[#This Row],[Month_to_Expiry]]&lt;=12,"6-12 Monaten", IF(tblRentRoll[[#This Row],[Month_to_Expiry]]&gt;=12, "12 M+",)))))</f>
        <v>0-3 Monaten</v>
      </c>
      <c r="W10">
        <f>IF(tblRentRoll[[#This Row],[Status]]="Vacant", tblRentRoll[[#This Row],[Area_sqm]],0)</f>
        <v>0</v>
      </c>
      <c r="X10" s="3">
        <f>IF(tblRentRoll[[#This Row],[Status]]="Occupied", tblRentRoll[[#This Row],[Area_sqm]],0)</f>
        <v>744</v>
      </c>
      <c r="Y10" s="3">
        <f ca="1">tblRentRoll[[#This Row],[Month_to_Expiry]]/12*tblRentRoll[[#This Row],[Annual_Rent_EUR]]</f>
        <v>0</v>
      </c>
      <c r="Z10" s="3"/>
    </row>
    <row r="11" spans="1:26" x14ac:dyDescent="0.35">
      <c r="A11" t="s">
        <v>24</v>
      </c>
      <c r="B11" t="s">
        <v>40</v>
      </c>
      <c r="C11" t="s">
        <v>14</v>
      </c>
      <c r="D11">
        <v>1453</v>
      </c>
      <c r="E11" t="s">
        <v>15</v>
      </c>
      <c r="F11" t="s">
        <v>41</v>
      </c>
      <c r="G11">
        <v>9945.89</v>
      </c>
      <c r="H11">
        <v>119350.68</v>
      </c>
      <c r="I11" s="2">
        <f>tblRentRoll[[#This Row],[Monthly_Rent_EUR]]*12</f>
        <v>119350.68</v>
      </c>
      <c r="J11" s="2" t="str">
        <f>IF(tblRentRoll[[#This Row],[Annual_Rent_EUR]]&lt;&gt;tblRentRoll[[#This Row],[Jahresrente_EUR]], "FALSCH", "")</f>
        <v/>
      </c>
      <c r="K11" s="1">
        <v>44495</v>
      </c>
      <c r="L11" s="1">
        <v>45446</v>
      </c>
      <c r="M11">
        <v>2246.36</v>
      </c>
      <c r="N11">
        <v>1532.69</v>
      </c>
      <c r="O1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 t="str">
        <f>IF(tblRentRoll[[#This Row],[Area_sqm]]&lt;=0,"Area&lt;=0","")</f>
        <v/>
      </c>
      <c r="Q11" t="str">
        <f>IF(tblRentRoll[[#This Row],[Monthly_Rent_EUR]]&lt;=0,"Rent&lt;=0","")</f>
        <v/>
      </c>
      <c r="R11">
        <f>IF(AND(tblRentRoll[[#This Row],[Status]]="Occupied", tblRentRoll[[#This Row],[Area_sqm]]&gt;0), tblRentRoll[[#This Row],[Annual_Rent_EUR]]/tblRentRoll[[#This Row],[Area_sqm]],"")</f>
        <v>82.140867171369578</v>
      </c>
      <c r="S11">
        <f>tblRentRoll[[#This Row],[Service_Charge_EUR]]+tblRentRoll[[#This Row],[Operating_Cost_EUR]]</f>
        <v>3779.05</v>
      </c>
      <c r="T11">
        <f>IF(tblRentRoll[[#This Row],[Annual_Rent_EUR]]&lt;&gt;0,tblRentRoll[[#This Row],[Annual_Rent_EUR]]-tblRentRoll[[#This Row],[Operating_Cost_EUR]], "")</f>
        <v>117817.98999999999</v>
      </c>
      <c r="U11">
        <f ca="1">IF(AND(tblRentRoll[[#This Row],[Status]]="Occupied",tblRentRoll[[#This Row],[Lease_End]]&gt;=TODAY()),DATEDIF(TODAY(),tblRentRoll[[#This Row],[Lease_End]],"m"), 0)</f>
        <v>0</v>
      </c>
      <c r="V11" t="str">
        <f ca="1">IF(tblRentRoll[[#This Row],[Status]]&lt;&gt;"Occupied","", IF(tblRentRoll[[#This Row],[Month_to_Expiry]]&lt;=3, "0-3 Monaten",  IF(tblRentRoll[[#This Row],[Month_to_Expiry]]&lt;=6, "3-6 Monaten", IF(tblRentRoll[[#This Row],[Month_to_Expiry]]&lt;=12,"6-12 Monaten", IF(tblRentRoll[[#This Row],[Month_to_Expiry]]&gt;=12, "12 M+",)))))</f>
        <v>0-3 Monaten</v>
      </c>
      <c r="W11">
        <f>IF(tblRentRoll[[#This Row],[Status]]="Vacant", tblRentRoll[[#This Row],[Area_sqm]],0)</f>
        <v>0</v>
      </c>
      <c r="X11" s="3">
        <f>IF(tblRentRoll[[#This Row],[Status]]="Occupied", tblRentRoll[[#This Row],[Area_sqm]],0)</f>
        <v>1453</v>
      </c>
      <c r="Y11" s="3">
        <f ca="1">tblRentRoll[[#This Row],[Month_to_Expiry]]/12*tblRentRoll[[#This Row],[Annual_Rent_EUR]]</f>
        <v>0</v>
      </c>
      <c r="Z11" s="3"/>
    </row>
    <row r="12" spans="1:26" x14ac:dyDescent="0.35">
      <c r="A12" t="s">
        <v>12</v>
      </c>
      <c r="B12" t="s">
        <v>42</v>
      </c>
      <c r="C12" t="s">
        <v>33</v>
      </c>
      <c r="D12">
        <v>174</v>
      </c>
      <c r="E12" t="s">
        <v>15</v>
      </c>
      <c r="F12" t="s">
        <v>43</v>
      </c>
      <c r="G12">
        <v>2991.69</v>
      </c>
      <c r="H12">
        <v>35900.28</v>
      </c>
      <c r="I12" s="2">
        <f>tblRentRoll[[#This Row],[Monthly_Rent_EUR]]*12</f>
        <v>35900.28</v>
      </c>
      <c r="J12" s="2" t="str">
        <f>IF(tblRentRoll[[#This Row],[Annual_Rent_EUR]]&lt;&gt;tblRentRoll[[#This Row],[Jahresrente_EUR]], "FALSCH", "")</f>
        <v/>
      </c>
      <c r="K12" s="1">
        <v>44398</v>
      </c>
      <c r="L12" s="1">
        <v>44925</v>
      </c>
      <c r="M12">
        <v>419.85</v>
      </c>
      <c r="N12">
        <v>310.98</v>
      </c>
      <c r="O1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 t="str">
        <f>IF(tblRentRoll[[#This Row],[Area_sqm]]&lt;=0,"Area&lt;=0","")</f>
        <v/>
      </c>
      <c r="Q12" t="str">
        <f>IF(tblRentRoll[[#This Row],[Monthly_Rent_EUR]]&lt;=0,"Rent&lt;=0","")</f>
        <v/>
      </c>
      <c r="R12">
        <f>IF(AND(tblRentRoll[[#This Row],[Status]]="Occupied", tblRentRoll[[#This Row],[Area_sqm]]&gt;0), tblRentRoll[[#This Row],[Annual_Rent_EUR]]/tblRentRoll[[#This Row],[Area_sqm]],"")</f>
        <v>206.32344827586206</v>
      </c>
      <c r="S12">
        <f>tblRentRoll[[#This Row],[Service_Charge_EUR]]+tblRentRoll[[#This Row],[Operating_Cost_EUR]]</f>
        <v>730.83</v>
      </c>
      <c r="T12">
        <f>IF(tblRentRoll[[#This Row],[Annual_Rent_EUR]]&lt;&gt;0,tblRentRoll[[#This Row],[Annual_Rent_EUR]]-tblRentRoll[[#This Row],[Operating_Cost_EUR]], "")</f>
        <v>35589.299999999996</v>
      </c>
      <c r="U12">
        <f ca="1">IF(AND(tblRentRoll[[#This Row],[Status]]="Occupied",tblRentRoll[[#This Row],[Lease_End]]&gt;=TODAY()),DATEDIF(TODAY(),tblRentRoll[[#This Row],[Lease_End]],"m"), 0)</f>
        <v>0</v>
      </c>
      <c r="V12" t="str">
        <f ca="1">IF(tblRentRoll[[#This Row],[Status]]&lt;&gt;"Occupied","", IF(tblRentRoll[[#This Row],[Month_to_Expiry]]&lt;=3, "0-3 Monaten",  IF(tblRentRoll[[#This Row],[Month_to_Expiry]]&lt;=6, "3-6 Monaten", IF(tblRentRoll[[#This Row],[Month_to_Expiry]]&lt;=12,"6-12 Monaten", IF(tblRentRoll[[#This Row],[Month_to_Expiry]]&gt;=12, "12 M+",)))))</f>
        <v>0-3 Monaten</v>
      </c>
      <c r="W12">
        <f>IF(tblRentRoll[[#This Row],[Status]]="Vacant", tblRentRoll[[#This Row],[Area_sqm]],0)</f>
        <v>0</v>
      </c>
      <c r="X12" s="3">
        <f>IF(tblRentRoll[[#This Row],[Status]]="Occupied", tblRentRoll[[#This Row],[Area_sqm]],0)</f>
        <v>174</v>
      </c>
      <c r="Y12" s="3">
        <f ca="1">tblRentRoll[[#This Row],[Month_to_Expiry]]/12*tblRentRoll[[#This Row],[Annual_Rent_EUR]]</f>
        <v>0</v>
      </c>
      <c r="Z12" s="3"/>
    </row>
    <row r="13" spans="1:26" x14ac:dyDescent="0.35">
      <c r="A13" t="s">
        <v>44</v>
      </c>
      <c r="B13" t="s">
        <v>45</v>
      </c>
      <c r="C13" t="s">
        <v>33</v>
      </c>
      <c r="D13">
        <v>1202</v>
      </c>
      <c r="E13" t="s">
        <v>15</v>
      </c>
      <c r="F13" t="s">
        <v>46</v>
      </c>
      <c r="G13">
        <v>7302.78</v>
      </c>
      <c r="H13">
        <v>87633.36</v>
      </c>
      <c r="I13" s="2">
        <f>tblRentRoll[[#This Row],[Monthly_Rent_EUR]]*12</f>
        <v>87633.36</v>
      </c>
      <c r="J13" s="2" t="str">
        <f>IF(tblRentRoll[[#This Row],[Annual_Rent_EUR]]&lt;&gt;tblRentRoll[[#This Row],[Jahresrente_EUR]], "FALSCH", "")</f>
        <v/>
      </c>
      <c r="K13" s="1">
        <v>44538</v>
      </c>
      <c r="L13" s="1">
        <v>44861</v>
      </c>
      <c r="M13">
        <v>1807.96</v>
      </c>
      <c r="N13">
        <v>1254.6600000000001</v>
      </c>
      <c r="O1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 t="str">
        <f>IF(tblRentRoll[[#This Row],[Area_sqm]]&lt;=0,"Area&lt;=0","")</f>
        <v/>
      </c>
      <c r="Q13" t="str">
        <f>IF(tblRentRoll[[#This Row],[Monthly_Rent_EUR]]&lt;=0,"Rent&lt;=0","")</f>
        <v/>
      </c>
      <c r="R13">
        <f>IF(AND(tblRentRoll[[#This Row],[Status]]="Occupied", tblRentRoll[[#This Row],[Area_sqm]]&gt;0), tblRentRoll[[#This Row],[Annual_Rent_EUR]]/tblRentRoll[[#This Row],[Area_sqm]],"")</f>
        <v>72.906289517470881</v>
      </c>
      <c r="S13">
        <f>tblRentRoll[[#This Row],[Service_Charge_EUR]]+tblRentRoll[[#This Row],[Operating_Cost_EUR]]</f>
        <v>3062.62</v>
      </c>
      <c r="T13">
        <f>IF(tblRentRoll[[#This Row],[Annual_Rent_EUR]]&lt;&gt;0,tblRentRoll[[#This Row],[Annual_Rent_EUR]]-tblRentRoll[[#This Row],[Operating_Cost_EUR]], "")</f>
        <v>86378.7</v>
      </c>
      <c r="U13">
        <f ca="1">IF(AND(tblRentRoll[[#This Row],[Status]]="Occupied",tblRentRoll[[#This Row],[Lease_End]]&gt;=TODAY()),DATEDIF(TODAY(),tblRentRoll[[#This Row],[Lease_End]],"m"), 0)</f>
        <v>0</v>
      </c>
      <c r="V13" t="str">
        <f ca="1">IF(tblRentRoll[[#This Row],[Status]]&lt;&gt;"Occupied","", IF(tblRentRoll[[#This Row],[Month_to_Expiry]]&lt;=3, "0-3 Monaten",  IF(tblRentRoll[[#This Row],[Month_to_Expiry]]&lt;=6, "3-6 Monaten", IF(tblRentRoll[[#This Row],[Month_to_Expiry]]&lt;=12,"6-12 Monaten", IF(tblRentRoll[[#This Row],[Month_to_Expiry]]&gt;=12, "12 M+",)))))</f>
        <v>0-3 Monaten</v>
      </c>
      <c r="W13">
        <f>IF(tblRentRoll[[#This Row],[Status]]="Vacant", tblRentRoll[[#This Row],[Area_sqm]],0)</f>
        <v>0</v>
      </c>
      <c r="X13" s="3">
        <f>IF(tblRentRoll[[#This Row],[Status]]="Occupied", tblRentRoll[[#This Row],[Area_sqm]],0)</f>
        <v>1202</v>
      </c>
      <c r="Y13" s="3">
        <f ca="1">tblRentRoll[[#This Row],[Month_to_Expiry]]/12*tblRentRoll[[#This Row],[Annual_Rent_EUR]]</f>
        <v>0</v>
      </c>
      <c r="Z13" s="3"/>
    </row>
    <row r="14" spans="1:26" x14ac:dyDescent="0.35">
      <c r="A14" t="s">
        <v>44</v>
      </c>
      <c r="B14" t="s">
        <v>47</v>
      </c>
      <c r="C14" t="s">
        <v>33</v>
      </c>
      <c r="D14">
        <v>215</v>
      </c>
      <c r="E14" t="s">
        <v>15</v>
      </c>
      <c r="F14" t="s">
        <v>48</v>
      </c>
      <c r="G14">
        <v>2746.09</v>
      </c>
      <c r="H14">
        <v>32953.08</v>
      </c>
      <c r="I14" s="2">
        <f>tblRentRoll[[#This Row],[Monthly_Rent_EUR]]*12</f>
        <v>32953.08</v>
      </c>
      <c r="J14" s="2" t="str">
        <f>IF(tblRentRoll[[#This Row],[Annual_Rent_EUR]]&lt;&gt;tblRentRoll[[#This Row],[Jahresrente_EUR]], "FALSCH", "")</f>
        <v/>
      </c>
      <c r="K14" s="1">
        <v>44993</v>
      </c>
      <c r="L14" s="1">
        <v>46585</v>
      </c>
      <c r="M14">
        <v>457.27</v>
      </c>
      <c r="N14">
        <v>453.52</v>
      </c>
      <c r="O1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 t="str">
        <f>IF(tblRentRoll[[#This Row],[Area_sqm]]&lt;=0,"Area&lt;=0","")</f>
        <v/>
      </c>
      <c r="Q14" t="str">
        <f>IF(tblRentRoll[[#This Row],[Monthly_Rent_EUR]]&lt;=0,"Rent&lt;=0","")</f>
        <v/>
      </c>
      <c r="R14">
        <f>IF(AND(tblRentRoll[[#This Row],[Status]]="Occupied", tblRentRoll[[#This Row],[Area_sqm]]&gt;0), tblRentRoll[[#This Row],[Annual_Rent_EUR]]/tblRentRoll[[#This Row],[Area_sqm]],"")</f>
        <v>153.27013953488373</v>
      </c>
      <c r="S14">
        <f>tblRentRoll[[#This Row],[Service_Charge_EUR]]+tblRentRoll[[#This Row],[Operating_Cost_EUR]]</f>
        <v>910.79</v>
      </c>
      <c r="T14">
        <f>IF(tblRentRoll[[#This Row],[Annual_Rent_EUR]]&lt;&gt;0,tblRentRoll[[#This Row],[Annual_Rent_EUR]]-tblRentRoll[[#This Row],[Operating_Cost_EUR]], "")</f>
        <v>32499.56</v>
      </c>
      <c r="U14">
        <f ca="1">IF(AND(tblRentRoll[[#This Row],[Status]]="Occupied",tblRentRoll[[#This Row],[Lease_End]]&gt;=TODAY()),DATEDIF(TODAY(),tblRentRoll[[#This Row],[Lease_End]],"m"), 0)</f>
        <v>16</v>
      </c>
      <c r="V14" t="str">
        <f ca="1">IF(tblRentRoll[[#This Row],[Status]]&lt;&gt;"Occupied","", IF(tblRentRoll[[#This Row],[Month_to_Expiry]]&lt;=3, "0-3 Monaten",  IF(tblRentRoll[[#This Row],[Month_to_Expiry]]&lt;=6, "3-6 Monaten", IF(tblRentRoll[[#This Row],[Month_to_Expiry]]&lt;=12,"6-12 Monaten", IF(tblRentRoll[[#This Row],[Month_to_Expiry]]&gt;=12, "12 M+",)))))</f>
        <v>12 M+</v>
      </c>
      <c r="W14">
        <f>IF(tblRentRoll[[#This Row],[Status]]="Vacant", tblRentRoll[[#This Row],[Area_sqm]],0)</f>
        <v>0</v>
      </c>
      <c r="X14" s="3">
        <f>IF(tblRentRoll[[#This Row],[Status]]="Occupied", tblRentRoll[[#This Row],[Area_sqm]],0)</f>
        <v>215</v>
      </c>
      <c r="Y14" s="3">
        <f ca="1">tblRentRoll[[#This Row],[Month_to_Expiry]]/12*tblRentRoll[[#This Row],[Annual_Rent_EUR]]</f>
        <v>43937.440000000002</v>
      </c>
      <c r="Z14" s="3"/>
    </row>
    <row r="15" spans="1:26" x14ac:dyDescent="0.35">
      <c r="A15" t="s">
        <v>12</v>
      </c>
      <c r="B15" t="s">
        <v>49</v>
      </c>
      <c r="C15" t="s">
        <v>19</v>
      </c>
      <c r="D15">
        <v>1379</v>
      </c>
      <c r="E15" t="s">
        <v>15</v>
      </c>
      <c r="F15" t="s">
        <v>50</v>
      </c>
      <c r="G15">
        <v>9289.85</v>
      </c>
      <c r="H15">
        <v>111478.2</v>
      </c>
      <c r="I15" s="2">
        <f>tblRentRoll[[#This Row],[Monthly_Rent_EUR]]*12</f>
        <v>111478.20000000001</v>
      </c>
      <c r="J15" s="2" t="str">
        <f>IF(tblRentRoll[[#This Row],[Annual_Rent_EUR]]&lt;&gt;tblRentRoll[[#This Row],[Jahresrente_EUR]], "FALSCH", "")</f>
        <v/>
      </c>
      <c r="K15" s="1">
        <v>44831</v>
      </c>
      <c r="L15" s="1">
        <v>45767</v>
      </c>
      <c r="M15">
        <v>2454.8200000000002</v>
      </c>
      <c r="N15">
        <v>2439.5100000000002</v>
      </c>
      <c r="O1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 t="str">
        <f>IF(tblRentRoll[[#This Row],[Area_sqm]]&lt;=0,"Area&lt;=0","")</f>
        <v/>
      </c>
      <c r="Q15" t="str">
        <f>IF(tblRentRoll[[#This Row],[Monthly_Rent_EUR]]&lt;=0,"Rent&lt;=0","")</f>
        <v/>
      </c>
      <c r="R15">
        <f>IF(AND(tblRentRoll[[#This Row],[Status]]="Occupied", tblRentRoll[[#This Row],[Area_sqm]]&gt;0), tblRentRoll[[#This Row],[Annual_Rent_EUR]]/tblRentRoll[[#This Row],[Area_sqm]],"")</f>
        <v>80.839883973894118</v>
      </c>
      <c r="S15">
        <f>tblRentRoll[[#This Row],[Service_Charge_EUR]]+tblRentRoll[[#This Row],[Operating_Cost_EUR]]</f>
        <v>4894.33</v>
      </c>
      <c r="T15">
        <f>IF(tblRentRoll[[#This Row],[Annual_Rent_EUR]]&lt;&gt;0,tblRentRoll[[#This Row],[Annual_Rent_EUR]]-tblRentRoll[[#This Row],[Operating_Cost_EUR]], "")</f>
        <v>109038.69</v>
      </c>
      <c r="U15">
        <f ca="1">IF(AND(tblRentRoll[[#This Row],[Status]]="Occupied",tblRentRoll[[#This Row],[Lease_End]]&gt;=TODAY()),DATEDIF(TODAY(),tblRentRoll[[#This Row],[Lease_End]],"m"), 0)</f>
        <v>0</v>
      </c>
      <c r="V15" t="str">
        <f ca="1">IF(tblRentRoll[[#This Row],[Status]]&lt;&gt;"Occupied","", IF(tblRentRoll[[#This Row],[Month_to_Expiry]]&lt;=3, "0-3 Monaten",  IF(tblRentRoll[[#This Row],[Month_to_Expiry]]&lt;=6, "3-6 Monaten", IF(tblRentRoll[[#This Row],[Month_to_Expiry]]&lt;=12,"6-12 Monaten", IF(tblRentRoll[[#This Row],[Month_to_Expiry]]&gt;=12, "12 M+",)))))</f>
        <v>0-3 Monaten</v>
      </c>
      <c r="W15">
        <f>IF(tblRentRoll[[#This Row],[Status]]="Vacant", tblRentRoll[[#This Row],[Area_sqm]],0)</f>
        <v>0</v>
      </c>
      <c r="X15" s="3">
        <f>IF(tblRentRoll[[#This Row],[Status]]="Occupied", tblRentRoll[[#This Row],[Area_sqm]],0)</f>
        <v>1379</v>
      </c>
      <c r="Y15" s="3">
        <f ca="1">tblRentRoll[[#This Row],[Month_to_Expiry]]/12*tblRentRoll[[#This Row],[Annual_Rent_EUR]]</f>
        <v>0</v>
      </c>
      <c r="Z15" s="3"/>
    </row>
    <row r="16" spans="1:26" x14ac:dyDescent="0.35">
      <c r="A16" t="s">
        <v>21</v>
      </c>
      <c r="B16" t="s">
        <v>51</v>
      </c>
      <c r="C16" t="s">
        <v>19</v>
      </c>
      <c r="D16">
        <v>1194</v>
      </c>
      <c r="E16" t="s">
        <v>15</v>
      </c>
      <c r="F16" t="s">
        <v>52</v>
      </c>
      <c r="G16">
        <v>21260.89</v>
      </c>
      <c r="H16">
        <v>255130.68</v>
      </c>
      <c r="I16" s="2">
        <f>tblRentRoll[[#This Row],[Monthly_Rent_EUR]]*12</f>
        <v>255130.68</v>
      </c>
      <c r="J16" s="2" t="str">
        <f>IF(tblRentRoll[[#This Row],[Annual_Rent_EUR]]&lt;&gt;tblRentRoll[[#This Row],[Jahresrente_EUR]], "FALSCH", "")</f>
        <v/>
      </c>
      <c r="K16" s="1">
        <v>45199</v>
      </c>
      <c r="L16" s="1">
        <v>46281</v>
      </c>
      <c r="M16">
        <v>3224.21</v>
      </c>
      <c r="N16">
        <v>808.23</v>
      </c>
      <c r="O1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 t="str">
        <f>IF(tblRentRoll[[#This Row],[Area_sqm]]&lt;=0,"Area&lt;=0","")</f>
        <v/>
      </c>
      <c r="Q16" t="str">
        <f>IF(tblRentRoll[[#This Row],[Monthly_Rent_EUR]]&lt;=0,"Rent&lt;=0","")</f>
        <v/>
      </c>
      <c r="R16">
        <f>IF(AND(tblRentRoll[[#This Row],[Status]]="Occupied", tblRentRoll[[#This Row],[Area_sqm]]&gt;0), tblRentRoll[[#This Row],[Annual_Rent_EUR]]/tblRentRoll[[#This Row],[Area_sqm]],"")</f>
        <v>213.6772864321608</v>
      </c>
      <c r="S16">
        <f>tblRentRoll[[#This Row],[Service_Charge_EUR]]+tblRentRoll[[#This Row],[Operating_Cost_EUR]]</f>
        <v>4032.44</v>
      </c>
      <c r="T16">
        <f>IF(tblRentRoll[[#This Row],[Annual_Rent_EUR]]&lt;&gt;0,tblRentRoll[[#This Row],[Annual_Rent_EUR]]-tblRentRoll[[#This Row],[Operating_Cost_EUR]], "")</f>
        <v>254322.44999999998</v>
      </c>
      <c r="U16">
        <f ca="1">IF(AND(tblRentRoll[[#This Row],[Status]]="Occupied",tblRentRoll[[#This Row],[Lease_End]]&gt;=TODAY()),DATEDIF(TODAY(),tblRentRoll[[#This Row],[Lease_End]],"m"), 0)</f>
        <v>6</v>
      </c>
      <c r="V16" t="str">
        <f ca="1">IF(tblRentRoll[[#This Row],[Status]]&lt;&gt;"Occupied","", IF(tblRentRoll[[#This Row],[Month_to_Expiry]]&lt;=3, "0-3 Monaten",  IF(tblRentRoll[[#This Row],[Month_to_Expiry]]&lt;=6, "3-6 Monaten", IF(tblRentRoll[[#This Row],[Month_to_Expiry]]&lt;=12,"6-12 Monaten", IF(tblRentRoll[[#This Row],[Month_to_Expiry]]&gt;=12, "12 M+",)))))</f>
        <v>3-6 Monaten</v>
      </c>
      <c r="W16">
        <f>IF(tblRentRoll[[#This Row],[Status]]="Vacant", tblRentRoll[[#This Row],[Area_sqm]],0)</f>
        <v>0</v>
      </c>
      <c r="X16" s="3">
        <f>IF(tblRentRoll[[#This Row],[Status]]="Occupied", tblRentRoll[[#This Row],[Area_sqm]],0)</f>
        <v>1194</v>
      </c>
      <c r="Y16" s="3">
        <f ca="1">tblRentRoll[[#This Row],[Month_to_Expiry]]/12*tblRentRoll[[#This Row],[Annual_Rent_EUR]]</f>
        <v>127565.34</v>
      </c>
      <c r="Z16" s="3"/>
    </row>
    <row r="17" spans="1:26" x14ac:dyDescent="0.35">
      <c r="A17" t="s">
        <v>21</v>
      </c>
      <c r="B17" t="s">
        <v>53</v>
      </c>
      <c r="C17" t="s">
        <v>14</v>
      </c>
      <c r="D17">
        <v>1216</v>
      </c>
      <c r="E17" t="s">
        <v>15</v>
      </c>
      <c r="F17" t="s">
        <v>54</v>
      </c>
      <c r="G17">
        <v>20687.509999999998</v>
      </c>
      <c r="H17">
        <v>248250.12</v>
      </c>
      <c r="I17" s="2">
        <f>tblRentRoll[[#This Row],[Monthly_Rent_EUR]]*12</f>
        <v>248250.12</v>
      </c>
      <c r="J17" s="2" t="str">
        <f>IF(tblRentRoll[[#This Row],[Annual_Rent_EUR]]&lt;&gt;tblRentRoll[[#This Row],[Jahresrente_EUR]], "FALSCH", "")</f>
        <v/>
      </c>
      <c r="K17" s="1">
        <v>45220</v>
      </c>
      <c r="L17" s="1">
        <v>47039</v>
      </c>
      <c r="M17">
        <v>1988.36</v>
      </c>
      <c r="N17">
        <v>2060.4</v>
      </c>
      <c r="O1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 t="str">
        <f>IF(tblRentRoll[[#This Row],[Area_sqm]]&lt;=0,"Area&lt;=0","")</f>
        <v/>
      </c>
      <c r="Q17" t="str">
        <f>IF(tblRentRoll[[#This Row],[Monthly_Rent_EUR]]&lt;=0,"Rent&lt;=0","")</f>
        <v/>
      </c>
      <c r="R17">
        <f>IF(AND(tblRentRoll[[#This Row],[Status]]="Occupied", tblRentRoll[[#This Row],[Area_sqm]]&gt;0), tblRentRoll[[#This Row],[Annual_Rent_EUR]]/tblRentRoll[[#This Row],[Area_sqm]],"")</f>
        <v>204.15305921052632</v>
      </c>
      <c r="S17">
        <f>tblRentRoll[[#This Row],[Service_Charge_EUR]]+tblRentRoll[[#This Row],[Operating_Cost_EUR]]</f>
        <v>4048.76</v>
      </c>
      <c r="T17">
        <f>IF(tblRentRoll[[#This Row],[Annual_Rent_EUR]]&lt;&gt;0,tblRentRoll[[#This Row],[Annual_Rent_EUR]]-tblRentRoll[[#This Row],[Operating_Cost_EUR]], "")</f>
        <v>246189.72</v>
      </c>
      <c r="U17">
        <f ca="1">IF(AND(tblRentRoll[[#This Row],[Status]]="Occupied",tblRentRoll[[#This Row],[Lease_End]]&gt;=TODAY()),DATEDIF(TODAY(),tblRentRoll[[#This Row],[Lease_End]],"m"), 0)</f>
        <v>31</v>
      </c>
      <c r="V17" t="str">
        <f ca="1">IF(tblRentRoll[[#This Row],[Status]]&lt;&gt;"Occupied","", IF(tblRentRoll[[#This Row],[Month_to_Expiry]]&lt;=3, "0-3 Monaten",  IF(tblRentRoll[[#This Row],[Month_to_Expiry]]&lt;=6, "3-6 Monaten", IF(tblRentRoll[[#This Row],[Month_to_Expiry]]&lt;=12,"6-12 Monaten", IF(tblRentRoll[[#This Row],[Month_to_Expiry]]&gt;=12, "12 M+",)))))</f>
        <v>12 M+</v>
      </c>
      <c r="W17">
        <f>IF(tblRentRoll[[#This Row],[Status]]="Vacant", tblRentRoll[[#This Row],[Area_sqm]],0)</f>
        <v>0</v>
      </c>
      <c r="X17" s="3">
        <f>IF(tblRentRoll[[#This Row],[Status]]="Occupied", tblRentRoll[[#This Row],[Area_sqm]],0)</f>
        <v>1216</v>
      </c>
      <c r="Y17" s="3">
        <f ca="1">tblRentRoll[[#This Row],[Month_to_Expiry]]/12*tblRentRoll[[#This Row],[Annual_Rent_EUR]]</f>
        <v>641312.81000000006</v>
      </c>
      <c r="Z17" s="3"/>
    </row>
    <row r="18" spans="1:26" x14ac:dyDescent="0.35">
      <c r="A18" t="s">
        <v>31</v>
      </c>
      <c r="B18" t="s">
        <v>55</v>
      </c>
      <c r="C18" t="s">
        <v>19</v>
      </c>
      <c r="D18">
        <v>417</v>
      </c>
      <c r="E18" t="s">
        <v>20</v>
      </c>
      <c r="G18">
        <v>0</v>
      </c>
      <c r="H18">
        <v>0</v>
      </c>
      <c r="I18" s="2">
        <f>tblRentRoll[[#This Row],[Monthly_Rent_EUR]]*12</f>
        <v>0</v>
      </c>
      <c r="J18" s="2" t="str">
        <f>IF(tblRentRoll[[#This Row],[Annual_Rent_EUR]]&lt;&gt;tblRentRoll[[#This Row],[Jahresrente_EUR]], "FALSCH", "")</f>
        <v/>
      </c>
      <c r="M18">
        <v>658.24</v>
      </c>
      <c r="N18">
        <v>906.67</v>
      </c>
      <c r="O1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 t="str">
        <f>IF(tblRentRoll[[#This Row],[Area_sqm]]&lt;=0,"Area&lt;=0","")</f>
        <v/>
      </c>
      <c r="Q18" t="str">
        <f>IF(tblRentRoll[[#This Row],[Monthly_Rent_EUR]]&lt;=0,"Rent&lt;=0","")</f>
        <v>Rent&lt;=0</v>
      </c>
      <c r="R18" t="str">
        <f>IF(AND(tblRentRoll[[#This Row],[Status]]="Occupied", tblRentRoll[[#This Row],[Area_sqm]]&gt;0), tblRentRoll[[#This Row],[Annual_Rent_EUR]]/tblRentRoll[[#This Row],[Area_sqm]],"")</f>
        <v/>
      </c>
      <c r="S18">
        <f>tblRentRoll[[#This Row],[Service_Charge_EUR]]+tblRentRoll[[#This Row],[Operating_Cost_EUR]]</f>
        <v>1564.9099999999999</v>
      </c>
      <c r="T18" t="str">
        <f>IF(tblRentRoll[[#This Row],[Annual_Rent_EUR]]&lt;&gt;0,tblRentRoll[[#This Row],[Annual_Rent_EUR]]-tblRentRoll[[#This Row],[Operating_Cost_EUR]], "")</f>
        <v/>
      </c>
      <c r="U18">
        <f ca="1">IF(AND(tblRentRoll[[#This Row],[Status]]="Occupied",tblRentRoll[[#This Row],[Lease_End]]&gt;=TODAY()),DATEDIF(TODAY(),tblRentRoll[[#This Row],[Lease_End]],"m"), 0)</f>
        <v>0</v>
      </c>
      <c r="V18" t="str">
        <f>IF(tblRentRoll[[#This Row],[Status]]&lt;&gt;"Occupied","", IF(tblRentRoll[[#This Row],[Month_to_Expiry]]&lt;=3, "0-3 Monaten",  IF(tblRentRoll[[#This Row],[Month_to_Expiry]]&lt;=6, "3-6 Monaten", IF(tblRentRoll[[#This Row],[Month_to_Expiry]]&lt;=12,"6-12 Monaten", IF(tblRentRoll[[#This Row],[Month_to_Expiry]]&gt;=12, "12 M+",)))))</f>
        <v/>
      </c>
      <c r="W18">
        <f>IF(tblRentRoll[[#This Row],[Status]]="Vacant", tblRentRoll[[#This Row],[Area_sqm]],0)</f>
        <v>417</v>
      </c>
      <c r="X18" s="3">
        <f>IF(tblRentRoll[[#This Row],[Status]]="Occupied", tblRentRoll[[#This Row],[Area_sqm]],0)</f>
        <v>0</v>
      </c>
      <c r="Y18" s="3">
        <f ca="1">tblRentRoll[[#This Row],[Month_to_Expiry]]/12*tblRentRoll[[#This Row],[Annual_Rent_EUR]]</f>
        <v>0</v>
      </c>
      <c r="Z18" s="3"/>
    </row>
    <row r="19" spans="1:26" x14ac:dyDescent="0.35">
      <c r="A19" t="s">
        <v>56</v>
      </c>
      <c r="B19" t="s">
        <v>57</v>
      </c>
      <c r="C19" t="s">
        <v>33</v>
      </c>
      <c r="D19">
        <v>549</v>
      </c>
      <c r="E19" t="s">
        <v>15</v>
      </c>
      <c r="F19" t="s">
        <v>43</v>
      </c>
      <c r="G19">
        <v>4264.49</v>
      </c>
      <c r="H19">
        <v>51173.88</v>
      </c>
      <c r="I19" s="2">
        <f>tblRentRoll[[#This Row],[Monthly_Rent_EUR]]*12</f>
        <v>51173.88</v>
      </c>
      <c r="J19" s="2" t="str">
        <f>IF(tblRentRoll[[#This Row],[Annual_Rent_EUR]]&lt;&gt;tblRentRoll[[#This Row],[Jahresrente_EUR]], "FALSCH", "")</f>
        <v/>
      </c>
      <c r="K19" s="1">
        <v>44860</v>
      </c>
      <c r="L19" s="1">
        <v>46221</v>
      </c>
      <c r="M19">
        <v>1396.48</v>
      </c>
      <c r="N19">
        <v>672.55</v>
      </c>
      <c r="O1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 t="str">
        <f>IF(tblRentRoll[[#This Row],[Area_sqm]]&lt;=0,"Area&lt;=0","")</f>
        <v/>
      </c>
      <c r="Q19" t="str">
        <f>IF(tblRentRoll[[#This Row],[Monthly_Rent_EUR]]&lt;=0,"Rent&lt;=0","")</f>
        <v/>
      </c>
      <c r="R19">
        <f>IF(AND(tblRentRoll[[#This Row],[Status]]="Occupied", tblRentRoll[[#This Row],[Area_sqm]]&gt;0), tblRentRoll[[#This Row],[Annual_Rent_EUR]]/tblRentRoll[[#This Row],[Area_sqm]],"")</f>
        <v>93.212896174863388</v>
      </c>
      <c r="S19">
        <f>tblRentRoll[[#This Row],[Service_Charge_EUR]]+tblRentRoll[[#This Row],[Operating_Cost_EUR]]</f>
        <v>2069.0299999999997</v>
      </c>
      <c r="T19">
        <f>IF(tblRentRoll[[#This Row],[Annual_Rent_EUR]]&lt;&gt;0,tblRentRoll[[#This Row],[Annual_Rent_EUR]]-tblRentRoll[[#This Row],[Operating_Cost_EUR]], "")</f>
        <v>50501.329999999994</v>
      </c>
      <c r="U19">
        <f ca="1">IF(AND(tblRentRoll[[#This Row],[Status]]="Occupied",tblRentRoll[[#This Row],[Lease_End]]&gt;=TODAY()),DATEDIF(TODAY(),tblRentRoll[[#This Row],[Lease_End]],"m"), 0)</f>
        <v>4</v>
      </c>
      <c r="V19" t="str">
        <f ca="1">IF(tblRentRoll[[#This Row],[Status]]&lt;&gt;"Occupied","", IF(tblRentRoll[[#This Row],[Month_to_Expiry]]&lt;=3, "0-3 Monaten",  IF(tblRentRoll[[#This Row],[Month_to_Expiry]]&lt;=6, "3-6 Monaten", IF(tblRentRoll[[#This Row],[Month_to_Expiry]]&lt;=12,"6-12 Monaten", IF(tblRentRoll[[#This Row],[Month_to_Expiry]]&gt;=12, "12 M+",)))))</f>
        <v>3-6 Monaten</v>
      </c>
      <c r="W19">
        <f>IF(tblRentRoll[[#This Row],[Status]]="Vacant", tblRentRoll[[#This Row],[Area_sqm]],0)</f>
        <v>0</v>
      </c>
      <c r="X19" s="3">
        <f>IF(tblRentRoll[[#This Row],[Status]]="Occupied", tblRentRoll[[#This Row],[Area_sqm]],0)</f>
        <v>549</v>
      </c>
      <c r="Y19" s="3">
        <f ca="1">tblRentRoll[[#This Row],[Month_to_Expiry]]/12*tblRentRoll[[#This Row],[Annual_Rent_EUR]]</f>
        <v>17057.96</v>
      </c>
      <c r="Z19" s="3"/>
    </row>
    <row r="20" spans="1:26" x14ac:dyDescent="0.35">
      <c r="A20" t="s">
        <v>56</v>
      </c>
      <c r="B20" t="s">
        <v>58</v>
      </c>
      <c r="C20" t="s">
        <v>14</v>
      </c>
      <c r="D20">
        <v>754</v>
      </c>
      <c r="E20" t="s">
        <v>15</v>
      </c>
      <c r="F20" t="s">
        <v>59</v>
      </c>
      <c r="G20">
        <v>8906.5300000000007</v>
      </c>
      <c r="H20">
        <v>106878.36</v>
      </c>
      <c r="I20" s="2">
        <f>tblRentRoll[[#This Row],[Monthly_Rent_EUR]]*12</f>
        <v>106878.36000000002</v>
      </c>
      <c r="J20" s="2" t="str">
        <f>IF(tblRentRoll[[#This Row],[Annual_Rent_EUR]]&lt;&gt;tblRentRoll[[#This Row],[Jahresrente_EUR]], "FALSCH", "")</f>
        <v/>
      </c>
      <c r="K20" s="1">
        <v>44993</v>
      </c>
      <c r="L20" s="1">
        <v>46241</v>
      </c>
      <c r="M20">
        <v>805.82</v>
      </c>
      <c r="N20">
        <v>1142.4100000000001</v>
      </c>
      <c r="O2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 t="str">
        <f>IF(tblRentRoll[[#This Row],[Area_sqm]]&lt;=0,"Area&lt;=0","")</f>
        <v/>
      </c>
      <c r="Q20" t="str">
        <f>IF(tblRentRoll[[#This Row],[Monthly_Rent_EUR]]&lt;=0,"Rent&lt;=0","")</f>
        <v/>
      </c>
      <c r="R20">
        <f>IF(AND(tblRentRoll[[#This Row],[Status]]="Occupied", tblRentRoll[[#This Row],[Area_sqm]]&gt;0), tblRentRoll[[#This Row],[Annual_Rent_EUR]]/tblRentRoll[[#This Row],[Area_sqm]],"")</f>
        <v>141.74848806366049</v>
      </c>
      <c r="S20">
        <f>tblRentRoll[[#This Row],[Service_Charge_EUR]]+tblRentRoll[[#This Row],[Operating_Cost_EUR]]</f>
        <v>1948.23</v>
      </c>
      <c r="T20">
        <f>IF(tblRentRoll[[#This Row],[Annual_Rent_EUR]]&lt;&gt;0,tblRentRoll[[#This Row],[Annual_Rent_EUR]]-tblRentRoll[[#This Row],[Operating_Cost_EUR]], "")</f>
        <v>105735.95</v>
      </c>
      <c r="U20">
        <f ca="1">IF(AND(tblRentRoll[[#This Row],[Status]]="Occupied",tblRentRoll[[#This Row],[Lease_End]]&gt;=TODAY()),DATEDIF(TODAY(),tblRentRoll[[#This Row],[Lease_End]],"m"), 0)</f>
        <v>4</v>
      </c>
      <c r="V20" t="str">
        <f ca="1">IF(tblRentRoll[[#This Row],[Status]]&lt;&gt;"Occupied","", IF(tblRentRoll[[#This Row],[Month_to_Expiry]]&lt;=3, "0-3 Monaten",  IF(tblRentRoll[[#This Row],[Month_to_Expiry]]&lt;=6, "3-6 Monaten", IF(tblRentRoll[[#This Row],[Month_to_Expiry]]&lt;=12,"6-12 Monaten", IF(tblRentRoll[[#This Row],[Month_to_Expiry]]&gt;=12, "12 M+",)))))</f>
        <v>3-6 Monaten</v>
      </c>
      <c r="W20">
        <f>IF(tblRentRoll[[#This Row],[Status]]="Vacant", tblRentRoll[[#This Row],[Area_sqm]],0)</f>
        <v>0</v>
      </c>
      <c r="X20" s="3">
        <f>IF(tblRentRoll[[#This Row],[Status]]="Occupied", tblRentRoll[[#This Row],[Area_sqm]],0)</f>
        <v>754</v>
      </c>
      <c r="Y20" s="3">
        <f ca="1">tblRentRoll[[#This Row],[Month_to_Expiry]]/12*tblRentRoll[[#This Row],[Annual_Rent_EUR]]</f>
        <v>35626.119999999995</v>
      </c>
      <c r="Z20" s="3"/>
    </row>
    <row r="21" spans="1:26" x14ac:dyDescent="0.35">
      <c r="A21" t="s">
        <v>17</v>
      </c>
      <c r="B21" t="s">
        <v>60</v>
      </c>
      <c r="C21" t="s">
        <v>29</v>
      </c>
      <c r="D21">
        <v>1180</v>
      </c>
      <c r="E21" t="s">
        <v>15</v>
      </c>
      <c r="F21" t="s">
        <v>61</v>
      </c>
      <c r="G21">
        <v>11003.3</v>
      </c>
      <c r="H21">
        <v>132039.6</v>
      </c>
      <c r="I21" s="2">
        <f>tblRentRoll[[#This Row],[Monthly_Rent_EUR]]*12</f>
        <v>132039.59999999998</v>
      </c>
      <c r="J21" s="2" t="str">
        <f>IF(tblRentRoll[[#This Row],[Annual_Rent_EUR]]&lt;&gt;tblRentRoll[[#This Row],[Jahresrente_EUR]], "FALSCH", "")</f>
        <v/>
      </c>
      <c r="K21" s="1">
        <v>44961</v>
      </c>
      <c r="L21" s="1">
        <v>46369</v>
      </c>
      <c r="M21">
        <v>2489.6799999999998</v>
      </c>
      <c r="N21">
        <v>2937.03</v>
      </c>
      <c r="O2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 t="str">
        <f>IF(tblRentRoll[[#This Row],[Area_sqm]]&lt;=0,"Area&lt;=0","")</f>
        <v/>
      </c>
      <c r="Q21" t="str">
        <f>IF(tblRentRoll[[#This Row],[Monthly_Rent_EUR]]&lt;=0,"Rent&lt;=0","")</f>
        <v/>
      </c>
      <c r="R21">
        <f>IF(AND(tblRentRoll[[#This Row],[Status]]="Occupied", tblRentRoll[[#This Row],[Area_sqm]]&gt;0), tblRentRoll[[#This Row],[Annual_Rent_EUR]]/tblRentRoll[[#This Row],[Area_sqm]],"")</f>
        <v>111.89796610169492</v>
      </c>
      <c r="S21">
        <f>tblRentRoll[[#This Row],[Service_Charge_EUR]]+tblRentRoll[[#This Row],[Operating_Cost_EUR]]</f>
        <v>5426.71</v>
      </c>
      <c r="T21">
        <f>IF(tblRentRoll[[#This Row],[Annual_Rent_EUR]]&lt;&gt;0,tblRentRoll[[#This Row],[Annual_Rent_EUR]]-tblRentRoll[[#This Row],[Operating_Cost_EUR]], "")</f>
        <v>129102.57</v>
      </c>
      <c r="U21">
        <f ca="1">IF(AND(tblRentRoll[[#This Row],[Status]]="Occupied",tblRentRoll[[#This Row],[Lease_End]]&gt;=TODAY()),DATEDIF(TODAY(),tblRentRoll[[#This Row],[Lease_End]],"m"), 0)</f>
        <v>9</v>
      </c>
      <c r="V21" t="str">
        <f ca="1">IF(tblRentRoll[[#This Row],[Status]]&lt;&gt;"Occupied","", IF(tblRentRoll[[#This Row],[Month_to_Expiry]]&lt;=3, "0-3 Monaten",  IF(tblRentRoll[[#This Row],[Month_to_Expiry]]&lt;=6, "3-6 Monaten", IF(tblRentRoll[[#This Row],[Month_to_Expiry]]&lt;=12,"6-12 Monaten", IF(tblRentRoll[[#This Row],[Month_to_Expiry]]&gt;=12, "12 M+",)))))</f>
        <v>6-12 Monaten</v>
      </c>
      <c r="W21">
        <f>IF(tblRentRoll[[#This Row],[Status]]="Vacant", tblRentRoll[[#This Row],[Area_sqm]],0)</f>
        <v>0</v>
      </c>
      <c r="X21" s="3">
        <f>IF(tblRentRoll[[#This Row],[Status]]="Occupied", tblRentRoll[[#This Row],[Area_sqm]],0)</f>
        <v>1180</v>
      </c>
      <c r="Y21" s="3">
        <f ca="1">tblRentRoll[[#This Row],[Month_to_Expiry]]/12*tblRentRoll[[#This Row],[Annual_Rent_EUR]]</f>
        <v>99029.700000000012</v>
      </c>
      <c r="Z21" s="3"/>
    </row>
    <row r="22" spans="1:26" x14ac:dyDescent="0.35">
      <c r="A22" t="s">
        <v>17</v>
      </c>
      <c r="B22" t="s">
        <v>62</v>
      </c>
      <c r="C22" t="s">
        <v>14</v>
      </c>
      <c r="D22">
        <v>876</v>
      </c>
      <c r="E22" t="s">
        <v>20</v>
      </c>
      <c r="G22">
        <v>0</v>
      </c>
      <c r="H22">
        <v>0</v>
      </c>
      <c r="I22" s="2">
        <f>tblRentRoll[[#This Row],[Monthly_Rent_EUR]]*12</f>
        <v>0</v>
      </c>
      <c r="J22" s="2" t="str">
        <f>IF(tblRentRoll[[#This Row],[Annual_Rent_EUR]]&lt;&gt;tblRentRoll[[#This Row],[Jahresrente_EUR]], "FALSCH", "")</f>
        <v/>
      </c>
      <c r="M22">
        <v>1756.84</v>
      </c>
      <c r="N22">
        <v>1973.19</v>
      </c>
      <c r="O2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 t="str">
        <f>IF(tblRentRoll[[#This Row],[Area_sqm]]&lt;=0,"Area&lt;=0","")</f>
        <v/>
      </c>
      <c r="Q22" t="str">
        <f>IF(tblRentRoll[[#This Row],[Monthly_Rent_EUR]]&lt;=0,"Rent&lt;=0","")</f>
        <v>Rent&lt;=0</v>
      </c>
      <c r="R22" t="str">
        <f>IF(AND(tblRentRoll[[#This Row],[Status]]="Occupied", tblRentRoll[[#This Row],[Area_sqm]]&gt;0), tblRentRoll[[#This Row],[Annual_Rent_EUR]]/tblRentRoll[[#This Row],[Area_sqm]],"")</f>
        <v/>
      </c>
      <c r="S22">
        <f>tblRentRoll[[#This Row],[Service_Charge_EUR]]+tblRentRoll[[#This Row],[Operating_Cost_EUR]]</f>
        <v>3730.0299999999997</v>
      </c>
      <c r="T22" t="str">
        <f>IF(tblRentRoll[[#This Row],[Annual_Rent_EUR]]&lt;&gt;0,tblRentRoll[[#This Row],[Annual_Rent_EUR]]-tblRentRoll[[#This Row],[Operating_Cost_EUR]], "")</f>
        <v/>
      </c>
      <c r="U22">
        <f ca="1">IF(AND(tblRentRoll[[#This Row],[Status]]="Occupied",tblRentRoll[[#This Row],[Lease_End]]&gt;=TODAY()),DATEDIF(TODAY(),tblRentRoll[[#This Row],[Lease_End]],"m"), 0)</f>
        <v>0</v>
      </c>
      <c r="V22" t="str">
        <f>IF(tblRentRoll[[#This Row],[Status]]&lt;&gt;"Occupied","", IF(tblRentRoll[[#This Row],[Month_to_Expiry]]&lt;=3, "0-3 Monaten",  IF(tblRentRoll[[#This Row],[Month_to_Expiry]]&lt;=6, "3-6 Monaten", IF(tblRentRoll[[#This Row],[Month_to_Expiry]]&lt;=12,"6-12 Monaten", IF(tblRentRoll[[#This Row],[Month_to_Expiry]]&gt;=12, "12 M+",)))))</f>
        <v/>
      </c>
      <c r="W22">
        <f>IF(tblRentRoll[[#This Row],[Status]]="Vacant", tblRentRoll[[#This Row],[Area_sqm]],0)</f>
        <v>876</v>
      </c>
      <c r="X22" s="3">
        <f>IF(tblRentRoll[[#This Row],[Status]]="Occupied", tblRentRoll[[#This Row],[Area_sqm]],0)</f>
        <v>0</v>
      </c>
      <c r="Y22" s="3">
        <f ca="1">tblRentRoll[[#This Row],[Month_to_Expiry]]/12*tblRentRoll[[#This Row],[Annual_Rent_EUR]]</f>
        <v>0</v>
      </c>
      <c r="Z22" s="3"/>
    </row>
    <row r="23" spans="1:26" x14ac:dyDescent="0.35">
      <c r="A23" t="s">
        <v>21</v>
      </c>
      <c r="B23" t="s">
        <v>63</v>
      </c>
      <c r="C23" t="s">
        <v>19</v>
      </c>
      <c r="D23">
        <v>946</v>
      </c>
      <c r="E23" t="s">
        <v>15</v>
      </c>
      <c r="F23" t="s">
        <v>64</v>
      </c>
      <c r="G23">
        <v>12902.94</v>
      </c>
      <c r="H23">
        <v>154835.28</v>
      </c>
      <c r="I23" s="2">
        <f>tblRentRoll[[#This Row],[Monthly_Rent_EUR]]*12</f>
        <v>154835.28</v>
      </c>
      <c r="J23" s="2" t="str">
        <f>IF(tblRentRoll[[#This Row],[Annual_Rent_EUR]]&lt;&gt;tblRentRoll[[#This Row],[Jahresrente_EUR]], "FALSCH", "")</f>
        <v/>
      </c>
      <c r="K23" s="1">
        <v>45031</v>
      </c>
      <c r="L23" s="1">
        <v>46311</v>
      </c>
      <c r="M23">
        <v>2691.1</v>
      </c>
      <c r="N23">
        <v>2173.98</v>
      </c>
      <c r="O2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 t="str">
        <f>IF(tblRentRoll[[#This Row],[Area_sqm]]&lt;=0,"Area&lt;=0","")</f>
        <v/>
      </c>
      <c r="Q23" t="str">
        <f>IF(tblRentRoll[[#This Row],[Monthly_Rent_EUR]]&lt;=0,"Rent&lt;=0","")</f>
        <v/>
      </c>
      <c r="R23">
        <f>IF(AND(tblRentRoll[[#This Row],[Status]]="Occupied", tblRentRoll[[#This Row],[Area_sqm]]&gt;0), tblRentRoll[[#This Row],[Annual_Rent_EUR]]/tblRentRoll[[#This Row],[Area_sqm]],"")</f>
        <v>163.67365750528541</v>
      </c>
      <c r="S23">
        <f>tblRentRoll[[#This Row],[Service_Charge_EUR]]+tblRentRoll[[#This Row],[Operating_Cost_EUR]]</f>
        <v>4865.08</v>
      </c>
      <c r="T23">
        <f>IF(tblRentRoll[[#This Row],[Annual_Rent_EUR]]&lt;&gt;0,tblRentRoll[[#This Row],[Annual_Rent_EUR]]-tblRentRoll[[#This Row],[Operating_Cost_EUR]], "")</f>
        <v>152661.29999999999</v>
      </c>
      <c r="U23">
        <f ca="1">IF(AND(tblRentRoll[[#This Row],[Status]]="Occupied",tblRentRoll[[#This Row],[Lease_End]]&gt;=TODAY()),DATEDIF(TODAY(),tblRentRoll[[#This Row],[Lease_End]],"m"), 0)</f>
        <v>7</v>
      </c>
      <c r="V23" t="str">
        <f ca="1">IF(tblRentRoll[[#This Row],[Status]]&lt;&gt;"Occupied","", IF(tblRentRoll[[#This Row],[Month_to_Expiry]]&lt;=3, "0-3 Monaten",  IF(tblRentRoll[[#This Row],[Month_to_Expiry]]&lt;=6, "3-6 Monaten", IF(tblRentRoll[[#This Row],[Month_to_Expiry]]&lt;=12,"6-12 Monaten", IF(tblRentRoll[[#This Row],[Month_to_Expiry]]&gt;=12, "12 M+",)))))</f>
        <v>6-12 Monaten</v>
      </c>
      <c r="W23">
        <f>IF(tblRentRoll[[#This Row],[Status]]="Vacant", tblRentRoll[[#This Row],[Area_sqm]],0)</f>
        <v>0</v>
      </c>
      <c r="X23" s="3">
        <f>IF(tblRentRoll[[#This Row],[Status]]="Occupied", tblRentRoll[[#This Row],[Area_sqm]],0)</f>
        <v>946</v>
      </c>
      <c r="Y23" s="3">
        <f ca="1">tblRentRoll[[#This Row],[Month_to_Expiry]]/12*tblRentRoll[[#This Row],[Annual_Rent_EUR]]</f>
        <v>90320.58</v>
      </c>
      <c r="Z23" s="3"/>
    </row>
    <row r="24" spans="1:26" x14ac:dyDescent="0.35">
      <c r="A24" t="s">
        <v>56</v>
      </c>
      <c r="B24" t="s">
        <v>65</v>
      </c>
      <c r="C24" t="s">
        <v>33</v>
      </c>
      <c r="D24">
        <v>1255</v>
      </c>
      <c r="E24" t="s">
        <v>15</v>
      </c>
      <c r="F24" t="s">
        <v>66</v>
      </c>
      <c r="G24">
        <v>18391.16</v>
      </c>
      <c r="H24">
        <v>220693.92</v>
      </c>
      <c r="I24" s="2">
        <f>tblRentRoll[[#This Row],[Monthly_Rent_EUR]]*12</f>
        <v>220693.91999999998</v>
      </c>
      <c r="J24" s="2" t="str">
        <f>IF(tblRentRoll[[#This Row],[Annual_Rent_EUR]]&lt;&gt;tblRentRoll[[#This Row],[Jahresrente_EUR]], "FALSCH", "")</f>
        <v/>
      </c>
      <c r="K24" s="1">
        <v>44979</v>
      </c>
      <c r="L24" s="1">
        <v>46272</v>
      </c>
      <c r="M24">
        <v>2019.26</v>
      </c>
      <c r="N24">
        <v>3075.8</v>
      </c>
      <c r="O2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 t="str">
        <f>IF(tblRentRoll[[#This Row],[Area_sqm]]&lt;=0,"Area&lt;=0","")</f>
        <v/>
      </c>
      <c r="Q24" t="str">
        <f>IF(tblRentRoll[[#This Row],[Monthly_Rent_EUR]]&lt;=0,"Rent&lt;=0","")</f>
        <v/>
      </c>
      <c r="R24">
        <f>IF(AND(tblRentRoll[[#This Row],[Status]]="Occupied", tblRentRoll[[#This Row],[Area_sqm]]&gt;0), tblRentRoll[[#This Row],[Annual_Rent_EUR]]/tblRentRoll[[#This Row],[Area_sqm]],"")</f>
        <v>175.85172908366536</v>
      </c>
      <c r="S24">
        <f>tblRentRoll[[#This Row],[Service_Charge_EUR]]+tblRentRoll[[#This Row],[Operating_Cost_EUR]]</f>
        <v>5095.0600000000004</v>
      </c>
      <c r="T24">
        <f>IF(tblRentRoll[[#This Row],[Annual_Rent_EUR]]&lt;&gt;0,tblRentRoll[[#This Row],[Annual_Rent_EUR]]-tblRentRoll[[#This Row],[Operating_Cost_EUR]], "")</f>
        <v>217618.12000000002</v>
      </c>
      <c r="U24">
        <f ca="1">IF(AND(tblRentRoll[[#This Row],[Status]]="Occupied",tblRentRoll[[#This Row],[Lease_End]]&gt;=TODAY()),DATEDIF(TODAY(),tblRentRoll[[#This Row],[Lease_End]],"m"), 0)</f>
        <v>5</v>
      </c>
      <c r="V24" t="str">
        <f ca="1">IF(tblRentRoll[[#This Row],[Status]]&lt;&gt;"Occupied","", IF(tblRentRoll[[#This Row],[Month_to_Expiry]]&lt;=3, "0-3 Monaten",  IF(tblRentRoll[[#This Row],[Month_to_Expiry]]&lt;=6, "3-6 Monaten", IF(tblRentRoll[[#This Row],[Month_to_Expiry]]&lt;=12,"6-12 Monaten", IF(tblRentRoll[[#This Row],[Month_to_Expiry]]&gt;=12, "12 M+",)))))</f>
        <v>3-6 Monaten</v>
      </c>
      <c r="W24">
        <f>IF(tblRentRoll[[#This Row],[Status]]="Vacant", tblRentRoll[[#This Row],[Area_sqm]],0)</f>
        <v>0</v>
      </c>
      <c r="X24" s="3">
        <f>IF(tblRentRoll[[#This Row],[Status]]="Occupied", tblRentRoll[[#This Row],[Area_sqm]],0)</f>
        <v>1255</v>
      </c>
      <c r="Y24" s="3">
        <f ca="1">tblRentRoll[[#This Row],[Month_to_Expiry]]/12*tblRentRoll[[#This Row],[Annual_Rent_EUR]]</f>
        <v>91955.8</v>
      </c>
      <c r="Z24" s="3"/>
    </row>
    <row r="25" spans="1:26" x14ac:dyDescent="0.35">
      <c r="A25" t="s">
        <v>31</v>
      </c>
      <c r="B25" t="s">
        <v>67</v>
      </c>
      <c r="C25" t="s">
        <v>19</v>
      </c>
      <c r="D25">
        <v>484</v>
      </c>
      <c r="E25" t="s">
        <v>15</v>
      </c>
      <c r="F25" t="s">
        <v>68</v>
      </c>
      <c r="G25">
        <v>5675.06</v>
      </c>
      <c r="H25">
        <v>68100.72</v>
      </c>
      <c r="I25" s="2">
        <f>tblRentRoll[[#This Row],[Monthly_Rent_EUR]]*12</f>
        <v>68100.72</v>
      </c>
      <c r="J25" s="2" t="str">
        <f>IF(tblRentRoll[[#This Row],[Annual_Rent_EUR]]&lt;&gt;tblRentRoll[[#This Row],[Jahresrente_EUR]], "FALSCH", "")</f>
        <v/>
      </c>
      <c r="K25" s="1">
        <v>44868</v>
      </c>
      <c r="L25" s="1">
        <v>46271</v>
      </c>
      <c r="M25">
        <v>761.04</v>
      </c>
      <c r="N25">
        <v>832.56</v>
      </c>
      <c r="O2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 t="str">
        <f>IF(tblRentRoll[[#This Row],[Area_sqm]]&lt;=0,"Area&lt;=0","")</f>
        <v/>
      </c>
      <c r="Q25" t="str">
        <f>IF(tblRentRoll[[#This Row],[Monthly_Rent_EUR]]&lt;=0,"Rent&lt;=0","")</f>
        <v/>
      </c>
      <c r="R25">
        <f>IF(AND(tblRentRoll[[#This Row],[Status]]="Occupied", tblRentRoll[[#This Row],[Area_sqm]]&gt;0), tblRentRoll[[#This Row],[Annual_Rent_EUR]]/tblRentRoll[[#This Row],[Area_sqm]],"")</f>
        <v>140.70396694214875</v>
      </c>
      <c r="S25">
        <f>tblRentRoll[[#This Row],[Service_Charge_EUR]]+tblRentRoll[[#This Row],[Operating_Cost_EUR]]</f>
        <v>1593.6</v>
      </c>
      <c r="T25">
        <f>IF(tblRentRoll[[#This Row],[Annual_Rent_EUR]]&lt;&gt;0,tblRentRoll[[#This Row],[Annual_Rent_EUR]]-tblRentRoll[[#This Row],[Operating_Cost_EUR]], "")</f>
        <v>67268.160000000003</v>
      </c>
      <c r="U25">
        <f ca="1">IF(AND(tblRentRoll[[#This Row],[Status]]="Occupied",tblRentRoll[[#This Row],[Lease_End]]&gt;=TODAY()),DATEDIF(TODAY(),tblRentRoll[[#This Row],[Lease_End]],"m"), 0)</f>
        <v>5</v>
      </c>
      <c r="V25" t="str">
        <f ca="1">IF(tblRentRoll[[#This Row],[Status]]&lt;&gt;"Occupied","", IF(tblRentRoll[[#This Row],[Month_to_Expiry]]&lt;=3, "0-3 Monaten",  IF(tblRentRoll[[#This Row],[Month_to_Expiry]]&lt;=6, "3-6 Monaten", IF(tblRentRoll[[#This Row],[Month_to_Expiry]]&lt;=12,"6-12 Monaten", IF(tblRentRoll[[#This Row],[Month_to_Expiry]]&gt;=12, "12 M+",)))))</f>
        <v>3-6 Monaten</v>
      </c>
      <c r="W25">
        <f>IF(tblRentRoll[[#This Row],[Status]]="Vacant", tblRentRoll[[#This Row],[Area_sqm]],0)</f>
        <v>0</v>
      </c>
      <c r="X25" s="3">
        <f>IF(tblRentRoll[[#This Row],[Status]]="Occupied", tblRentRoll[[#This Row],[Area_sqm]],0)</f>
        <v>484</v>
      </c>
      <c r="Y25" s="3">
        <f ca="1">tblRentRoll[[#This Row],[Month_to_Expiry]]/12*tblRentRoll[[#This Row],[Annual_Rent_EUR]]</f>
        <v>28375.300000000003</v>
      </c>
      <c r="Z25" s="3"/>
    </row>
    <row r="26" spans="1:26" x14ac:dyDescent="0.35">
      <c r="A26" t="s">
        <v>27</v>
      </c>
      <c r="B26" t="s">
        <v>69</v>
      </c>
      <c r="C26" t="s">
        <v>14</v>
      </c>
      <c r="D26">
        <v>911</v>
      </c>
      <c r="E26" t="s">
        <v>15</v>
      </c>
      <c r="F26" t="s">
        <v>70</v>
      </c>
      <c r="G26">
        <v>13032.41</v>
      </c>
      <c r="H26">
        <v>156388.92000000001</v>
      </c>
      <c r="I26" s="2">
        <f>tblRentRoll[[#This Row],[Monthly_Rent_EUR]]*12</f>
        <v>156388.91999999998</v>
      </c>
      <c r="J26" s="2" t="str">
        <f>IF(tblRentRoll[[#This Row],[Annual_Rent_EUR]]&lt;&gt;tblRentRoll[[#This Row],[Jahresrente_EUR]], "FALSCH", "")</f>
        <v/>
      </c>
      <c r="K26" s="1">
        <v>44728</v>
      </c>
      <c r="L26" s="1">
        <v>45080</v>
      </c>
      <c r="M26">
        <v>1831.9</v>
      </c>
      <c r="N26">
        <v>593.03</v>
      </c>
      <c r="O2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 t="str">
        <f>IF(tblRentRoll[[#This Row],[Area_sqm]]&lt;=0,"Area&lt;=0","")</f>
        <v/>
      </c>
      <c r="Q26" t="str">
        <f>IF(tblRentRoll[[#This Row],[Monthly_Rent_EUR]]&lt;=0,"Rent&lt;=0","")</f>
        <v/>
      </c>
      <c r="R26">
        <f>IF(AND(tblRentRoll[[#This Row],[Status]]="Occupied", tblRentRoll[[#This Row],[Area_sqm]]&gt;0), tblRentRoll[[#This Row],[Annual_Rent_EUR]]/tblRentRoll[[#This Row],[Area_sqm]],"")</f>
        <v>171.66731064763997</v>
      </c>
      <c r="S26">
        <f>tblRentRoll[[#This Row],[Service_Charge_EUR]]+tblRentRoll[[#This Row],[Operating_Cost_EUR]]</f>
        <v>2424.9300000000003</v>
      </c>
      <c r="T26">
        <f>IF(tblRentRoll[[#This Row],[Annual_Rent_EUR]]&lt;&gt;0,tblRentRoll[[#This Row],[Annual_Rent_EUR]]-tblRentRoll[[#This Row],[Operating_Cost_EUR]], "")</f>
        <v>155795.89000000001</v>
      </c>
      <c r="U26">
        <f ca="1">IF(AND(tblRentRoll[[#This Row],[Status]]="Occupied",tblRentRoll[[#This Row],[Lease_End]]&gt;=TODAY()),DATEDIF(TODAY(),tblRentRoll[[#This Row],[Lease_End]],"m"), 0)</f>
        <v>0</v>
      </c>
      <c r="V26" t="str">
        <f ca="1">IF(tblRentRoll[[#This Row],[Status]]&lt;&gt;"Occupied","", IF(tblRentRoll[[#This Row],[Month_to_Expiry]]&lt;=3, "0-3 Monaten",  IF(tblRentRoll[[#This Row],[Month_to_Expiry]]&lt;=6, "3-6 Monaten", IF(tblRentRoll[[#This Row],[Month_to_Expiry]]&lt;=12,"6-12 Monaten", IF(tblRentRoll[[#This Row],[Month_to_Expiry]]&gt;=12, "12 M+",)))))</f>
        <v>0-3 Monaten</v>
      </c>
      <c r="W26">
        <f>IF(tblRentRoll[[#This Row],[Status]]="Vacant", tblRentRoll[[#This Row],[Area_sqm]],0)</f>
        <v>0</v>
      </c>
      <c r="X26" s="3">
        <f>IF(tblRentRoll[[#This Row],[Status]]="Occupied", tblRentRoll[[#This Row],[Area_sqm]],0)</f>
        <v>911</v>
      </c>
      <c r="Y26" s="3">
        <f ca="1">tblRentRoll[[#This Row],[Month_to_Expiry]]/12*tblRentRoll[[#This Row],[Annual_Rent_EUR]]</f>
        <v>0</v>
      </c>
      <c r="Z26" s="3"/>
    </row>
    <row r="27" spans="1:26" x14ac:dyDescent="0.35">
      <c r="A27" t="s">
        <v>27</v>
      </c>
      <c r="B27" t="s">
        <v>71</v>
      </c>
      <c r="C27" t="s">
        <v>19</v>
      </c>
      <c r="D27">
        <v>1147</v>
      </c>
      <c r="E27" t="s">
        <v>20</v>
      </c>
      <c r="G27">
        <v>0</v>
      </c>
      <c r="H27">
        <v>0</v>
      </c>
      <c r="I27" s="2">
        <f>tblRentRoll[[#This Row],[Monthly_Rent_EUR]]*12</f>
        <v>0</v>
      </c>
      <c r="J27" s="2" t="str">
        <f>IF(tblRentRoll[[#This Row],[Annual_Rent_EUR]]&lt;&gt;tblRentRoll[[#This Row],[Jahresrente_EUR]], "FALSCH", "")</f>
        <v/>
      </c>
      <c r="M27">
        <v>1752.44</v>
      </c>
      <c r="N27">
        <v>1107.1500000000001</v>
      </c>
      <c r="O2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 t="str">
        <f>IF(tblRentRoll[[#This Row],[Area_sqm]]&lt;=0,"Area&lt;=0","")</f>
        <v/>
      </c>
      <c r="Q27" t="str">
        <f>IF(tblRentRoll[[#This Row],[Monthly_Rent_EUR]]&lt;=0,"Rent&lt;=0","")</f>
        <v>Rent&lt;=0</v>
      </c>
      <c r="R27" t="str">
        <f>IF(AND(tblRentRoll[[#This Row],[Status]]="Occupied", tblRentRoll[[#This Row],[Area_sqm]]&gt;0), tblRentRoll[[#This Row],[Annual_Rent_EUR]]/tblRentRoll[[#This Row],[Area_sqm]],"")</f>
        <v/>
      </c>
      <c r="S27">
        <f>tblRentRoll[[#This Row],[Service_Charge_EUR]]+tblRentRoll[[#This Row],[Operating_Cost_EUR]]</f>
        <v>2859.59</v>
      </c>
      <c r="T27" t="str">
        <f>IF(tblRentRoll[[#This Row],[Annual_Rent_EUR]]&lt;&gt;0,tblRentRoll[[#This Row],[Annual_Rent_EUR]]-tblRentRoll[[#This Row],[Operating_Cost_EUR]], "")</f>
        <v/>
      </c>
      <c r="U27">
        <f ca="1">IF(AND(tblRentRoll[[#This Row],[Status]]="Occupied",tblRentRoll[[#This Row],[Lease_End]]&gt;=TODAY()),DATEDIF(TODAY(),tblRentRoll[[#This Row],[Lease_End]],"m"), 0)</f>
        <v>0</v>
      </c>
      <c r="V27" t="str">
        <f>IF(tblRentRoll[[#This Row],[Status]]&lt;&gt;"Occupied","", IF(tblRentRoll[[#This Row],[Month_to_Expiry]]&lt;=3, "0-3 Monaten",  IF(tblRentRoll[[#This Row],[Month_to_Expiry]]&lt;=6, "3-6 Monaten", IF(tblRentRoll[[#This Row],[Month_to_Expiry]]&lt;=12,"6-12 Monaten", IF(tblRentRoll[[#This Row],[Month_to_Expiry]]&gt;=12, "12 M+",)))))</f>
        <v/>
      </c>
      <c r="W27">
        <f>IF(tblRentRoll[[#This Row],[Status]]="Vacant", tblRentRoll[[#This Row],[Area_sqm]],0)</f>
        <v>1147</v>
      </c>
      <c r="X27" s="3">
        <f>IF(tblRentRoll[[#This Row],[Status]]="Occupied", tblRentRoll[[#This Row],[Area_sqm]],0)</f>
        <v>0</v>
      </c>
      <c r="Y27" s="3">
        <f ca="1">tblRentRoll[[#This Row],[Month_to_Expiry]]/12*tblRentRoll[[#This Row],[Annual_Rent_EUR]]</f>
        <v>0</v>
      </c>
      <c r="Z27" s="3"/>
    </row>
    <row r="28" spans="1:26" x14ac:dyDescent="0.35">
      <c r="A28" t="s">
        <v>17</v>
      </c>
      <c r="B28" t="s">
        <v>72</v>
      </c>
      <c r="C28" t="s">
        <v>29</v>
      </c>
      <c r="D28">
        <v>361</v>
      </c>
      <c r="E28" t="s">
        <v>20</v>
      </c>
      <c r="G28">
        <v>0</v>
      </c>
      <c r="H28">
        <v>0</v>
      </c>
      <c r="I28" s="2">
        <f>tblRentRoll[[#This Row],[Monthly_Rent_EUR]]*12</f>
        <v>0</v>
      </c>
      <c r="J28" s="2" t="str">
        <f>IF(tblRentRoll[[#This Row],[Annual_Rent_EUR]]&lt;&gt;tblRentRoll[[#This Row],[Jahresrente_EUR]], "FALSCH", "")</f>
        <v/>
      </c>
      <c r="M28">
        <v>1012.2</v>
      </c>
      <c r="N28">
        <v>293.26</v>
      </c>
      <c r="O2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 t="str">
        <f>IF(tblRentRoll[[#This Row],[Area_sqm]]&lt;=0,"Area&lt;=0","")</f>
        <v/>
      </c>
      <c r="Q28" t="str">
        <f>IF(tblRentRoll[[#This Row],[Monthly_Rent_EUR]]&lt;=0,"Rent&lt;=0","")</f>
        <v>Rent&lt;=0</v>
      </c>
      <c r="R28" t="str">
        <f>IF(AND(tblRentRoll[[#This Row],[Status]]="Occupied", tblRentRoll[[#This Row],[Area_sqm]]&gt;0), tblRentRoll[[#This Row],[Annual_Rent_EUR]]/tblRentRoll[[#This Row],[Area_sqm]],"")</f>
        <v/>
      </c>
      <c r="S28">
        <f>tblRentRoll[[#This Row],[Service_Charge_EUR]]+tblRentRoll[[#This Row],[Operating_Cost_EUR]]</f>
        <v>1305.46</v>
      </c>
      <c r="T28" t="str">
        <f>IF(tblRentRoll[[#This Row],[Annual_Rent_EUR]]&lt;&gt;0,tblRentRoll[[#This Row],[Annual_Rent_EUR]]-tblRentRoll[[#This Row],[Operating_Cost_EUR]], "")</f>
        <v/>
      </c>
      <c r="U28">
        <f ca="1">IF(AND(tblRentRoll[[#This Row],[Status]]="Occupied",tblRentRoll[[#This Row],[Lease_End]]&gt;=TODAY()),DATEDIF(TODAY(),tblRentRoll[[#This Row],[Lease_End]],"m"), 0)</f>
        <v>0</v>
      </c>
      <c r="V28" t="str">
        <f>IF(tblRentRoll[[#This Row],[Status]]&lt;&gt;"Occupied","", IF(tblRentRoll[[#This Row],[Month_to_Expiry]]&lt;=3, "0-3 Monaten",  IF(tblRentRoll[[#This Row],[Month_to_Expiry]]&lt;=6, "3-6 Monaten", IF(tblRentRoll[[#This Row],[Month_to_Expiry]]&lt;=12,"6-12 Monaten", IF(tblRentRoll[[#This Row],[Month_to_Expiry]]&gt;=12, "12 M+",)))))</f>
        <v/>
      </c>
      <c r="W28">
        <f>IF(tblRentRoll[[#This Row],[Status]]="Vacant", tblRentRoll[[#This Row],[Area_sqm]],0)</f>
        <v>361</v>
      </c>
      <c r="X28" s="3">
        <f>IF(tblRentRoll[[#This Row],[Status]]="Occupied", tblRentRoll[[#This Row],[Area_sqm]],0)</f>
        <v>0</v>
      </c>
      <c r="Y28" s="3">
        <f ca="1">tblRentRoll[[#This Row],[Month_to_Expiry]]/12*tblRentRoll[[#This Row],[Annual_Rent_EUR]]</f>
        <v>0</v>
      </c>
      <c r="Z28" s="3"/>
    </row>
    <row r="29" spans="1:26" x14ac:dyDescent="0.35">
      <c r="A29" t="s">
        <v>56</v>
      </c>
      <c r="B29" t="s">
        <v>73</v>
      </c>
      <c r="C29" t="s">
        <v>33</v>
      </c>
      <c r="D29">
        <v>1301</v>
      </c>
      <c r="E29" t="s">
        <v>15</v>
      </c>
      <c r="F29" t="s">
        <v>74</v>
      </c>
      <c r="G29">
        <v>18342.759999999998</v>
      </c>
      <c r="H29">
        <v>220113.12</v>
      </c>
      <c r="I29" s="2">
        <f>tblRentRoll[[#This Row],[Monthly_Rent_EUR]]*12</f>
        <v>220113.12</v>
      </c>
      <c r="J29" s="2" t="str">
        <f>IF(tblRentRoll[[#This Row],[Annual_Rent_EUR]]&lt;&gt;tblRentRoll[[#This Row],[Jahresrente_EUR]], "FALSCH", "")</f>
        <v/>
      </c>
      <c r="K29" s="1">
        <v>45179</v>
      </c>
      <c r="L29" s="1">
        <v>46127</v>
      </c>
      <c r="M29">
        <v>3202.85</v>
      </c>
      <c r="N29">
        <v>2171.44</v>
      </c>
      <c r="O2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 t="str">
        <f>IF(tblRentRoll[[#This Row],[Area_sqm]]&lt;=0,"Area&lt;=0","")</f>
        <v/>
      </c>
      <c r="Q29" t="str">
        <f>IF(tblRentRoll[[#This Row],[Monthly_Rent_EUR]]&lt;=0,"Rent&lt;=0","")</f>
        <v/>
      </c>
      <c r="R29">
        <f>IF(AND(tblRentRoll[[#This Row],[Status]]="Occupied", tblRentRoll[[#This Row],[Area_sqm]]&gt;0), tblRentRoll[[#This Row],[Annual_Rent_EUR]]/tblRentRoll[[#This Row],[Area_sqm]],"")</f>
        <v>169.18764027671023</v>
      </c>
      <c r="S29">
        <f>tblRentRoll[[#This Row],[Service_Charge_EUR]]+tblRentRoll[[#This Row],[Operating_Cost_EUR]]</f>
        <v>5374.29</v>
      </c>
      <c r="T29">
        <f>IF(tblRentRoll[[#This Row],[Annual_Rent_EUR]]&lt;&gt;0,tblRentRoll[[#This Row],[Annual_Rent_EUR]]-tblRentRoll[[#This Row],[Operating_Cost_EUR]], "")</f>
        <v>217941.68</v>
      </c>
      <c r="U29">
        <f ca="1">IF(AND(tblRentRoll[[#This Row],[Status]]="Occupied",tblRentRoll[[#This Row],[Lease_End]]&gt;=TODAY()),DATEDIF(TODAY(),tblRentRoll[[#This Row],[Lease_End]],"m"), 0)</f>
        <v>1</v>
      </c>
      <c r="V29" t="str">
        <f ca="1">IF(tblRentRoll[[#This Row],[Status]]&lt;&gt;"Occupied","", IF(tblRentRoll[[#This Row],[Month_to_Expiry]]&lt;=3, "0-3 Monaten",  IF(tblRentRoll[[#This Row],[Month_to_Expiry]]&lt;=6, "3-6 Monaten", IF(tblRentRoll[[#This Row],[Month_to_Expiry]]&lt;=12,"6-12 Monaten", IF(tblRentRoll[[#This Row],[Month_to_Expiry]]&gt;=12, "12 M+",)))))</f>
        <v>0-3 Monaten</v>
      </c>
      <c r="W29">
        <f>IF(tblRentRoll[[#This Row],[Status]]="Vacant", tblRentRoll[[#This Row],[Area_sqm]],0)</f>
        <v>0</v>
      </c>
      <c r="X29" s="3">
        <f>IF(tblRentRoll[[#This Row],[Status]]="Occupied", tblRentRoll[[#This Row],[Area_sqm]],0)</f>
        <v>1301</v>
      </c>
      <c r="Y29" s="3">
        <f ca="1">tblRentRoll[[#This Row],[Month_to_Expiry]]/12*tblRentRoll[[#This Row],[Annual_Rent_EUR]]</f>
        <v>18342.759999999998</v>
      </c>
      <c r="Z29" s="3"/>
    </row>
    <row r="30" spans="1:26" x14ac:dyDescent="0.35">
      <c r="A30" t="s">
        <v>31</v>
      </c>
      <c r="B30" t="s">
        <v>75</v>
      </c>
      <c r="C30" t="s">
        <v>14</v>
      </c>
      <c r="D30">
        <v>1245</v>
      </c>
      <c r="E30" t="s">
        <v>15</v>
      </c>
      <c r="F30" t="s">
        <v>76</v>
      </c>
      <c r="G30">
        <v>12000.8</v>
      </c>
      <c r="H30">
        <v>144009.60000000001</v>
      </c>
      <c r="I30" s="2">
        <f>tblRentRoll[[#This Row],[Monthly_Rent_EUR]]*12</f>
        <v>144009.59999999998</v>
      </c>
      <c r="J30" s="2" t="str">
        <f>IF(tblRentRoll[[#This Row],[Annual_Rent_EUR]]&lt;&gt;tblRentRoll[[#This Row],[Jahresrente_EUR]], "FALSCH", "")</f>
        <v/>
      </c>
      <c r="K30" s="1">
        <v>45070</v>
      </c>
      <c r="L30" s="1">
        <v>46021</v>
      </c>
      <c r="M30">
        <v>3013.82</v>
      </c>
      <c r="N30">
        <v>1135.93</v>
      </c>
      <c r="O3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 t="str">
        <f>IF(tblRentRoll[[#This Row],[Area_sqm]]&lt;=0,"Area&lt;=0","")</f>
        <v/>
      </c>
      <c r="Q30" t="str">
        <f>IF(tblRentRoll[[#This Row],[Monthly_Rent_EUR]]&lt;=0,"Rent&lt;=0","")</f>
        <v/>
      </c>
      <c r="R30">
        <f>IF(AND(tblRentRoll[[#This Row],[Status]]="Occupied", tblRentRoll[[#This Row],[Area_sqm]]&gt;0), tblRentRoll[[#This Row],[Annual_Rent_EUR]]/tblRentRoll[[#This Row],[Area_sqm]],"")</f>
        <v>115.67036144578314</v>
      </c>
      <c r="S30">
        <f>tblRentRoll[[#This Row],[Service_Charge_EUR]]+tblRentRoll[[#This Row],[Operating_Cost_EUR]]</f>
        <v>4149.75</v>
      </c>
      <c r="T30">
        <f>IF(tblRentRoll[[#This Row],[Annual_Rent_EUR]]&lt;&gt;0,tblRentRoll[[#This Row],[Annual_Rent_EUR]]-tblRentRoll[[#This Row],[Operating_Cost_EUR]], "")</f>
        <v>142873.67000000001</v>
      </c>
      <c r="U30">
        <f ca="1">IF(AND(tblRentRoll[[#This Row],[Status]]="Occupied",tblRentRoll[[#This Row],[Lease_End]]&gt;=TODAY()),DATEDIF(TODAY(),tblRentRoll[[#This Row],[Lease_End]],"m"), 0)</f>
        <v>0</v>
      </c>
      <c r="V30" t="str">
        <f ca="1">IF(tblRentRoll[[#This Row],[Status]]&lt;&gt;"Occupied","", IF(tblRentRoll[[#This Row],[Month_to_Expiry]]&lt;=3, "0-3 Monaten",  IF(tblRentRoll[[#This Row],[Month_to_Expiry]]&lt;=6, "3-6 Monaten", IF(tblRentRoll[[#This Row],[Month_to_Expiry]]&lt;=12,"6-12 Monaten", IF(tblRentRoll[[#This Row],[Month_to_Expiry]]&gt;=12, "12 M+",)))))</f>
        <v>0-3 Monaten</v>
      </c>
      <c r="W30">
        <f>IF(tblRentRoll[[#This Row],[Status]]="Vacant", tblRentRoll[[#This Row],[Area_sqm]],0)</f>
        <v>0</v>
      </c>
      <c r="X30" s="3">
        <f>IF(tblRentRoll[[#This Row],[Status]]="Occupied", tblRentRoll[[#This Row],[Area_sqm]],0)</f>
        <v>1245</v>
      </c>
      <c r="Y30" s="3">
        <f ca="1">tblRentRoll[[#This Row],[Month_to_Expiry]]/12*tblRentRoll[[#This Row],[Annual_Rent_EUR]]</f>
        <v>0</v>
      </c>
      <c r="Z30" s="3"/>
    </row>
    <row r="31" spans="1:26" x14ac:dyDescent="0.35">
      <c r="A31" t="s">
        <v>27</v>
      </c>
      <c r="B31" t="s">
        <v>77</v>
      </c>
      <c r="C31" t="s">
        <v>19</v>
      </c>
      <c r="D31">
        <v>1272</v>
      </c>
      <c r="E31" t="s">
        <v>15</v>
      </c>
      <c r="F31" t="s">
        <v>78</v>
      </c>
      <c r="G31">
        <v>14498.27</v>
      </c>
      <c r="H31">
        <v>173979.24</v>
      </c>
      <c r="I31" s="2">
        <f>tblRentRoll[[#This Row],[Monthly_Rent_EUR]]*12</f>
        <v>173979.24</v>
      </c>
      <c r="J31" s="2" t="str">
        <f>IF(tblRentRoll[[#This Row],[Annual_Rent_EUR]]&lt;&gt;tblRentRoll[[#This Row],[Jahresrente_EUR]], "FALSCH", "")</f>
        <v/>
      </c>
      <c r="K31" s="1">
        <v>44609</v>
      </c>
      <c r="L31" s="1">
        <v>46310</v>
      </c>
      <c r="M31">
        <v>2011.21</v>
      </c>
      <c r="N31">
        <v>944.62</v>
      </c>
      <c r="O3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 t="str">
        <f>IF(tblRentRoll[[#This Row],[Area_sqm]]&lt;=0,"Area&lt;=0","")</f>
        <v/>
      </c>
      <c r="Q31" t="str">
        <f>IF(tblRentRoll[[#This Row],[Monthly_Rent_EUR]]&lt;=0,"Rent&lt;=0","")</f>
        <v/>
      </c>
      <c r="R31">
        <f>IF(AND(tblRentRoll[[#This Row],[Status]]="Occupied", tblRentRoll[[#This Row],[Area_sqm]]&gt;0), tblRentRoll[[#This Row],[Annual_Rent_EUR]]/tblRentRoll[[#This Row],[Area_sqm]],"")</f>
        <v>136.77613207547168</v>
      </c>
      <c r="S31">
        <f>tblRentRoll[[#This Row],[Service_Charge_EUR]]+tblRentRoll[[#This Row],[Operating_Cost_EUR]]</f>
        <v>2955.83</v>
      </c>
      <c r="T31">
        <f>IF(tblRentRoll[[#This Row],[Annual_Rent_EUR]]&lt;&gt;0,tblRentRoll[[#This Row],[Annual_Rent_EUR]]-tblRentRoll[[#This Row],[Operating_Cost_EUR]], "")</f>
        <v>173034.62</v>
      </c>
      <c r="U31">
        <f ca="1">IF(AND(tblRentRoll[[#This Row],[Status]]="Occupied",tblRentRoll[[#This Row],[Lease_End]]&gt;=TODAY()),DATEDIF(TODAY(),tblRentRoll[[#This Row],[Lease_End]],"m"), 0)</f>
        <v>7</v>
      </c>
      <c r="V31" t="str">
        <f ca="1">IF(tblRentRoll[[#This Row],[Status]]&lt;&gt;"Occupied","", IF(tblRentRoll[[#This Row],[Month_to_Expiry]]&lt;=3, "0-3 Monaten",  IF(tblRentRoll[[#This Row],[Month_to_Expiry]]&lt;=6, "3-6 Monaten", IF(tblRentRoll[[#This Row],[Month_to_Expiry]]&lt;=12,"6-12 Monaten", IF(tblRentRoll[[#This Row],[Month_to_Expiry]]&gt;=12, "12 M+",)))))</f>
        <v>6-12 Monaten</v>
      </c>
      <c r="W31">
        <f>IF(tblRentRoll[[#This Row],[Status]]="Vacant", tblRentRoll[[#This Row],[Area_sqm]],0)</f>
        <v>0</v>
      </c>
      <c r="X31" s="3">
        <f>IF(tblRentRoll[[#This Row],[Status]]="Occupied", tblRentRoll[[#This Row],[Area_sqm]],0)</f>
        <v>1272</v>
      </c>
      <c r="Y31" s="3">
        <f ca="1">tblRentRoll[[#This Row],[Month_to_Expiry]]/12*tblRentRoll[[#This Row],[Annual_Rent_EUR]]</f>
        <v>101487.89</v>
      </c>
      <c r="Z31" s="3"/>
    </row>
    <row r="32" spans="1:26" x14ac:dyDescent="0.35">
      <c r="A32" t="s">
        <v>44</v>
      </c>
      <c r="B32" t="s">
        <v>79</v>
      </c>
      <c r="C32" t="s">
        <v>19</v>
      </c>
      <c r="D32">
        <v>1089</v>
      </c>
      <c r="E32" t="s">
        <v>15</v>
      </c>
      <c r="F32" t="s">
        <v>80</v>
      </c>
      <c r="G32">
        <v>18980.11</v>
      </c>
      <c r="H32">
        <v>227761.32</v>
      </c>
      <c r="I32" s="2">
        <f>tblRentRoll[[#This Row],[Monthly_Rent_EUR]]*12</f>
        <v>227761.32</v>
      </c>
      <c r="J32" s="2" t="str">
        <f>IF(tblRentRoll[[#This Row],[Annual_Rent_EUR]]&lt;&gt;tblRentRoll[[#This Row],[Jahresrente_EUR]], "FALSCH", "")</f>
        <v/>
      </c>
      <c r="K32" s="1">
        <v>44729</v>
      </c>
      <c r="L32" s="1">
        <v>45184</v>
      </c>
      <c r="M32">
        <v>2653.13</v>
      </c>
      <c r="N32">
        <v>990.64</v>
      </c>
      <c r="O3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 t="str">
        <f>IF(tblRentRoll[[#This Row],[Area_sqm]]&lt;=0,"Area&lt;=0","")</f>
        <v/>
      </c>
      <c r="Q32" t="str">
        <f>IF(tblRentRoll[[#This Row],[Monthly_Rent_EUR]]&lt;=0,"Rent&lt;=0","")</f>
        <v/>
      </c>
      <c r="R32">
        <f>IF(AND(tblRentRoll[[#This Row],[Status]]="Occupied", tblRentRoll[[#This Row],[Area_sqm]]&gt;0), tblRentRoll[[#This Row],[Annual_Rent_EUR]]/tblRentRoll[[#This Row],[Area_sqm]],"")</f>
        <v>209.14721763085399</v>
      </c>
      <c r="S32">
        <f>tblRentRoll[[#This Row],[Service_Charge_EUR]]+tblRentRoll[[#This Row],[Operating_Cost_EUR]]</f>
        <v>3643.77</v>
      </c>
      <c r="T32">
        <f>IF(tblRentRoll[[#This Row],[Annual_Rent_EUR]]&lt;&gt;0,tblRentRoll[[#This Row],[Annual_Rent_EUR]]-tblRentRoll[[#This Row],[Operating_Cost_EUR]], "")</f>
        <v>226770.68</v>
      </c>
      <c r="U32">
        <f ca="1">IF(AND(tblRentRoll[[#This Row],[Status]]="Occupied",tblRentRoll[[#This Row],[Lease_End]]&gt;=TODAY()),DATEDIF(TODAY(),tblRentRoll[[#This Row],[Lease_End]],"m"), 0)</f>
        <v>0</v>
      </c>
      <c r="V32" t="str">
        <f ca="1">IF(tblRentRoll[[#This Row],[Status]]&lt;&gt;"Occupied","", IF(tblRentRoll[[#This Row],[Month_to_Expiry]]&lt;=3, "0-3 Monaten",  IF(tblRentRoll[[#This Row],[Month_to_Expiry]]&lt;=6, "3-6 Monaten", IF(tblRentRoll[[#This Row],[Month_to_Expiry]]&lt;=12,"6-12 Monaten", IF(tblRentRoll[[#This Row],[Month_to_Expiry]]&gt;=12, "12 M+",)))))</f>
        <v>0-3 Monaten</v>
      </c>
      <c r="W32">
        <f>IF(tblRentRoll[[#This Row],[Status]]="Vacant", tblRentRoll[[#This Row],[Area_sqm]],0)</f>
        <v>0</v>
      </c>
      <c r="X32" s="3">
        <f>IF(tblRentRoll[[#This Row],[Status]]="Occupied", tblRentRoll[[#This Row],[Area_sqm]],0)</f>
        <v>1089</v>
      </c>
      <c r="Y32" s="3">
        <f ca="1">tblRentRoll[[#This Row],[Month_to_Expiry]]/12*tblRentRoll[[#This Row],[Annual_Rent_EUR]]</f>
        <v>0</v>
      </c>
      <c r="Z32" s="3"/>
    </row>
    <row r="33" spans="1:26" x14ac:dyDescent="0.35">
      <c r="A33" t="s">
        <v>56</v>
      </c>
      <c r="B33" t="s">
        <v>81</v>
      </c>
      <c r="C33" t="s">
        <v>33</v>
      </c>
      <c r="D33">
        <v>899</v>
      </c>
      <c r="E33" t="s">
        <v>15</v>
      </c>
      <c r="F33" t="s">
        <v>82</v>
      </c>
      <c r="G33">
        <v>12542.71</v>
      </c>
      <c r="H33">
        <v>150512.51999999999</v>
      </c>
      <c r="I33" s="2">
        <f>tblRentRoll[[#This Row],[Monthly_Rent_EUR]]*12</f>
        <v>150512.51999999999</v>
      </c>
      <c r="J33" s="2" t="str">
        <f>IF(tblRentRoll[[#This Row],[Annual_Rent_EUR]]&lt;&gt;tblRentRoll[[#This Row],[Jahresrente_EUR]], "FALSCH", "")</f>
        <v/>
      </c>
      <c r="K33" s="1">
        <v>44912</v>
      </c>
      <c r="L33" s="1">
        <v>45789</v>
      </c>
      <c r="M33">
        <v>2529.5300000000002</v>
      </c>
      <c r="N33">
        <v>1111.18</v>
      </c>
      <c r="O3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 t="str">
        <f>IF(tblRentRoll[[#This Row],[Area_sqm]]&lt;=0,"Area&lt;=0","")</f>
        <v/>
      </c>
      <c r="Q33" t="str">
        <f>IF(tblRentRoll[[#This Row],[Monthly_Rent_EUR]]&lt;=0,"Rent&lt;=0","")</f>
        <v/>
      </c>
      <c r="R33">
        <f>IF(AND(tblRentRoll[[#This Row],[Status]]="Occupied", tblRentRoll[[#This Row],[Area_sqm]]&gt;0), tblRentRoll[[#This Row],[Annual_Rent_EUR]]/tblRentRoll[[#This Row],[Area_sqm]],"")</f>
        <v>167.42215795328141</v>
      </c>
      <c r="S33">
        <f>tblRentRoll[[#This Row],[Service_Charge_EUR]]+tblRentRoll[[#This Row],[Operating_Cost_EUR]]</f>
        <v>3640.71</v>
      </c>
      <c r="T33">
        <f>IF(tblRentRoll[[#This Row],[Annual_Rent_EUR]]&lt;&gt;0,tblRentRoll[[#This Row],[Annual_Rent_EUR]]-tblRentRoll[[#This Row],[Operating_Cost_EUR]], "")</f>
        <v>149401.34</v>
      </c>
      <c r="U33">
        <f ca="1">IF(AND(tblRentRoll[[#This Row],[Status]]="Occupied",tblRentRoll[[#This Row],[Lease_End]]&gt;=TODAY()),DATEDIF(TODAY(),tblRentRoll[[#This Row],[Lease_End]],"m"), 0)</f>
        <v>0</v>
      </c>
      <c r="V33" t="str">
        <f ca="1">IF(tblRentRoll[[#This Row],[Status]]&lt;&gt;"Occupied","", IF(tblRentRoll[[#This Row],[Month_to_Expiry]]&lt;=3, "0-3 Monaten",  IF(tblRentRoll[[#This Row],[Month_to_Expiry]]&lt;=6, "3-6 Monaten", IF(tblRentRoll[[#This Row],[Month_to_Expiry]]&lt;=12,"6-12 Monaten", IF(tblRentRoll[[#This Row],[Month_to_Expiry]]&gt;=12, "12 M+",)))))</f>
        <v>0-3 Monaten</v>
      </c>
      <c r="W33">
        <f>IF(tblRentRoll[[#This Row],[Status]]="Vacant", tblRentRoll[[#This Row],[Area_sqm]],0)</f>
        <v>0</v>
      </c>
      <c r="X33" s="3">
        <f>IF(tblRentRoll[[#This Row],[Status]]="Occupied", tblRentRoll[[#This Row],[Area_sqm]],0)</f>
        <v>899</v>
      </c>
      <c r="Y33" s="3">
        <f ca="1">tblRentRoll[[#This Row],[Month_to_Expiry]]/12*tblRentRoll[[#This Row],[Annual_Rent_EUR]]</f>
        <v>0</v>
      </c>
      <c r="Z33" s="3"/>
    </row>
    <row r="34" spans="1:26" x14ac:dyDescent="0.35">
      <c r="A34" t="s">
        <v>21</v>
      </c>
      <c r="B34" t="s">
        <v>83</v>
      </c>
      <c r="C34" t="s">
        <v>14</v>
      </c>
      <c r="D34">
        <v>1143</v>
      </c>
      <c r="E34" t="s">
        <v>15</v>
      </c>
      <c r="F34" t="s">
        <v>84</v>
      </c>
      <c r="G34">
        <v>14257.35</v>
      </c>
      <c r="H34">
        <v>171088.2</v>
      </c>
      <c r="I34" s="2">
        <f>tblRentRoll[[#This Row],[Monthly_Rent_EUR]]*12</f>
        <v>171088.2</v>
      </c>
      <c r="J34" s="2" t="str">
        <f>IF(tblRentRoll[[#This Row],[Annual_Rent_EUR]]&lt;&gt;tblRentRoll[[#This Row],[Jahresrente_EUR]], "FALSCH", "")</f>
        <v/>
      </c>
      <c r="K34" s="1">
        <v>45118</v>
      </c>
      <c r="L34" s="1">
        <v>45901</v>
      </c>
      <c r="M34">
        <v>2345.29</v>
      </c>
      <c r="N34">
        <v>1675.28</v>
      </c>
      <c r="O3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 t="str">
        <f>IF(tblRentRoll[[#This Row],[Area_sqm]]&lt;=0,"Area&lt;=0","")</f>
        <v/>
      </c>
      <c r="Q34" t="str">
        <f>IF(tblRentRoll[[#This Row],[Monthly_Rent_EUR]]&lt;=0,"Rent&lt;=0","")</f>
        <v/>
      </c>
      <c r="R34">
        <f>IF(AND(tblRentRoll[[#This Row],[Status]]="Occupied", tblRentRoll[[#This Row],[Area_sqm]]&gt;0), tblRentRoll[[#This Row],[Annual_Rent_EUR]]/tblRentRoll[[#This Row],[Area_sqm]],"")</f>
        <v>149.68346456692913</v>
      </c>
      <c r="S34">
        <f>tblRentRoll[[#This Row],[Service_Charge_EUR]]+tblRentRoll[[#This Row],[Operating_Cost_EUR]]</f>
        <v>4020.5699999999997</v>
      </c>
      <c r="T34">
        <f>IF(tblRentRoll[[#This Row],[Annual_Rent_EUR]]&lt;&gt;0,tblRentRoll[[#This Row],[Annual_Rent_EUR]]-tblRentRoll[[#This Row],[Operating_Cost_EUR]], "")</f>
        <v>169412.92</v>
      </c>
      <c r="U34">
        <f ca="1">IF(AND(tblRentRoll[[#This Row],[Status]]="Occupied",tblRentRoll[[#This Row],[Lease_End]]&gt;=TODAY()),DATEDIF(TODAY(),tblRentRoll[[#This Row],[Lease_End]],"m"), 0)</f>
        <v>0</v>
      </c>
      <c r="V34" t="str">
        <f ca="1">IF(tblRentRoll[[#This Row],[Status]]&lt;&gt;"Occupied","", IF(tblRentRoll[[#This Row],[Month_to_Expiry]]&lt;=3, "0-3 Monaten",  IF(tblRentRoll[[#This Row],[Month_to_Expiry]]&lt;=6, "3-6 Monaten", IF(tblRentRoll[[#This Row],[Month_to_Expiry]]&lt;=12,"6-12 Monaten", IF(tblRentRoll[[#This Row],[Month_to_Expiry]]&gt;=12, "12 M+",)))))</f>
        <v>0-3 Monaten</v>
      </c>
      <c r="W34">
        <f>IF(tblRentRoll[[#This Row],[Status]]="Vacant", tblRentRoll[[#This Row],[Area_sqm]],0)</f>
        <v>0</v>
      </c>
      <c r="X34" s="3">
        <f>IF(tblRentRoll[[#This Row],[Status]]="Occupied", tblRentRoll[[#This Row],[Area_sqm]],0)</f>
        <v>1143</v>
      </c>
      <c r="Y34" s="3">
        <f ca="1">tblRentRoll[[#This Row],[Month_to_Expiry]]/12*tblRentRoll[[#This Row],[Annual_Rent_EUR]]</f>
        <v>0</v>
      </c>
      <c r="Z34" s="3"/>
    </row>
    <row r="35" spans="1:26" x14ac:dyDescent="0.35">
      <c r="A35" t="s">
        <v>12</v>
      </c>
      <c r="B35" t="s">
        <v>85</v>
      </c>
      <c r="C35" t="s">
        <v>14</v>
      </c>
      <c r="D35">
        <v>524</v>
      </c>
      <c r="E35" t="s">
        <v>15</v>
      </c>
      <c r="F35" t="s">
        <v>86</v>
      </c>
      <c r="G35">
        <v>9084.25</v>
      </c>
      <c r="H35">
        <v>109011</v>
      </c>
      <c r="I35" s="2">
        <f>tblRentRoll[[#This Row],[Monthly_Rent_EUR]]*12</f>
        <v>109011</v>
      </c>
      <c r="J35" s="2" t="str">
        <f>IF(tblRentRoll[[#This Row],[Annual_Rent_EUR]]&lt;&gt;tblRentRoll[[#This Row],[Jahresrente_EUR]], "FALSCH", "")</f>
        <v/>
      </c>
      <c r="K35" s="1">
        <v>44548</v>
      </c>
      <c r="L35" s="1">
        <v>46118</v>
      </c>
      <c r="M35">
        <v>1359.67</v>
      </c>
      <c r="N35">
        <v>486.6</v>
      </c>
      <c r="O3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 t="str">
        <f>IF(tblRentRoll[[#This Row],[Area_sqm]]&lt;=0,"Area&lt;=0","")</f>
        <v/>
      </c>
      <c r="Q35" t="str">
        <f>IF(tblRentRoll[[#This Row],[Monthly_Rent_EUR]]&lt;=0,"Rent&lt;=0","")</f>
        <v/>
      </c>
      <c r="R35">
        <f>IF(AND(tblRentRoll[[#This Row],[Status]]="Occupied", tblRentRoll[[#This Row],[Area_sqm]]&gt;0), tblRentRoll[[#This Row],[Annual_Rent_EUR]]/tblRentRoll[[#This Row],[Area_sqm]],"")</f>
        <v>208.03625954198472</v>
      </c>
      <c r="S35">
        <f>tblRentRoll[[#This Row],[Service_Charge_EUR]]+tblRentRoll[[#This Row],[Operating_Cost_EUR]]</f>
        <v>1846.27</v>
      </c>
      <c r="T35">
        <f>IF(tblRentRoll[[#This Row],[Annual_Rent_EUR]]&lt;&gt;0,tblRentRoll[[#This Row],[Annual_Rent_EUR]]-tblRentRoll[[#This Row],[Operating_Cost_EUR]], "")</f>
        <v>108524.4</v>
      </c>
      <c r="U35">
        <f ca="1">IF(AND(tblRentRoll[[#This Row],[Status]]="Occupied",tblRentRoll[[#This Row],[Lease_End]]&gt;=TODAY()),DATEDIF(TODAY(),tblRentRoll[[#This Row],[Lease_End]],"m"), 0)</f>
        <v>0</v>
      </c>
      <c r="V35" t="str">
        <f ca="1">IF(tblRentRoll[[#This Row],[Status]]&lt;&gt;"Occupied","", IF(tblRentRoll[[#This Row],[Month_to_Expiry]]&lt;=3, "0-3 Monaten",  IF(tblRentRoll[[#This Row],[Month_to_Expiry]]&lt;=6, "3-6 Monaten", IF(tblRentRoll[[#This Row],[Month_to_Expiry]]&lt;=12,"6-12 Monaten", IF(tblRentRoll[[#This Row],[Month_to_Expiry]]&gt;=12, "12 M+",)))))</f>
        <v>0-3 Monaten</v>
      </c>
      <c r="W35">
        <f>IF(tblRentRoll[[#This Row],[Status]]="Vacant", tblRentRoll[[#This Row],[Area_sqm]],0)</f>
        <v>0</v>
      </c>
      <c r="X35" s="3">
        <f>IF(tblRentRoll[[#This Row],[Status]]="Occupied", tblRentRoll[[#This Row],[Area_sqm]],0)</f>
        <v>524</v>
      </c>
      <c r="Y35" s="3">
        <f ca="1">tblRentRoll[[#This Row],[Month_to_Expiry]]/12*tblRentRoll[[#This Row],[Annual_Rent_EUR]]</f>
        <v>0</v>
      </c>
      <c r="Z35" s="3"/>
    </row>
    <row r="36" spans="1:26" x14ac:dyDescent="0.35">
      <c r="A36" t="s">
        <v>31</v>
      </c>
      <c r="B36" t="s">
        <v>87</v>
      </c>
      <c r="C36" t="s">
        <v>29</v>
      </c>
      <c r="D36">
        <v>376</v>
      </c>
      <c r="E36" t="s">
        <v>15</v>
      </c>
      <c r="F36" t="s">
        <v>88</v>
      </c>
      <c r="G36">
        <v>6140.9</v>
      </c>
      <c r="H36">
        <v>73690.8</v>
      </c>
      <c r="I36" s="2">
        <f>tblRentRoll[[#This Row],[Monthly_Rent_EUR]]*12</f>
        <v>73690.799999999988</v>
      </c>
      <c r="J36" s="2" t="str">
        <f>IF(tblRentRoll[[#This Row],[Annual_Rent_EUR]]&lt;&gt;tblRentRoll[[#This Row],[Jahresrente_EUR]], "FALSCH", "")</f>
        <v/>
      </c>
      <c r="K36" s="1">
        <v>44620</v>
      </c>
      <c r="L36" s="1">
        <v>45660</v>
      </c>
      <c r="M36">
        <v>809</v>
      </c>
      <c r="N36">
        <v>529.23</v>
      </c>
      <c r="O3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 t="str">
        <f>IF(tblRentRoll[[#This Row],[Area_sqm]]&lt;=0,"Area&lt;=0","")</f>
        <v/>
      </c>
      <c r="Q36" t="str">
        <f>IF(tblRentRoll[[#This Row],[Monthly_Rent_EUR]]&lt;=0,"Rent&lt;=0","")</f>
        <v/>
      </c>
      <c r="R36">
        <f>IF(AND(tblRentRoll[[#This Row],[Status]]="Occupied", tblRentRoll[[#This Row],[Area_sqm]]&gt;0), tblRentRoll[[#This Row],[Annual_Rent_EUR]]/tblRentRoll[[#This Row],[Area_sqm]],"")</f>
        <v>195.98617021276596</v>
      </c>
      <c r="S36">
        <f>tblRentRoll[[#This Row],[Service_Charge_EUR]]+tblRentRoll[[#This Row],[Operating_Cost_EUR]]</f>
        <v>1338.23</v>
      </c>
      <c r="T36">
        <f>IF(tblRentRoll[[#This Row],[Annual_Rent_EUR]]&lt;&gt;0,tblRentRoll[[#This Row],[Annual_Rent_EUR]]-tblRentRoll[[#This Row],[Operating_Cost_EUR]], "")</f>
        <v>73161.570000000007</v>
      </c>
      <c r="U36">
        <f ca="1">IF(AND(tblRentRoll[[#This Row],[Status]]="Occupied",tblRentRoll[[#This Row],[Lease_End]]&gt;=TODAY()),DATEDIF(TODAY(),tblRentRoll[[#This Row],[Lease_End]],"m"), 0)</f>
        <v>0</v>
      </c>
      <c r="V36" t="str">
        <f ca="1">IF(tblRentRoll[[#This Row],[Status]]&lt;&gt;"Occupied","", IF(tblRentRoll[[#This Row],[Month_to_Expiry]]&lt;=3, "0-3 Monaten",  IF(tblRentRoll[[#This Row],[Month_to_Expiry]]&lt;=6, "3-6 Monaten", IF(tblRentRoll[[#This Row],[Month_to_Expiry]]&lt;=12,"6-12 Monaten", IF(tblRentRoll[[#This Row],[Month_to_Expiry]]&gt;=12, "12 M+",)))))</f>
        <v>0-3 Monaten</v>
      </c>
      <c r="W36">
        <f>IF(tblRentRoll[[#This Row],[Status]]="Vacant", tblRentRoll[[#This Row],[Area_sqm]],0)</f>
        <v>0</v>
      </c>
      <c r="X36" s="3">
        <f>IF(tblRentRoll[[#This Row],[Status]]="Occupied", tblRentRoll[[#This Row],[Area_sqm]],0)</f>
        <v>376</v>
      </c>
      <c r="Y36" s="3">
        <f ca="1">tblRentRoll[[#This Row],[Month_to_Expiry]]/12*tblRentRoll[[#This Row],[Annual_Rent_EUR]]</f>
        <v>0</v>
      </c>
      <c r="Z36" s="3"/>
    </row>
    <row r="37" spans="1:26" x14ac:dyDescent="0.35">
      <c r="A37" t="s">
        <v>27</v>
      </c>
      <c r="B37" t="s">
        <v>89</v>
      </c>
      <c r="C37" t="s">
        <v>33</v>
      </c>
      <c r="D37">
        <v>294</v>
      </c>
      <c r="E37" t="s">
        <v>15</v>
      </c>
      <c r="F37" t="s">
        <v>90</v>
      </c>
      <c r="G37">
        <v>2266.0100000000002</v>
      </c>
      <c r="H37">
        <v>27192.12</v>
      </c>
      <c r="I37" s="2">
        <f>tblRentRoll[[#This Row],[Monthly_Rent_EUR]]*12</f>
        <v>27192.120000000003</v>
      </c>
      <c r="J37" s="2" t="str">
        <f>IF(tblRentRoll[[#This Row],[Annual_Rent_EUR]]&lt;&gt;tblRentRoll[[#This Row],[Jahresrente_EUR]], "FALSCH", "")</f>
        <v/>
      </c>
      <c r="K37" s="1">
        <v>44974</v>
      </c>
      <c r="L37" s="1">
        <v>46056</v>
      </c>
      <c r="M37">
        <v>549.35</v>
      </c>
      <c r="N37">
        <v>714.69</v>
      </c>
      <c r="O3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 t="str">
        <f>IF(tblRentRoll[[#This Row],[Area_sqm]]&lt;=0,"Area&lt;=0","")</f>
        <v/>
      </c>
      <c r="Q37" t="str">
        <f>IF(tblRentRoll[[#This Row],[Monthly_Rent_EUR]]&lt;=0,"Rent&lt;=0","")</f>
        <v/>
      </c>
      <c r="R37">
        <f>IF(AND(tblRentRoll[[#This Row],[Status]]="Occupied", tblRentRoll[[#This Row],[Area_sqm]]&gt;0), tblRentRoll[[#This Row],[Annual_Rent_EUR]]/tblRentRoll[[#This Row],[Area_sqm]],"")</f>
        <v>92.490204081632655</v>
      </c>
      <c r="S37">
        <f>tblRentRoll[[#This Row],[Service_Charge_EUR]]+tblRentRoll[[#This Row],[Operating_Cost_EUR]]</f>
        <v>1264.04</v>
      </c>
      <c r="T37">
        <f>IF(tblRentRoll[[#This Row],[Annual_Rent_EUR]]&lt;&gt;0,tblRentRoll[[#This Row],[Annual_Rent_EUR]]-tblRentRoll[[#This Row],[Operating_Cost_EUR]], "")</f>
        <v>26477.43</v>
      </c>
      <c r="U37">
        <f ca="1">IF(AND(tblRentRoll[[#This Row],[Status]]="Occupied",tblRentRoll[[#This Row],[Lease_End]]&gt;=TODAY()),DATEDIF(TODAY(),tblRentRoll[[#This Row],[Lease_End]],"m"), 0)</f>
        <v>0</v>
      </c>
      <c r="V37" t="str">
        <f ca="1">IF(tblRentRoll[[#This Row],[Status]]&lt;&gt;"Occupied","", IF(tblRentRoll[[#This Row],[Month_to_Expiry]]&lt;=3, "0-3 Monaten",  IF(tblRentRoll[[#This Row],[Month_to_Expiry]]&lt;=6, "3-6 Monaten", IF(tblRentRoll[[#This Row],[Month_to_Expiry]]&lt;=12,"6-12 Monaten", IF(tblRentRoll[[#This Row],[Month_to_Expiry]]&gt;=12, "12 M+",)))))</f>
        <v>0-3 Monaten</v>
      </c>
      <c r="W37">
        <f>IF(tblRentRoll[[#This Row],[Status]]="Vacant", tblRentRoll[[#This Row],[Area_sqm]],0)</f>
        <v>0</v>
      </c>
      <c r="X37" s="3">
        <f>IF(tblRentRoll[[#This Row],[Status]]="Occupied", tblRentRoll[[#This Row],[Area_sqm]],0)</f>
        <v>294</v>
      </c>
      <c r="Y37" s="3">
        <f ca="1">tblRentRoll[[#This Row],[Month_to_Expiry]]/12*tblRentRoll[[#This Row],[Annual_Rent_EUR]]</f>
        <v>0</v>
      </c>
      <c r="Z37" s="3"/>
    </row>
    <row r="38" spans="1:26" x14ac:dyDescent="0.35">
      <c r="A38" t="s">
        <v>21</v>
      </c>
      <c r="B38" t="s">
        <v>91</v>
      </c>
      <c r="C38" t="s">
        <v>29</v>
      </c>
      <c r="D38">
        <v>1052</v>
      </c>
      <c r="E38" t="s">
        <v>20</v>
      </c>
      <c r="G38">
        <v>0</v>
      </c>
      <c r="H38">
        <v>0</v>
      </c>
      <c r="I38" s="2">
        <f>tblRentRoll[[#This Row],[Monthly_Rent_EUR]]*12</f>
        <v>0</v>
      </c>
      <c r="J38" s="2" t="str">
        <f>IF(tblRentRoll[[#This Row],[Annual_Rent_EUR]]&lt;&gt;tblRentRoll[[#This Row],[Jahresrente_EUR]], "FALSCH", "")</f>
        <v/>
      </c>
      <c r="M38">
        <v>2965.03</v>
      </c>
      <c r="N38">
        <v>936.19</v>
      </c>
      <c r="O3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 t="str">
        <f>IF(tblRentRoll[[#This Row],[Area_sqm]]&lt;=0,"Area&lt;=0","")</f>
        <v/>
      </c>
      <c r="Q38" t="str">
        <f>IF(tblRentRoll[[#This Row],[Monthly_Rent_EUR]]&lt;=0,"Rent&lt;=0","")</f>
        <v>Rent&lt;=0</v>
      </c>
      <c r="R38" t="str">
        <f>IF(AND(tblRentRoll[[#This Row],[Status]]="Occupied", tblRentRoll[[#This Row],[Area_sqm]]&gt;0), tblRentRoll[[#This Row],[Annual_Rent_EUR]]/tblRentRoll[[#This Row],[Area_sqm]],"")</f>
        <v/>
      </c>
      <c r="S38">
        <f>tblRentRoll[[#This Row],[Service_Charge_EUR]]+tblRentRoll[[#This Row],[Operating_Cost_EUR]]</f>
        <v>3901.2200000000003</v>
      </c>
      <c r="T38" t="str">
        <f>IF(tblRentRoll[[#This Row],[Annual_Rent_EUR]]&lt;&gt;0,tblRentRoll[[#This Row],[Annual_Rent_EUR]]-tblRentRoll[[#This Row],[Operating_Cost_EUR]], "")</f>
        <v/>
      </c>
      <c r="U38">
        <f ca="1">IF(AND(tblRentRoll[[#This Row],[Status]]="Occupied",tblRentRoll[[#This Row],[Lease_End]]&gt;=TODAY()),DATEDIF(TODAY(),tblRentRoll[[#This Row],[Lease_End]],"m"), 0)</f>
        <v>0</v>
      </c>
      <c r="V38" t="str">
        <f>IF(tblRentRoll[[#This Row],[Status]]&lt;&gt;"Occupied","", IF(tblRentRoll[[#This Row],[Month_to_Expiry]]&lt;=3, "0-3 Monaten",  IF(tblRentRoll[[#This Row],[Month_to_Expiry]]&lt;=6, "3-6 Monaten", IF(tblRentRoll[[#This Row],[Month_to_Expiry]]&lt;=12,"6-12 Monaten", IF(tblRentRoll[[#This Row],[Month_to_Expiry]]&gt;=12, "12 M+",)))))</f>
        <v/>
      </c>
      <c r="W38">
        <f>IF(tblRentRoll[[#This Row],[Status]]="Vacant", tblRentRoll[[#This Row],[Area_sqm]],0)</f>
        <v>1052</v>
      </c>
      <c r="X38" s="3">
        <f>IF(tblRentRoll[[#This Row],[Status]]="Occupied", tblRentRoll[[#This Row],[Area_sqm]],0)</f>
        <v>0</v>
      </c>
      <c r="Y38" s="3">
        <f ca="1">tblRentRoll[[#This Row],[Month_to_Expiry]]/12*tblRentRoll[[#This Row],[Annual_Rent_EUR]]</f>
        <v>0</v>
      </c>
      <c r="Z38" s="3"/>
    </row>
    <row r="39" spans="1:26" x14ac:dyDescent="0.35">
      <c r="A39" t="s">
        <v>21</v>
      </c>
      <c r="B39" t="s">
        <v>92</v>
      </c>
      <c r="C39" t="s">
        <v>14</v>
      </c>
      <c r="D39">
        <v>438</v>
      </c>
      <c r="E39" t="s">
        <v>15</v>
      </c>
      <c r="F39" t="s">
        <v>88</v>
      </c>
      <c r="G39">
        <v>3589.14</v>
      </c>
      <c r="H39">
        <v>43069.68</v>
      </c>
      <c r="I39" s="2">
        <f>tblRentRoll[[#This Row],[Monthly_Rent_EUR]]*12</f>
        <v>43069.68</v>
      </c>
      <c r="J39" s="2" t="str">
        <f>IF(tblRentRoll[[#This Row],[Annual_Rent_EUR]]&lt;&gt;tblRentRoll[[#This Row],[Jahresrente_EUR]], "FALSCH", "")</f>
        <v/>
      </c>
      <c r="K39" s="1">
        <v>44892</v>
      </c>
      <c r="L39" s="1">
        <v>45456</v>
      </c>
      <c r="M39">
        <v>1016.8</v>
      </c>
      <c r="N39">
        <v>322.89</v>
      </c>
      <c r="O3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 t="str">
        <f>IF(tblRentRoll[[#This Row],[Area_sqm]]&lt;=0,"Area&lt;=0","")</f>
        <v/>
      </c>
      <c r="Q39" t="str">
        <f>IF(tblRentRoll[[#This Row],[Monthly_Rent_EUR]]&lt;=0,"Rent&lt;=0","")</f>
        <v/>
      </c>
      <c r="R39">
        <f>IF(AND(tblRentRoll[[#This Row],[Status]]="Occupied", tblRentRoll[[#This Row],[Area_sqm]]&gt;0), tblRentRoll[[#This Row],[Annual_Rent_EUR]]/tblRentRoll[[#This Row],[Area_sqm]],"")</f>
        <v>98.332602739726028</v>
      </c>
      <c r="S39">
        <f>tblRentRoll[[#This Row],[Service_Charge_EUR]]+tblRentRoll[[#This Row],[Operating_Cost_EUR]]</f>
        <v>1339.69</v>
      </c>
      <c r="T39">
        <f>IF(tblRentRoll[[#This Row],[Annual_Rent_EUR]]&lt;&gt;0,tblRentRoll[[#This Row],[Annual_Rent_EUR]]-tblRentRoll[[#This Row],[Operating_Cost_EUR]], "")</f>
        <v>42746.79</v>
      </c>
      <c r="U39">
        <f ca="1">IF(AND(tblRentRoll[[#This Row],[Status]]="Occupied",tblRentRoll[[#This Row],[Lease_End]]&gt;=TODAY()),DATEDIF(TODAY(),tblRentRoll[[#This Row],[Lease_End]],"m"), 0)</f>
        <v>0</v>
      </c>
      <c r="V39" t="str">
        <f ca="1">IF(tblRentRoll[[#This Row],[Status]]&lt;&gt;"Occupied","", IF(tblRentRoll[[#This Row],[Month_to_Expiry]]&lt;=3, "0-3 Monaten",  IF(tblRentRoll[[#This Row],[Month_to_Expiry]]&lt;=6, "3-6 Monaten", IF(tblRentRoll[[#This Row],[Month_to_Expiry]]&lt;=12,"6-12 Monaten", IF(tblRentRoll[[#This Row],[Month_to_Expiry]]&gt;=12, "12 M+",)))))</f>
        <v>0-3 Monaten</v>
      </c>
      <c r="W39">
        <f>IF(tblRentRoll[[#This Row],[Status]]="Vacant", tblRentRoll[[#This Row],[Area_sqm]],0)</f>
        <v>0</v>
      </c>
      <c r="X39" s="3">
        <f>IF(tblRentRoll[[#This Row],[Status]]="Occupied", tblRentRoll[[#This Row],[Area_sqm]],0)</f>
        <v>438</v>
      </c>
      <c r="Y39" s="3">
        <f ca="1">tblRentRoll[[#This Row],[Month_to_Expiry]]/12*tblRentRoll[[#This Row],[Annual_Rent_EUR]]</f>
        <v>0</v>
      </c>
      <c r="Z39" s="3"/>
    </row>
    <row r="40" spans="1:26" x14ac:dyDescent="0.35">
      <c r="A40" t="s">
        <v>44</v>
      </c>
      <c r="B40" t="s">
        <v>93</v>
      </c>
      <c r="C40" t="s">
        <v>33</v>
      </c>
      <c r="D40">
        <v>1214</v>
      </c>
      <c r="E40" t="s">
        <v>20</v>
      </c>
      <c r="G40">
        <v>0</v>
      </c>
      <c r="H40">
        <v>0</v>
      </c>
      <c r="I40" s="2">
        <f>tblRentRoll[[#This Row],[Monthly_Rent_EUR]]*12</f>
        <v>0</v>
      </c>
      <c r="J40" s="2" t="str">
        <f>IF(tblRentRoll[[#This Row],[Annual_Rent_EUR]]&lt;&gt;tblRentRoll[[#This Row],[Jahresrente_EUR]], "FALSCH", "")</f>
        <v/>
      </c>
      <c r="M40">
        <v>2066.27</v>
      </c>
      <c r="N40">
        <v>2268.37</v>
      </c>
      <c r="O4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 t="str">
        <f>IF(tblRentRoll[[#This Row],[Area_sqm]]&lt;=0,"Area&lt;=0","")</f>
        <v/>
      </c>
      <c r="Q40" t="str">
        <f>IF(tblRentRoll[[#This Row],[Monthly_Rent_EUR]]&lt;=0,"Rent&lt;=0","")</f>
        <v>Rent&lt;=0</v>
      </c>
      <c r="R40" t="str">
        <f>IF(AND(tblRentRoll[[#This Row],[Status]]="Occupied", tblRentRoll[[#This Row],[Area_sqm]]&gt;0), tblRentRoll[[#This Row],[Annual_Rent_EUR]]/tblRentRoll[[#This Row],[Area_sqm]],"")</f>
        <v/>
      </c>
      <c r="S40">
        <f>tblRentRoll[[#This Row],[Service_Charge_EUR]]+tblRentRoll[[#This Row],[Operating_Cost_EUR]]</f>
        <v>4334.6399999999994</v>
      </c>
      <c r="T40" t="str">
        <f>IF(tblRentRoll[[#This Row],[Annual_Rent_EUR]]&lt;&gt;0,tblRentRoll[[#This Row],[Annual_Rent_EUR]]-tblRentRoll[[#This Row],[Operating_Cost_EUR]], "")</f>
        <v/>
      </c>
      <c r="U40">
        <f ca="1">IF(AND(tblRentRoll[[#This Row],[Status]]="Occupied",tblRentRoll[[#This Row],[Lease_End]]&gt;=TODAY()),DATEDIF(TODAY(),tblRentRoll[[#This Row],[Lease_End]],"m"), 0)</f>
        <v>0</v>
      </c>
      <c r="V40" t="str">
        <f>IF(tblRentRoll[[#This Row],[Status]]&lt;&gt;"Occupied","", IF(tblRentRoll[[#This Row],[Month_to_Expiry]]&lt;=3, "0-3 Monaten",  IF(tblRentRoll[[#This Row],[Month_to_Expiry]]&lt;=6, "3-6 Monaten", IF(tblRentRoll[[#This Row],[Month_to_Expiry]]&lt;=12,"6-12 Monaten", IF(tblRentRoll[[#This Row],[Month_to_Expiry]]&gt;=12, "12 M+",)))))</f>
        <v/>
      </c>
      <c r="W40">
        <f>IF(tblRentRoll[[#This Row],[Status]]="Vacant", tblRentRoll[[#This Row],[Area_sqm]],0)</f>
        <v>1214</v>
      </c>
      <c r="X40" s="3">
        <f>IF(tblRentRoll[[#This Row],[Status]]="Occupied", tblRentRoll[[#This Row],[Area_sqm]],0)</f>
        <v>0</v>
      </c>
      <c r="Y40" s="3">
        <f ca="1">tblRentRoll[[#This Row],[Month_to_Expiry]]/12*tblRentRoll[[#This Row],[Annual_Rent_EUR]]</f>
        <v>0</v>
      </c>
      <c r="Z40" s="3"/>
    </row>
    <row r="41" spans="1:26" x14ac:dyDescent="0.35">
      <c r="A41" t="s">
        <v>27</v>
      </c>
      <c r="B41" t="s">
        <v>94</v>
      </c>
      <c r="C41" t="s">
        <v>19</v>
      </c>
      <c r="D41">
        <v>1021</v>
      </c>
      <c r="E41" t="s">
        <v>15</v>
      </c>
      <c r="F41" t="s">
        <v>95</v>
      </c>
      <c r="G41">
        <v>16833.259999999998</v>
      </c>
      <c r="H41">
        <v>201999.12</v>
      </c>
      <c r="I41" s="2">
        <f>tblRentRoll[[#This Row],[Monthly_Rent_EUR]]*12</f>
        <v>201999.12</v>
      </c>
      <c r="J41" s="2" t="str">
        <f>IF(tblRentRoll[[#This Row],[Annual_Rent_EUR]]&lt;&gt;tblRentRoll[[#This Row],[Jahresrente_EUR]], "FALSCH", "")</f>
        <v/>
      </c>
      <c r="K41" s="1">
        <v>45116</v>
      </c>
      <c r="L41" s="1">
        <v>45536</v>
      </c>
      <c r="M41">
        <v>2746.31</v>
      </c>
      <c r="N41">
        <v>926.43</v>
      </c>
      <c r="O4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 t="str">
        <f>IF(tblRentRoll[[#This Row],[Area_sqm]]&lt;=0,"Area&lt;=0","")</f>
        <v/>
      </c>
      <c r="Q41" t="str">
        <f>IF(tblRentRoll[[#This Row],[Monthly_Rent_EUR]]&lt;=0,"Rent&lt;=0","")</f>
        <v/>
      </c>
      <c r="R41">
        <f>IF(AND(tblRentRoll[[#This Row],[Status]]="Occupied", tblRentRoll[[#This Row],[Area_sqm]]&gt;0), tblRentRoll[[#This Row],[Annual_Rent_EUR]]/tblRentRoll[[#This Row],[Area_sqm]],"")</f>
        <v>197.84438785504406</v>
      </c>
      <c r="S41">
        <f>tblRentRoll[[#This Row],[Service_Charge_EUR]]+tblRentRoll[[#This Row],[Operating_Cost_EUR]]</f>
        <v>3672.74</v>
      </c>
      <c r="T41">
        <f>IF(tblRentRoll[[#This Row],[Annual_Rent_EUR]]&lt;&gt;0,tblRentRoll[[#This Row],[Annual_Rent_EUR]]-tblRentRoll[[#This Row],[Operating_Cost_EUR]], "")</f>
        <v>201072.69</v>
      </c>
      <c r="U41">
        <f ca="1">IF(AND(tblRentRoll[[#This Row],[Status]]="Occupied",tblRentRoll[[#This Row],[Lease_End]]&gt;=TODAY()),DATEDIF(TODAY(),tblRentRoll[[#This Row],[Lease_End]],"m"), 0)</f>
        <v>0</v>
      </c>
      <c r="V41" t="str">
        <f ca="1">IF(tblRentRoll[[#This Row],[Status]]&lt;&gt;"Occupied","", IF(tblRentRoll[[#This Row],[Month_to_Expiry]]&lt;=3, "0-3 Monaten",  IF(tblRentRoll[[#This Row],[Month_to_Expiry]]&lt;=6, "3-6 Monaten", IF(tblRentRoll[[#This Row],[Month_to_Expiry]]&lt;=12,"6-12 Monaten", IF(tblRentRoll[[#This Row],[Month_to_Expiry]]&gt;=12, "12 M+",)))))</f>
        <v>0-3 Monaten</v>
      </c>
      <c r="W41">
        <f>IF(tblRentRoll[[#This Row],[Status]]="Vacant", tblRentRoll[[#This Row],[Area_sqm]],0)</f>
        <v>0</v>
      </c>
      <c r="X41" s="3">
        <f>IF(tblRentRoll[[#This Row],[Status]]="Occupied", tblRentRoll[[#This Row],[Area_sqm]],0)</f>
        <v>1021</v>
      </c>
      <c r="Y41" s="3">
        <f ca="1">tblRentRoll[[#This Row],[Month_to_Expiry]]/12*tblRentRoll[[#This Row],[Annual_Rent_EUR]]</f>
        <v>0</v>
      </c>
      <c r="Z41" s="3"/>
    </row>
    <row r="42" spans="1:26" x14ac:dyDescent="0.35">
      <c r="A42" t="s">
        <v>12</v>
      </c>
      <c r="B42" t="s">
        <v>96</v>
      </c>
      <c r="C42" t="s">
        <v>19</v>
      </c>
      <c r="D42">
        <v>75</v>
      </c>
      <c r="E42" t="s">
        <v>15</v>
      </c>
      <c r="F42" t="s">
        <v>59</v>
      </c>
      <c r="G42">
        <v>750.15</v>
      </c>
      <c r="H42">
        <v>9001.7999999999993</v>
      </c>
      <c r="I42" s="2">
        <f>tblRentRoll[[#This Row],[Monthly_Rent_EUR]]*12</f>
        <v>9001.7999999999993</v>
      </c>
      <c r="J42" s="2" t="str">
        <f>IF(tblRentRoll[[#This Row],[Annual_Rent_EUR]]&lt;&gt;tblRentRoll[[#This Row],[Jahresrente_EUR]], "FALSCH", "")</f>
        <v/>
      </c>
      <c r="K42" s="1">
        <v>44462</v>
      </c>
      <c r="L42" s="1">
        <v>46069</v>
      </c>
      <c r="M42">
        <v>81.709999999999994</v>
      </c>
      <c r="N42">
        <v>121.61</v>
      </c>
      <c r="O4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 t="str">
        <f>IF(tblRentRoll[[#This Row],[Area_sqm]]&lt;=0,"Area&lt;=0","")</f>
        <v/>
      </c>
      <c r="Q42" t="str">
        <f>IF(tblRentRoll[[#This Row],[Monthly_Rent_EUR]]&lt;=0,"Rent&lt;=0","")</f>
        <v/>
      </c>
      <c r="R42">
        <f>IF(AND(tblRentRoll[[#This Row],[Status]]="Occupied", tblRentRoll[[#This Row],[Area_sqm]]&gt;0), tblRentRoll[[#This Row],[Annual_Rent_EUR]]/tblRentRoll[[#This Row],[Area_sqm]],"")</f>
        <v>120.02399999999999</v>
      </c>
      <c r="S42">
        <f>tblRentRoll[[#This Row],[Service_Charge_EUR]]+tblRentRoll[[#This Row],[Operating_Cost_EUR]]</f>
        <v>203.32</v>
      </c>
      <c r="T42">
        <f>IF(tblRentRoll[[#This Row],[Annual_Rent_EUR]]&lt;&gt;0,tblRentRoll[[#This Row],[Annual_Rent_EUR]]-tblRentRoll[[#This Row],[Operating_Cost_EUR]], "")</f>
        <v>8880.1899999999987</v>
      </c>
      <c r="U42">
        <f ca="1">IF(AND(tblRentRoll[[#This Row],[Status]]="Occupied",tblRentRoll[[#This Row],[Lease_End]]&gt;=TODAY()),DATEDIF(TODAY(),tblRentRoll[[#This Row],[Lease_End]],"m"), 0)</f>
        <v>0</v>
      </c>
      <c r="V42" t="str">
        <f ca="1">IF(tblRentRoll[[#This Row],[Status]]&lt;&gt;"Occupied","", IF(tblRentRoll[[#This Row],[Month_to_Expiry]]&lt;=3, "0-3 Monaten",  IF(tblRentRoll[[#This Row],[Month_to_Expiry]]&lt;=6, "3-6 Monaten", IF(tblRentRoll[[#This Row],[Month_to_Expiry]]&lt;=12,"6-12 Monaten", IF(tblRentRoll[[#This Row],[Month_to_Expiry]]&gt;=12, "12 M+",)))))</f>
        <v>0-3 Monaten</v>
      </c>
      <c r="W42">
        <f>IF(tblRentRoll[[#This Row],[Status]]="Vacant", tblRentRoll[[#This Row],[Area_sqm]],0)</f>
        <v>0</v>
      </c>
      <c r="X42" s="3">
        <f>IF(tblRentRoll[[#This Row],[Status]]="Occupied", tblRentRoll[[#This Row],[Area_sqm]],0)</f>
        <v>75</v>
      </c>
      <c r="Y42" s="3">
        <f ca="1">tblRentRoll[[#This Row],[Month_to_Expiry]]/12*tblRentRoll[[#This Row],[Annual_Rent_EUR]]</f>
        <v>0</v>
      </c>
      <c r="Z42" s="3"/>
    </row>
    <row r="43" spans="1:26" x14ac:dyDescent="0.35">
      <c r="A43" t="s">
        <v>31</v>
      </c>
      <c r="B43" t="s">
        <v>97</v>
      </c>
      <c r="C43" t="s">
        <v>19</v>
      </c>
      <c r="D43">
        <v>759</v>
      </c>
      <c r="E43" t="s">
        <v>15</v>
      </c>
      <c r="F43" t="s">
        <v>98</v>
      </c>
      <c r="G43">
        <v>7066.4</v>
      </c>
      <c r="H43">
        <v>84796.800000000003</v>
      </c>
      <c r="I43" s="2">
        <f>tblRentRoll[[#This Row],[Monthly_Rent_EUR]]*12</f>
        <v>84796.799999999988</v>
      </c>
      <c r="J43" s="2" t="str">
        <f>IF(tblRentRoll[[#This Row],[Annual_Rent_EUR]]&lt;&gt;tblRentRoll[[#This Row],[Jahresrente_EUR]], "FALSCH", "")</f>
        <v/>
      </c>
      <c r="K43" s="1">
        <v>44809</v>
      </c>
      <c r="L43" s="1">
        <v>45217</v>
      </c>
      <c r="M43">
        <v>2000.18</v>
      </c>
      <c r="N43">
        <v>1476.66</v>
      </c>
      <c r="O4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 t="str">
        <f>IF(tblRentRoll[[#This Row],[Area_sqm]]&lt;=0,"Area&lt;=0","")</f>
        <v/>
      </c>
      <c r="Q43" t="str">
        <f>IF(tblRentRoll[[#This Row],[Monthly_Rent_EUR]]&lt;=0,"Rent&lt;=0","")</f>
        <v/>
      </c>
      <c r="R43">
        <f>IF(AND(tblRentRoll[[#This Row],[Status]]="Occupied", tblRentRoll[[#This Row],[Area_sqm]]&gt;0), tblRentRoll[[#This Row],[Annual_Rent_EUR]]/tblRentRoll[[#This Row],[Area_sqm]],"")</f>
        <v>111.72173913043478</v>
      </c>
      <c r="S43">
        <f>tblRentRoll[[#This Row],[Service_Charge_EUR]]+tblRentRoll[[#This Row],[Operating_Cost_EUR]]</f>
        <v>3476.84</v>
      </c>
      <c r="T43">
        <f>IF(tblRentRoll[[#This Row],[Annual_Rent_EUR]]&lt;&gt;0,tblRentRoll[[#This Row],[Annual_Rent_EUR]]-tblRentRoll[[#This Row],[Operating_Cost_EUR]], "")</f>
        <v>83320.14</v>
      </c>
      <c r="U43">
        <f ca="1">IF(AND(tblRentRoll[[#This Row],[Status]]="Occupied",tblRentRoll[[#This Row],[Lease_End]]&gt;=TODAY()),DATEDIF(TODAY(),tblRentRoll[[#This Row],[Lease_End]],"m"), 0)</f>
        <v>0</v>
      </c>
      <c r="V43" t="str">
        <f ca="1">IF(tblRentRoll[[#This Row],[Status]]&lt;&gt;"Occupied","", IF(tblRentRoll[[#This Row],[Month_to_Expiry]]&lt;=3, "0-3 Monaten",  IF(tblRentRoll[[#This Row],[Month_to_Expiry]]&lt;=6, "3-6 Monaten", IF(tblRentRoll[[#This Row],[Month_to_Expiry]]&lt;=12,"6-12 Monaten", IF(tblRentRoll[[#This Row],[Month_to_Expiry]]&gt;=12, "12 M+",)))))</f>
        <v>0-3 Monaten</v>
      </c>
      <c r="W43">
        <f>IF(tblRentRoll[[#This Row],[Status]]="Vacant", tblRentRoll[[#This Row],[Area_sqm]],0)</f>
        <v>0</v>
      </c>
      <c r="X43" s="3">
        <f>IF(tblRentRoll[[#This Row],[Status]]="Occupied", tblRentRoll[[#This Row],[Area_sqm]],0)</f>
        <v>759</v>
      </c>
      <c r="Y43" s="3">
        <f ca="1">tblRentRoll[[#This Row],[Month_to_Expiry]]/12*tblRentRoll[[#This Row],[Annual_Rent_EUR]]</f>
        <v>0</v>
      </c>
      <c r="Z43" s="3"/>
    </row>
    <row r="44" spans="1:26" x14ac:dyDescent="0.35">
      <c r="A44" t="s">
        <v>27</v>
      </c>
      <c r="B44" t="s">
        <v>99</v>
      </c>
      <c r="C44" t="s">
        <v>14</v>
      </c>
      <c r="D44">
        <v>1074</v>
      </c>
      <c r="E44" t="s">
        <v>15</v>
      </c>
      <c r="F44" t="s">
        <v>100</v>
      </c>
      <c r="G44">
        <v>9469.42</v>
      </c>
      <c r="H44">
        <v>113633.04</v>
      </c>
      <c r="I44" s="2">
        <f>tblRentRoll[[#This Row],[Monthly_Rent_EUR]]*12</f>
        <v>113633.04000000001</v>
      </c>
      <c r="J44" s="2" t="str">
        <f>IF(tblRentRoll[[#This Row],[Annual_Rent_EUR]]&lt;&gt;tblRentRoll[[#This Row],[Jahresrente_EUR]], "FALSCH", "")</f>
        <v/>
      </c>
      <c r="K44" s="1">
        <v>45266</v>
      </c>
      <c r="L44" s="1">
        <v>46738</v>
      </c>
      <c r="M44">
        <v>3056.36</v>
      </c>
      <c r="N44">
        <v>1360.97</v>
      </c>
      <c r="O4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 t="str">
        <f>IF(tblRentRoll[[#This Row],[Area_sqm]]&lt;=0,"Area&lt;=0","")</f>
        <v/>
      </c>
      <c r="Q44" t="str">
        <f>IF(tblRentRoll[[#This Row],[Monthly_Rent_EUR]]&lt;=0,"Rent&lt;=0","")</f>
        <v/>
      </c>
      <c r="R44">
        <f>IF(AND(tblRentRoll[[#This Row],[Status]]="Occupied", tblRentRoll[[#This Row],[Area_sqm]]&gt;0), tblRentRoll[[#This Row],[Annual_Rent_EUR]]/tblRentRoll[[#This Row],[Area_sqm]],"")</f>
        <v>105.80357541899441</v>
      </c>
      <c r="S44">
        <f>tblRentRoll[[#This Row],[Service_Charge_EUR]]+tblRentRoll[[#This Row],[Operating_Cost_EUR]]</f>
        <v>4417.33</v>
      </c>
      <c r="T44">
        <f>IF(tblRentRoll[[#This Row],[Annual_Rent_EUR]]&lt;&gt;0,tblRentRoll[[#This Row],[Annual_Rent_EUR]]-tblRentRoll[[#This Row],[Operating_Cost_EUR]], "")</f>
        <v>112272.06999999999</v>
      </c>
      <c r="U44">
        <f ca="1">IF(AND(tblRentRoll[[#This Row],[Status]]="Occupied",tblRentRoll[[#This Row],[Lease_End]]&gt;=TODAY()),DATEDIF(TODAY(),tblRentRoll[[#This Row],[Lease_End]],"m"), 0)</f>
        <v>21</v>
      </c>
      <c r="V44" t="str">
        <f ca="1">IF(tblRentRoll[[#This Row],[Status]]&lt;&gt;"Occupied","", IF(tblRentRoll[[#This Row],[Month_to_Expiry]]&lt;=3, "0-3 Monaten",  IF(tblRentRoll[[#This Row],[Month_to_Expiry]]&lt;=6, "3-6 Monaten", IF(tblRentRoll[[#This Row],[Month_to_Expiry]]&lt;=12,"6-12 Monaten", IF(tblRentRoll[[#This Row],[Month_to_Expiry]]&gt;=12, "12 M+",)))))</f>
        <v>12 M+</v>
      </c>
      <c r="W44">
        <f>IF(tblRentRoll[[#This Row],[Status]]="Vacant", tblRentRoll[[#This Row],[Area_sqm]],0)</f>
        <v>0</v>
      </c>
      <c r="X44" s="3">
        <f>IF(tblRentRoll[[#This Row],[Status]]="Occupied", tblRentRoll[[#This Row],[Area_sqm]],0)</f>
        <v>1074</v>
      </c>
      <c r="Y44" s="3">
        <f ca="1">tblRentRoll[[#This Row],[Month_to_Expiry]]/12*tblRentRoll[[#This Row],[Annual_Rent_EUR]]</f>
        <v>198857.81999999998</v>
      </c>
      <c r="Z44" s="3"/>
    </row>
    <row r="45" spans="1:26" x14ac:dyDescent="0.35">
      <c r="A45" t="s">
        <v>12</v>
      </c>
      <c r="B45" t="s">
        <v>101</v>
      </c>
      <c r="C45" t="s">
        <v>33</v>
      </c>
      <c r="D45">
        <v>1198</v>
      </c>
      <c r="E45" t="s">
        <v>15</v>
      </c>
      <c r="F45" t="s">
        <v>102</v>
      </c>
      <c r="G45">
        <v>15588.65</v>
      </c>
      <c r="H45">
        <v>187063.8</v>
      </c>
      <c r="I45" s="2">
        <f>tblRentRoll[[#This Row],[Monthly_Rent_EUR]]*12</f>
        <v>187063.8</v>
      </c>
      <c r="J45" s="2" t="str">
        <f>IF(tblRentRoll[[#This Row],[Annual_Rent_EUR]]&lt;&gt;tblRentRoll[[#This Row],[Jahresrente_EUR]], "FALSCH", "")</f>
        <v/>
      </c>
      <c r="K45" s="1">
        <v>44681</v>
      </c>
      <c r="L45" s="1">
        <v>44900</v>
      </c>
      <c r="M45">
        <v>2765.68</v>
      </c>
      <c r="N45">
        <v>615.34</v>
      </c>
      <c r="O4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 t="str">
        <f>IF(tblRentRoll[[#This Row],[Area_sqm]]&lt;=0,"Area&lt;=0","")</f>
        <v/>
      </c>
      <c r="Q45" t="str">
        <f>IF(tblRentRoll[[#This Row],[Monthly_Rent_EUR]]&lt;=0,"Rent&lt;=0","")</f>
        <v/>
      </c>
      <c r="R45">
        <f>IF(AND(tblRentRoll[[#This Row],[Status]]="Occupied", tblRentRoll[[#This Row],[Area_sqm]]&gt;0), tblRentRoll[[#This Row],[Annual_Rent_EUR]]/tblRentRoll[[#This Row],[Area_sqm]],"")</f>
        <v>156.14674457429047</v>
      </c>
      <c r="S45">
        <f>tblRentRoll[[#This Row],[Service_Charge_EUR]]+tblRentRoll[[#This Row],[Operating_Cost_EUR]]</f>
        <v>3381.02</v>
      </c>
      <c r="T45">
        <f>IF(tblRentRoll[[#This Row],[Annual_Rent_EUR]]&lt;&gt;0,tblRentRoll[[#This Row],[Annual_Rent_EUR]]-tblRentRoll[[#This Row],[Operating_Cost_EUR]], "")</f>
        <v>186448.46</v>
      </c>
      <c r="U45">
        <f ca="1">IF(AND(tblRentRoll[[#This Row],[Status]]="Occupied",tblRentRoll[[#This Row],[Lease_End]]&gt;=TODAY()),DATEDIF(TODAY(),tblRentRoll[[#This Row],[Lease_End]],"m"), 0)</f>
        <v>0</v>
      </c>
      <c r="V45" t="str">
        <f ca="1">IF(tblRentRoll[[#This Row],[Status]]&lt;&gt;"Occupied","", IF(tblRentRoll[[#This Row],[Month_to_Expiry]]&lt;=3, "0-3 Monaten",  IF(tblRentRoll[[#This Row],[Month_to_Expiry]]&lt;=6, "3-6 Monaten", IF(tblRentRoll[[#This Row],[Month_to_Expiry]]&lt;=12,"6-12 Monaten", IF(tblRentRoll[[#This Row],[Month_to_Expiry]]&gt;=12, "12 M+",)))))</f>
        <v>0-3 Monaten</v>
      </c>
      <c r="W45">
        <f>IF(tblRentRoll[[#This Row],[Status]]="Vacant", tblRentRoll[[#This Row],[Area_sqm]],0)</f>
        <v>0</v>
      </c>
      <c r="X45" s="3">
        <f>IF(tblRentRoll[[#This Row],[Status]]="Occupied", tblRentRoll[[#This Row],[Area_sqm]],0)</f>
        <v>1198</v>
      </c>
      <c r="Y45" s="3">
        <f ca="1">tblRentRoll[[#This Row],[Month_to_Expiry]]/12*tblRentRoll[[#This Row],[Annual_Rent_EUR]]</f>
        <v>0</v>
      </c>
      <c r="Z45" s="3"/>
    </row>
    <row r="46" spans="1:26" x14ac:dyDescent="0.35">
      <c r="A46" t="s">
        <v>31</v>
      </c>
      <c r="B46" t="s">
        <v>103</v>
      </c>
      <c r="C46" t="s">
        <v>33</v>
      </c>
      <c r="D46">
        <v>1315</v>
      </c>
      <c r="E46" t="s">
        <v>15</v>
      </c>
      <c r="F46" t="s">
        <v>104</v>
      </c>
      <c r="G46">
        <v>17089.689999999999</v>
      </c>
      <c r="H46">
        <v>205076.28</v>
      </c>
      <c r="I46" s="2">
        <f>tblRentRoll[[#This Row],[Monthly_Rent_EUR]]*12</f>
        <v>205076.27999999997</v>
      </c>
      <c r="J46" s="2" t="str">
        <f>IF(tblRentRoll[[#This Row],[Annual_Rent_EUR]]&lt;&gt;tblRentRoll[[#This Row],[Jahresrente_EUR]], "FALSCH", "")</f>
        <v/>
      </c>
      <c r="K46" s="1">
        <v>44363</v>
      </c>
      <c r="L46" s="1">
        <v>44571</v>
      </c>
      <c r="M46">
        <v>2260.16</v>
      </c>
      <c r="N46">
        <v>1634.85</v>
      </c>
      <c r="O4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 t="str">
        <f>IF(tblRentRoll[[#This Row],[Area_sqm]]&lt;=0,"Area&lt;=0","")</f>
        <v/>
      </c>
      <c r="Q46" t="str">
        <f>IF(tblRentRoll[[#This Row],[Monthly_Rent_EUR]]&lt;=0,"Rent&lt;=0","")</f>
        <v/>
      </c>
      <c r="R46">
        <f>IF(AND(tblRentRoll[[#This Row],[Status]]="Occupied", tblRentRoll[[#This Row],[Area_sqm]]&gt;0), tblRentRoll[[#This Row],[Annual_Rent_EUR]]/tblRentRoll[[#This Row],[Area_sqm]],"")</f>
        <v>155.95154372623574</v>
      </c>
      <c r="S46">
        <f>tblRentRoll[[#This Row],[Service_Charge_EUR]]+tblRentRoll[[#This Row],[Operating_Cost_EUR]]</f>
        <v>3895.0099999999998</v>
      </c>
      <c r="T46">
        <f>IF(tblRentRoll[[#This Row],[Annual_Rent_EUR]]&lt;&gt;0,tblRentRoll[[#This Row],[Annual_Rent_EUR]]-tblRentRoll[[#This Row],[Operating_Cost_EUR]], "")</f>
        <v>203441.43</v>
      </c>
      <c r="U46">
        <f ca="1">IF(AND(tblRentRoll[[#This Row],[Status]]="Occupied",tblRentRoll[[#This Row],[Lease_End]]&gt;=TODAY()),DATEDIF(TODAY(),tblRentRoll[[#This Row],[Lease_End]],"m"), 0)</f>
        <v>0</v>
      </c>
      <c r="V46" t="str">
        <f ca="1">IF(tblRentRoll[[#This Row],[Status]]&lt;&gt;"Occupied","", IF(tblRentRoll[[#This Row],[Month_to_Expiry]]&lt;=3, "0-3 Monaten",  IF(tblRentRoll[[#This Row],[Month_to_Expiry]]&lt;=6, "3-6 Monaten", IF(tblRentRoll[[#This Row],[Month_to_Expiry]]&lt;=12,"6-12 Monaten", IF(tblRentRoll[[#This Row],[Month_to_Expiry]]&gt;=12, "12 M+",)))))</f>
        <v>0-3 Monaten</v>
      </c>
      <c r="W46">
        <f>IF(tblRentRoll[[#This Row],[Status]]="Vacant", tblRentRoll[[#This Row],[Area_sqm]],0)</f>
        <v>0</v>
      </c>
      <c r="X46" s="3">
        <f>IF(tblRentRoll[[#This Row],[Status]]="Occupied", tblRentRoll[[#This Row],[Area_sqm]],0)</f>
        <v>1315</v>
      </c>
      <c r="Y46" s="3">
        <f ca="1">tblRentRoll[[#This Row],[Month_to_Expiry]]/12*tblRentRoll[[#This Row],[Annual_Rent_EUR]]</f>
        <v>0</v>
      </c>
      <c r="Z46" s="3"/>
    </row>
    <row r="47" spans="1:26" x14ac:dyDescent="0.35">
      <c r="A47" t="s">
        <v>21</v>
      </c>
      <c r="B47" t="s">
        <v>105</v>
      </c>
      <c r="C47" t="s">
        <v>29</v>
      </c>
      <c r="D47">
        <v>1127</v>
      </c>
      <c r="E47" t="s">
        <v>15</v>
      </c>
      <c r="F47" t="s">
        <v>106</v>
      </c>
      <c r="G47">
        <v>9292.85</v>
      </c>
      <c r="H47">
        <v>111514.2</v>
      </c>
      <c r="I47" s="2">
        <f>tblRentRoll[[#This Row],[Monthly_Rent_EUR]]*12</f>
        <v>111514.20000000001</v>
      </c>
      <c r="J47" s="2" t="str">
        <f>IF(tblRentRoll[[#This Row],[Annual_Rent_EUR]]&lt;&gt;tblRentRoll[[#This Row],[Jahresrente_EUR]], "FALSCH", "")</f>
        <v/>
      </c>
      <c r="K47" s="1">
        <v>44421</v>
      </c>
      <c r="L47" s="1">
        <v>45862</v>
      </c>
      <c r="M47">
        <v>1793.44</v>
      </c>
      <c r="N47">
        <v>1129.1500000000001</v>
      </c>
      <c r="O4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 t="str">
        <f>IF(tblRentRoll[[#This Row],[Area_sqm]]&lt;=0,"Area&lt;=0","")</f>
        <v/>
      </c>
      <c r="Q47" t="str">
        <f>IF(tblRentRoll[[#This Row],[Monthly_Rent_EUR]]&lt;=0,"Rent&lt;=0","")</f>
        <v/>
      </c>
      <c r="R47">
        <f>IF(AND(tblRentRoll[[#This Row],[Status]]="Occupied", tblRentRoll[[#This Row],[Area_sqm]]&gt;0), tblRentRoll[[#This Row],[Annual_Rent_EUR]]/tblRentRoll[[#This Row],[Area_sqm]],"")</f>
        <v>98.947826086956525</v>
      </c>
      <c r="S47">
        <f>tblRentRoll[[#This Row],[Service_Charge_EUR]]+tblRentRoll[[#This Row],[Operating_Cost_EUR]]</f>
        <v>2922.59</v>
      </c>
      <c r="T47">
        <f>IF(tblRentRoll[[#This Row],[Annual_Rent_EUR]]&lt;&gt;0,tblRentRoll[[#This Row],[Annual_Rent_EUR]]-tblRentRoll[[#This Row],[Operating_Cost_EUR]], "")</f>
        <v>110385.05</v>
      </c>
      <c r="U47">
        <f ca="1">IF(AND(tblRentRoll[[#This Row],[Status]]="Occupied",tblRentRoll[[#This Row],[Lease_End]]&gt;=TODAY()),DATEDIF(TODAY(),tblRentRoll[[#This Row],[Lease_End]],"m"), 0)</f>
        <v>0</v>
      </c>
      <c r="V47" t="str">
        <f ca="1">IF(tblRentRoll[[#This Row],[Status]]&lt;&gt;"Occupied","", IF(tblRentRoll[[#This Row],[Month_to_Expiry]]&lt;=3, "0-3 Monaten",  IF(tblRentRoll[[#This Row],[Month_to_Expiry]]&lt;=6, "3-6 Monaten", IF(tblRentRoll[[#This Row],[Month_to_Expiry]]&lt;=12,"6-12 Monaten", IF(tblRentRoll[[#This Row],[Month_to_Expiry]]&gt;=12, "12 M+",)))))</f>
        <v>0-3 Monaten</v>
      </c>
      <c r="W47">
        <f>IF(tblRentRoll[[#This Row],[Status]]="Vacant", tblRentRoll[[#This Row],[Area_sqm]],0)</f>
        <v>0</v>
      </c>
      <c r="X47" s="3">
        <f>IF(tblRentRoll[[#This Row],[Status]]="Occupied", tblRentRoll[[#This Row],[Area_sqm]],0)</f>
        <v>1127</v>
      </c>
      <c r="Y47" s="3">
        <f ca="1">tblRentRoll[[#This Row],[Month_to_Expiry]]/12*tblRentRoll[[#This Row],[Annual_Rent_EUR]]</f>
        <v>0</v>
      </c>
      <c r="Z47" s="3"/>
    </row>
    <row r="48" spans="1:26" x14ac:dyDescent="0.35">
      <c r="A48" t="s">
        <v>12</v>
      </c>
      <c r="B48" t="s">
        <v>107</v>
      </c>
      <c r="C48" t="s">
        <v>33</v>
      </c>
      <c r="D48">
        <v>1449</v>
      </c>
      <c r="E48" t="s">
        <v>15</v>
      </c>
      <c r="F48" t="s">
        <v>108</v>
      </c>
      <c r="G48">
        <v>21330.01</v>
      </c>
      <c r="H48">
        <v>255960.12</v>
      </c>
      <c r="I48" s="2">
        <f>tblRentRoll[[#This Row],[Monthly_Rent_EUR]]*12</f>
        <v>255960.12</v>
      </c>
      <c r="J48" s="2" t="str">
        <f>IF(tblRentRoll[[#This Row],[Annual_Rent_EUR]]&lt;&gt;tblRentRoll[[#This Row],[Jahresrente_EUR]], "FALSCH", "")</f>
        <v/>
      </c>
      <c r="K48" s="1">
        <v>44772</v>
      </c>
      <c r="L48" s="1">
        <v>45370</v>
      </c>
      <c r="M48">
        <v>2690.54</v>
      </c>
      <c r="N48">
        <v>1938.54</v>
      </c>
      <c r="O4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 t="str">
        <f>IF(tblRentRoll[[#This Row],[Area_sqm]]&lt;=0,"Area&lt;=0","")</f>
        <v/>
      </c>
      <c r="Q48" t="str">
        <f>IF(tblRentRoll[[#This Row],[Monthly_Rent_EUR]]&lt;=0,"Rent&lt;=0","")</f>
        <v/>
      </c>
      <c r="R48">
        <f>IF(AND(tblRentRoll[[#This Row],[Status]]="Occupied", tblRentRoll[[#This Row],[Area_sqm]]&gt;0), tblRentRoll[[#This Row],[Annual_Rent_EUR]]/tblRentRoll[[#This Row],[Area_sqm]],"")</f>
        <v>176.64604554865423</v>
      </c>
      <c r="S48">
        <f>tblRentRoll[[#This Row],[Service_Charge_EUR]]+tblRentRoll[[#This Row],[Operating_Cost_EUR]]</f>
        <v>4629.08</v>
      </c>
      <c r="T48">
        <f>IF(tblRentRoll[[#This Row],[Annual_Rent_EUR]]&lt;&gt;0,tblRentRoll[[#This Row],[Annual_Rent_EUR]]-tblRentRoll[[#This Row],[Operating_Cost_EUR]], "")</f>
        <v>254021.58</v>
      </c>
      <c r="U48">
        <f ca="1">IF(AND(tblRentRoll[[#This Row],[Status]]="Occupied",tblRentRoll[[#This Row],[Lease_End]]&gt;=TODAY()),DATEDIF(TODAY(),tblRentRoll[[#This Row],[Lease_End]],"m"), 0)</f>
        <v>0</v>
      </c>
      <c r="V48" t="str">
        <f ca="1">IF(tblRentRoll[[#This Row],[Status]]&lt;&gt;"Occupied","", IF(tblRentRoll[[#This Row],[Month_to_Expiry]]&lt;=3, "0-3 Monaten",  IF(tblRentRoll[[#This Row],[Month_to_Expiry]]&lt;=6, "3-6 Monaten", IF(tblRentRoll[[#This Row],[Month_to_Expiry]]&lt;=12,"6-12 Monaten", IF(tblRentRoll[[#This Row],[Month_to_Expiry]]&gt;=12, "12 M+",)))))</f>
        <v>0-3 Monaten</v>
      </c>
      <c r="W48">
        <f>IF(tblRentRoll[[#This Row],[Status]]="Vacant", tblRentRoll[[#This Row],[Area_sqm]],0)</f>
        <v>0</v>
      </c>
      <c r="X48" s="3">
        <f>IF(tblRentRoll[[#This Row],[Status]]="Occupied", tblRentRoll[[#This Row],[Area_sqm]],0)</f>
        <v>1449</v>
      </c>
      <c r="Y48" s="3">
        <f ca="1">tblRentRoll[[#This Row],[Month_to_Expiry]]/12*tblRentRoll[[#This Row],[Annual_Rent_EUR]]</f>
        <v>0</v>
      </c>
      <c r="Z48" s="3"/>
    </row>
    <row r="49" spans="1:26" x14ac:dyDescent="0.35">
      <c r="A49" t="s">
        <v>44</v>
      </c>
      <c r="B49" t="s">
        <v>109</v>
      </c>
      <c r="C49" t="s">
        <v>14</v>
      </c>
      <c r="D49">
        <v>45</v>
      </c>
      <c r="E49" t="s">
        <v>15</v>
      </c>
      <c r="F49" t="s">
        <v>98</v>
      </c>
      <c r="G49">
        <v>672.55</v>
      </c>
      <c r="H49">
        <v>8070.6</v>
      </c>
      <c r="I49" s="2">
        <f>tblRentRoll[[#This Row],[Monthly_Rent_EUR]]*12</f>
        <v>8070.5999999999995</v>
      </c>
      <c r="J49" s="2" t="str">
        <f>IF(tblRentRoll[[#This Row],[Annual_Rent_EUR]]&lt;&gt;tblRentRoll[[#This Row],[Jahresrente_EUR]], "FALSCH", "")</f>
        <v/>
      </c>
      <c r="K49" s="1">
        <v>44372</v>
      </c>
      <c r="L49" s="1">
        <v>45156</v>
      </c>
      <c r="M49">
        <v>73.95</v>
      </c>
      <c r="N49">
        <v>63.19</v>
      </c>
      <c r="O4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 t="str">
        <f>IF(tblRentRoll[[#This Row],[Area_sqm]]&lt;=0,"Area&lt;=0","")</f>
        <v/>
      </c>
      <c r="Q49" t="str">
        <f>IF(tblRentRoll[[#This Row],[Monthly_Rent_EUR]]&lt;=0,"Rent&lt;=0","")</f>
        <v/>
      </c>
      <c r="R49">
        <f>IF(AND(tblRentRoll[[#This Row],[Status]]="Occupied", tblRentRoll[[#This Row],[Area_sqm]]&gt;0), tblRentRoll[[#This Row],[Annual_Rent_EUR]]/tblRentRoll[[#This Row],[Area_sqm]],"")</f>
        <v>179.34666666666666</v>
      </c>
      <c r="S49">
        <f>tblRentRoll[[#This Row],[Service_Charge_EUR]]+tblRentRoll[[#This Row],[Operating_Cost_EUR]]</f>
        <v>137.13999999999999</v>
      </c>
      <c r="T49">
        <f>IF(tblRentRoll[[#This Row],[Annual_Rent_EUR]]&lt;&gt;0,tblRentRoll[[#This Row],[Annual_Rent_EUR]]-tblRentRoll[[#This Row],[Operating_Cost_EUR]], "")</f>
        <v>8007.4100000000008</v>
      </c>
      <c r="U49">
        <f ca="1">IF(AND(tblRentRoll[[#This Row],[Status]]="Occupied",tblRentRoll[[#This Row],[Lease_End]]&gt;=TODAY()),DATEDIF(TODAY(),tblRentRoll[[#This Row],[Lease_End]],"m"), 0)</f>
        <v>0</v>
      </c>
      <c r="V49" t="str">
        <f ca="1">IF(tblRentRoll[[#This Row],[Status]]&lt;&gt;"Occupied","", IF(tblRentRoll[[#This Row],[Month_to_Expiry]]&lt;=3, "0-3 Monaten",  IF(tblRentRoll[[#This Row],[Month_to_Expiry]]&lt;=6, "3-6 Monaten", IF(tblRentRoll[[#This Row],[Month_to_Expiry]]&lt;=12,"6-12 Monaten", IF(tblRentRoll[[#This Row],[Month_to_Expiry]]&gt;=12, "12 M+",)))))</f>
        <v>0-3 Monaten</v>
      </c>
      <c r="W49">
        <f>IF(tblRentRoll[[#This Row],[Status]]="Vacant", tblRentRoll[[#This Row],[Area_sqm]],0)</f>
        <v>0</v>
      </c>
      <c r="X49" s="3">
        <f>IF(tblRentRoll[[#This Row],[Status]]="Occupied", tblRentRoll[[#This Row],[Area_sqm]],0)</f>
        <v>45</v>
      </c>
      <c r="Y49" s="3">
        <f ca="1">tblRentRoll[[#This Row],[Month_to_Expiry]]/12*tblRentRoll[[#This Row],[Annual_Rent_EUR]]</f>
        <v>0</v>
      </c>
      <c r="Z49" s="3"/>
    </row>
    <row r="50" spans="1:26" x14ac:dyDescent="0.35">
      <c r="A50" t="s">
        <v>56</v>
      </c>
      <c r="B50" t="s">
        <v>110</v>
      </c>
      <c r="C50" t="s">
        <v>33</v>
      </c>
      <c r="D50">
        <v>324</v>
      </c>
      <c r="E50" t="s">
        <v>15</v>
      </c>
      <c r="F50" t="s">
        <v>111</v>
      </c>
      <c r="G50">
        <v>3330.13</v>
      </c>
      <c r="H50">
        <v>39961.56</v>
      </c>
      <c r="I50" s="2">
        <f>tblRentRoll[[#This Row],[Monthly_Rent_EUR]]*12</f>
        <v>39961.56</v>
      </c>
      <c r="J50" s="2" t="str">
        <f>IF(tblRentRoll[[#This Row],[Annual_Rent_EUR]]&lt;&gt;tblRentRoll[[#This Row],[Jahresrente_EUR]], "FALSCH", "")</f>
        <v/>
      </c>
      <c r="K50" s="1">
        <v>44373</v>
      </c>
      <c r="L50" s="1">
        <v>45059</v>
      </c>
      <c r="M50">
        <v>881.01</v>
      </c>
      <c r="N50">
        <v>774</v>
      </c>
      <c r="O5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0" t="str">
        <f>IF(tblRentRoll[[#This Row],[Area_sqm]]&lt;=0,"Area&lt;=0","")</f>
        <v/>
      </c>
      <c r="Q50" t="str">
        <f>IF(tblRentRoll[[#This Row],[Monthly_Rent_EUR]]&lt;=0,"Rent&lt;=0","")</f>
        <v/>
      </c>
      <c r="R50">
        <f>IF(AND(tblRentRoll[[#This Row],[Status]]="Occupied", tblRentRoll[[#This Row],[Area_sqm]]&gt;0), tblRentRoll[[#This Row],[Annual_Rent_EUR]]/tblRentRoll[[#This Row],[Area_sqm]],"")</f>
        <v>123.33814814814814</v>
      </c>
      <c r="S50">
        <f>tblRentRoll[[#This Row],[Service_Charge_EUR]]+tblRentRoll[[#This Row],[Operating_Cost_EUR]]</f>
        <v>1655.01</v>
      </c>
      <c r="T50">
        <f>IF(tblRentRoll[[#This Row],[Annual_Rent_EUR]]&lt;&gt;0,tblRentRoll[[#This Row],[Annual_Rent_EUR]]-tblRentRoll[[#This Row],[Operating_Cost_EUR]], "")</f>
        <v>39187.56</v>
      </c>
      <c r="U50">
        <f ca="1">IF(AND(tblRentRoll[[#This Row],[Status]]="Occupied",tblRentRoll[[#This Row],[Lease_End]]&gt;=TODAY()),DATEDIF(TODAY(),tblRentRoll[[#This Row],[Lease_End]],"m"), 0)</f>
        <v>0</v>
      </c>
      <c r="V50" t="str">
        <f ca="1">IF(tblRentRoll[[#This Row],[Status]]&lt;&gt;"Occupied","", IF(tblRentRoll[[#This Row],[Month_to_Expiry]]&lt;=3, "0-3 Monaten",  IF(tblRentRoll[[#This Row],[Month_to_Expiry]]&lt;=6, "3-6 Monaten", IF(tblRentRoll[[#This Row],[Month_to_Expiry]]&lt;=12,"6-12 Monaten", IF(tblRentRoll[[#This Row],[Month_to_Expiry]]&gt;=12, "12 M+",)))))</f>
        <v>0-3 Monaten</v>
      </c>
      <c r="W50">
        <f>IF(tblRentRoll[[#This Row],[Status]]="Vacant", tblRentRoll[[#This Row],[Area_sqm]],0)</f>
        <v>0</v>
      </c>
      <c r="X50" s="3">
        <f>IF(tblRentRoll[[#This Row],[Status]]="Occupied", tblRentRoll[[#This Row],[Area_sqm]],0)</f>
        <v>324</v>
      </c>
      <c r="Y50" s="3">
        <f ca="1">tblRentRoll[[#This Row],[Month_to_Expiry]]/12*tblRentRoll[[#This Row],[Annual_Rent_EUR]]</f>
        <v>0</v>
      </c>
      <c r="Z50" s="3"/>
    </row>
    <row r="51" spans="1:26" x14ac:dyDescent="0.35">
      <c r="A51" t="s">
        <v>17</v>
      </c>
      <c r="B51" t="s">
        <v>112</v>
      </c>
      <c r="C51" t="s">
        <v>14</v>
      </c>
      <c r="D51">
        <v>1278</v>
      </c>
      <c r="E51" t="s">
        <v>15</v>
      </c>
      <c r="F51" t="s">
        <v>59</v>
      </c>
      <c r="G51">
        <v>14012.6</v>
      </c>
      <c r="H51">
        <v>168151.2</v>
      </c>
      <c r="I51" s="2">
        <f>tblRentRoll[[#This Row],[Monthly_Rent_EUR]]*12</f>
        <v>168151.2</v>
      </c>
      <c r="J51" s="2" t="str">
        <f>IF(tblRentRoll[[#This Row],[Annual_Rent_EUR]]&lt;&gt;tblRentRoll[[#This Row],[Jahresrente_EUR]], "FALSCH", "")</f>
        <v/>
      </c>
      <c r="K51" s="1">
        <v>45072</v>
      </c>
      <c r="L51" s="1">
        <v>45706</v>
      </c>
      <c r="M51">
        <v>2978.05</v>
      </c>
      <c r="N51">
        <v>2596.29</v>
      </c>
      <c r="O5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1" t="str">
        <f>IF(tblRentRoll[[#This Row],[Area_sqm]]&lt;=0,"Area&lt;=0","")</f>
        <v/>
      </c>
      <c r="Q51" t="str">
        <f>IF(tblRentRoll[[#This Row],[Monthly_Rent_EUR]]&lt;=0,"Rent&lt;=0","")</f>
        <v/>
      </c>
      <c r="R51">
        <f>IF(AND(tblRentRoll[[#This Row],[Status]]="Occupied", tblRentRoll[[#This Row],[Area_sqm]]&gt;0), tblRentRoll[[#This Row],[Annual_Rent_EUR]]/tblRentRoll[[#This Row],[Area_sqm]],"")</f>
        <v>131.57370892018781</v>
      </c>
      <c r="S51">
        <f>tblRentRoll[[#This Row],[Service_Charge_EUR]]+tblRentRoll[[#This Row],[Operating_Cost_EUR]]</f>
        <v>5574.34</v>
      </c>
      <c r="T51">
        <f>IF(tblRentRoll[[#This Row],[Annual_Rent_EUR]]&lt;&gt;0,tblRentRoll[[#This Row],[Annual_Rent_EUR]]-tblRentRoll[[#This Row],[Operating_Cost_EUR]], "")</f>
        <v>165554.91</v>
      </c>
      <c r="U51">
        <f ca="1">IF(AND(tblRentRoll[[#This Row],[Status]]="Occupied",tblRentRoll[[#This Row],[Lease_End]]&gt;=TODAY()),DATEDIF(TODAY(),tblRentRoll[[#This Row],[Lease_End]],"m"), 0)</f>
        <v>0</v>
      </c>
      <c r="V51" t="str">
        <f ca="1">IF(tblRentRoll[[#This Row],[Status]]&lt;&gt;"Occupied","", IF(tblRentRoll[[#This Row],[Month_to_Expiry]]&lt;=3, "0-3 Monaten",  IF(tblRentRoll[[#This Row],[Month_to_Expiry]]&lt;=6, "3-6 Monaten", IF(tblRentRoll[[#This Row],[Month_to_Expiry]]&lt;=12,"6-12 Monaten", IF(tblRentRoll[[#This Row],[Month_to_Expiry]]&gt;=12, "12 M+",)))))</f>
        <v>0-3 Monaten</v>
      </c>
      <c r="W51">
        <f>IF(tblRentRoll[[#This Row],[Status]]="Vacant", tblRentRoll[[#This Row],[Area_sqm]],0)</f>
        <v>0</v>
      </c>
      <c r="X51" s="3">
        <f>IF(tblRentRoll[[#This Row],[Status]]="Occupied", tblRentRoll[[#This Row],[Area_sqm]],0)</f>
        <v>1278</v>
      </c>
      <c r="Y51" s="3">
        <f ca="1">tblRentRoll[[#This Row],[Month_to_Expiry]]/12*tblRentRoll[[#This Row],[Annual_Rent_EUR]]</f>
        <v>0</v>
      </c>
      <c r="Z51" s="3"/>
    </row>
    <row r="52" spans="1:26" x14ac:dyDescent="0.35">
      <c r="A52" t="s">
        <v>21</v>
      </c>
      <c r="B52" t="s">
        <v>113</v>
      </c>
      <c r="C52" t="s">
        <v>29</v>
      </c>
      <c r="D52">
        <v>1127</v>
      </c>
      <c r="E52" t="s">
        <v>15</v>
      </c>
      <c r="F52" t="s">
        <v>114</v>
      </c>
      <c r="G52">
        <v>10329.219999999999</v>
      </c>
      <c r="H52">
        <v>123950.64</v>
      </c>
      <c r="I52" s="2">
        <f>tblRentRoll[[#This Row],[Monthly_Rent_EUR]]*12</f>
        <v>123950.63999999998</v>
      </c>
      <c r="J52" s="2" t="str">
        <f>IF(tblRentRoll[[#This Row],[Annual_Rent_EUR]]&lt;&gt;tblRentRoll[[#This Row],[Jahresrente_EUR]], "FALSCH", "")</f>
        <v/>
      </c>
      <c r="K52" s="1">
        <v>45243</v>
      </c>
      <c r="L52" s="1">
        <v>47020</v>
      </c>
      <c r="M52">
        <v>1359.55</v>
      </c>
      <c r="N52">
        <v>1127.1199999999999</v>
      </c>
      <c r="O5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2" t="str">
        <f>IF(tblRentRoll[[#This Row],[Area_sqm]]&lt;=0,"Area&lt;=0","")</f>
        <v/>
      </c>
      <c r="Q52" t="str">
        <f>IF(tblRentRoll[[#This Row],[Monthly_Rent_EUR]]&lt;=0,"Rent&lt;=0","")</f>
        <v/>
      </c>
      <c r="R52">
        <f>IF(AND(tblRentRoll[[#This Row],[Status]]="Occupied", tblRentRoll[[#This Row],[Area_sqm]]&gt;0), tblRentRoll[[#This Row],[Annual_Rent_EUR]]/tblRentRoll[[#This Row],[Area_sqm]],"")</f>
        <v>109.98282165039929</v>
      </c>
      <c r="S52">
        <f>tblRentRoll[[#This Row],[Service_Charge_EUR]]+tblRentRoll[[#This Row],[Operating_Cost_EUR]]</f>
        <v>2486.67</v>
      </c>
      <c r="T52">
        <f>IF(tblRentRoll[[#This Row],[Annual_Rent_EUR]]&lt;&gt;0,tblRentRoll[[#This Row],[Annual_Rent_EUR]]-tblRentRoll[[#This Row],[Operating_Cost_EUR]], "")</f>
        <v>122823.52</v>
      </c>
      <c r="U52">
        <f ca="1">IF(AND(tblRentRoll[[#This Row],[Status]]="Occupied",tblRentRoll[[#This Row],[Lease_End]]&gt;=TODAY()),DATEDIF(TODAY(),tblRentRoll[[#This Row],[Lease_End]],"m"), 0)</f>
        <v>30</v>
      </c>
      <c r="V52" t="str">
        <f ca="1">IF(tblRentRoll[[#This Row],[Status]]&lt;&gt;"Occupied","", IF(tblRentRoll[[#This Row],[Month_to_Expiry]]&lt;=3, "0-3 Monaten",  IF(tblRentRoll[[#This Row],[Month_to_Expiry]]&lt;=6, "3-6 Monaten", IF(tblRentRoll[[#This Row],[Month_to_Expiry]]&lt;=12,"6-12 Monaten", IF(tblRentRoll[[#This Row],[Month_to_Expiry]]&gt;=12, "12 M+",)))))</f>
        <v>12 M+</v>
      </c>
      <c r="W52">
        <f>IF(tblRentRoll[[#This Row],[Status]]="Vacant", tblRentRoll[[#This Row],[Area_sqm]],0)</f>
        <v>0</v>
      </c>
      <c r="X52" s="3">
        <f>IF(tblRentRoll[[#This Row],[Status]]="Occupied", tblRentRoll[[#This Row],[Area_sqm]],0)</f>
        <v>1127</v>
      </c>
      <c r="Y52" s="3">
        <f ca="1">tblRentRoll[[#This Row],[Month_to_Expiry]]/12*tblRentRoll[[#This Row],[Annual_Rent_EUR]]</f>
        <v>309876.59999999998</v>
      </c>
      <c r="Z52" s="3"/>
    </row>
    <row r="53" spans="1:26" x14ac:dyDescent="0.35">
      <c r="A53" t="s">
        <v>24</v>
      </c>
      <c r="B53" t="s">
        <v>115</v>
      </c>
      <c r="C53" t="s">
        <v>29</v>
      </c>
      <c r="D53">
        <v>222</v>
      </c>
      <c r="E53" t="s">
        <v>20</v>
      </c>
      <c r="G53">
        <v>0</v>
      </c>
      <c r="H53">
        <v>0</v>
      </c>
      <c r="I53" s="2">
        <f>tblRentRoll[[#This Row],[Monthly_Rent_EUR]]*12</f>
        <v>0</v>
      </c>
      <c r="J53" s="2" t="str">
        <f>IF(tblRentRoll[[#This Row],[Annual_Rent_EUR]]&lt;&gt;tblRentRoll[[#This Row],[Jahresrente_EUR]], "FALSCH", "")</f>
        <v/>
      </c>
      <c r="M53">
        <v>265.77999999999997</v>
      </c>
      <c r="N53">
        <v>164.88</v>
      </c>
      <c r="O5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3" t="str">
        <f>IF(tblRentRoll[[#This Row],[Area_sqm]]&lt;=0,"Area&lt;=0","")</f>
        <v/>
      </c>
      <c r="Q53" t="str">
        <f>IF(tblRentRoll[[#This Row],[Monthly_Rent_EUR]]&lt;=0,"Rent&lt;=0","")</f>
        <v>Rent&lt;=0</v>
      </c>
      <c r="R53" t="str">
        <f>IF(AND(tblRentRoll[[#This Row],[Status]]="Occupied", tblRentRoll[[#This Row],[Area_sqm]]&gt;0), tblRentRoll[[#This Row],[Annual_Rent_EUR]]/tblRentRoll[[#This Row],[Area_sqm]],"")</f>
        <v/>
      </c>
      <c r="S53">
        <f>tblRentRoll[[#This Row],[Service_Charge_EUR]]+tblRentRoll[[#This Row],[Operating_Cost_EUR]]</f>
        <v>430.65999999999997</v>
      </c>
      <c r="T53" t="str">
        <f>IF(tblRentRoll[[#This Row],[Annual_Rent_EUR]]&lt;&gt;0,tblRentRoll[[#This Row],[Annual_Rent_EUR]]-tblRentRoll[[#This Row],[Operating_Cost_EUR]], "")</f>
        <v/>
      </c>
      <c r="U53">
        <f ca="1">IF(AND(tblRentRoll[[#This Row],[Status]]="Occupied",tblRentRoll[[#This Row],[Lease_End]]&gt;=TODAY()),DATEDIF(TODAY(),tblRentRoll[[#This Row],[Lease_End]],"m"), 0)</f>
        <v>0</v>
      </c>
      <c r="V53" t="str">
        <f>IF(tblRentRoll[[#This Row],[Status]]&lt;&gt;"Occupied","", IF(tblRentRoll[[#This Row],[Month_to_Expiry]]&lt;=3, "0-3 Monaten",  IF(tblRentRoll[[#This Row],[Month_to_Expiry]]&lt;=6, "3-6 Monaten", IF(tblRentRoll[[#This Row],[Month_to_Expiry]]&lt;=12,"6-12 Monaten", IF(tblRentRoll[[#This Row],[Month_to_Expiry]]&gt;=12, "12 M+",)))))</f>
        <v/>
      </c>
      <c r="W53">
        <f>IF(tblRentRoll[[#This Row],[Status]]="Vacant", tblRentRoll[[#This Row],[Area_sqm]],0)</f>
        <v>222</v>
      </c>
      <c r="X53" s="3">
        <f>IF(tblRentRoll[[#This Row],[Status]]="Occupied", tblRentRoll[[#This Row],[Area_sqm]],0)</f>
        <v>0</v>
      </c>
      <c r="Y53" s="3">
        <f ca="1">tblRentRoll[[#This Row],[Month_to_Expiry]]/12*tblRentRoll[[#This Row],[Annual_Rent_EUR]]</f>
        <v>0</v>
      </c>
      <c r="Z53" s="3"/>
    </row>
    <row r="54" spans="1:26" x14ac:dyDescent="0.35">
      <c r="A54" t="s">
        <v>27</v>
      </c>
      <c r="B54" t="s">
        <v>116</v>
      </c>
      <c r="C54" t="s">
        <v>33</v>
      </c>
      <c r="D54">
        <v>919</v>
      </c>
      <c r="E54" t="s">
        <v>15</v>
      </c>
      <c r="F54" t="s">
        <v>117</v>
      </c>
      <c r="G54">
        <v>7589.27</v>
      </c>
      <c r="H54">
        <v>91071.24</v>
      </c>
      <c r="I54" s="2">
        <f>tblRentRoll[[#This Row],[Monthly_Rent_EUR]]*12</f>
        <v>91071.24</v>
      </c>
      <c r="J54" s="2" t="str">
        <f>IF(tblRentRoll[[#This Row],[Annual_Rent_EUR]]&lt;&gt;tblRentRoll[[#This Row],[Jahresrente_EUR]], "FALSCH", "")</f>
        <v/>
      </c>
      <c r="K54" s="1">
        <v>45055</v>
      </c>
      <c r="L54" s="1">
        <v>45715</v>
      </c>
      <c r="M54">
        <v>2538.62</v>
      </c>
      <c r="N54">
        <v>533.03</v>
      </c>
      <c r="O5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4" t="str">
        <f>IF(tblRentRoll[[#This Row],[Area_sqm]]&lt;=0,"Area&lt;=0","")</f>
        <v/>
      </c>
      <c r="Q54" t="str">
        <f>IF(tblRentRoll[[#This Row],[Monthly_Rent_EUR]]&lt;=0,"Rent&lt;=0","")</f>
        <v/>
      </c>
      <c r="R54">
        <f>IF(AND(tblRentRoll[[#This Row],[Status]]="Occupied", tblRentRoll[[#This Row],[Area_sqm]]&gt;0), tblRentRoll[[#This Row],[Annual_Rent_EUR]]/tblRentRoll[[#This Row],[Area_sqm]],"")</f>
        <v>99.098193688792165</v>
      </c>
      <c r="S54">
        <f>tblRentRoll[[#This Row],[Service_Charge_EUR]]+tblRentRoll[[#This Row],[Operating_Cost_EUR]]</f>
        <v>3071.6499999999996</v>
      </c>
      <c r="T54">
        <f>IF(tblRentRoll[[#This Row],[Annual_Rent_EUR]]&lt;&gt;0,tblRentRoll[[#This Row],[Annual_Rent_EUR]]-tblRentRoll[[#This Row],[Operating_Cost_EUR]], "")</f>
        <v>90538.21</v>
      </c>
      <c r="U54">
        <f ca="1">IF(AND(tblRentRoll[[#This Row],[Status]]="Occupied",tblRentRoll[[#This Row],[Lease_End]]&gt;=TODAY()),DATEDIF(TODAY(),tblRentRoll[[#This Row],[Lease_End]],"m"), 0)</f>
        <v>0</v>
      </c>
      <c r="V54" t="str">
        <f ca="1">IF(tblRentRoll[[#This Row],[Status]]&lt;&gt;"Occupied","", IF(tblRentRoll[[#This Row],[Month_to_Expiry]]&lt;=3, "0-3 Monaten",  IF(tblRentRoll[[#This Row],[Month_to_Expiry]]&lt;=6, "3-6 Monaten", IF(tblRentRoll[[#This Row],[Month_to_Expiry]]&lt;=12,"6-12 Monaten", IF(tblRentRoll[[#This Row],[Month_to_Expiry]]&gt;=12, "12 M+",)))))</f>
        <v>0-3 Monaten</v>
      </c>
      <c r="W54">
        <f>IF(tblRentRoll[[#This Row],[Status]]="Vacant", tblRentRoll[[#This Row],[Area_sqm]],0)</f>
        <v>0</v>
      </c>
      <c r="X54" s="3">
        <f>IF(tblRentRoll[[#This Row],[Status]]="Occupied", tblRentRoll[[#This Row],[Area_sqm]],0)</f>
        <v>919</v>
      </c>
      <c r="Y54" s="3">
        <f ca="1">tblRentRoll[[#This Row],[Month_to_Expiry]]/12*tblRentRoll[[#This Row],[Annual_Rent_EUR]]</f>
        <v>0</v>
      </c>
      <c r="Z54" s="3"/>
    </row>
    <row r="55" spans="1:26" x14ac:dyDescent="0.35">
      <c r="A55" t="s">
        <v>44</v>
      </c>
      <c r="B55" t="s">
        <v>118</v>
      </c>
      <c r="C55" t="s">
        <v>33</v>
      </c>
      <c r="D55">
        <v>124</v>
      </c>
      <c r="E55" t="s">
        <v>15</v>
      </c>
      <c r="F55" t="s">
        <v>119</v>
      </c>
      <c r="G55">
        <v>1156.96</v>
      </c>
      <c r="H55">
        <v>13883.52</v>
      </c>
      <c r="I55" s="2">
        <f>tblRentRoll[[#This Row],[Monthly_Rent_EUR]]*12</f>
        <v>13883.52</v>
      </c>
      <c r="J55" s="2" t="str">
        <f>IF(tblRentRoll[[#This Row],[Annual_Rent_EUR]]&lt;&gt;tblRentRoll[[#This Row],[Jahresrente_EUR]], "FALSCH", "")</f>
        <v/>
      </c>
      <c r="K55" s="1">
        <v>44721</v>
      </c>
      <c r="L55" s="1">
        <v>46055</v>
      </c>
      <c r="M55">
        <v>342.65</v>
      </c>
      <c r="N55">
        <v>304.57</v>
      </c>
      <c r="O5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5" t="str">
        <f>IF(tblRentRoll[[#This Row],[Area_sqm]]&lt;=0,"Area&lt;=0","")</f>
        <v/>
      </c>
      <c r="Q55" t="str">
        <f>IF(tblRentRoll[[#This Row],[Monthly_Rent_EUR]]&lt;=0,"Rent&lt;=0","")</f>
        <v/>
      </c>
      <c r="R55">
        <f>IF(AND(tblRentRoll[[#This Row],[Status]]="Occupied", tblRentRoll[[#This Row],[Area_sqm]]&gt;0), tblRentRoll[[#This Row],[Annual_Rent_EUR]]/tblRentRoll[[#This Row],[Area_sqm]],"")</f>
        <v>111.96387096774194</v>
      </c>
      <c r="S55">
        <f>tblRentRoll[[#This Row],[Service_Charge_EUR]]+tblRentRoll[[#This Row],[Operating_Cost_EUR]]</f>
        <v>647.22</v>
      </c>
      <c r="T55">
        <f>IF(tblRentRoll[[#This Row],[Annual_Rent_EUR]]&lt;&gt;0,tblRentRoll[[#This Row],[Annual_Rent_EUR]]-tblRentRoll[[#This Row],[Operating_Cost_EUR]], "")</f>
        <v>13578.95</v>
      </c>
      <c r="U55">
        <f ca="1">IF(AND(tblRentRoll[[#This Row],[Status]]="Occupied",tblRentRoll[[#This Row],[Lease_End]]&gt;=TODAY()),DATEDIF(TODAY(),tblRentRoll[[#This Row],[Lease_End]],"m"), 0)</f>
        <v>0</v>
      </c>
      <c r="V55" t="str">
        <f ca="1">IF(tblRentRoll[[#This Row],[Status]]&lt;&gt;"Occupied","", IF(tblRentRoll[[#This Row],[Month_to_Expiry]]&lt;=3, "0-3 Monaten",  IF(tblRentRoll[[#This Row],[Month_to_Expiry]]&lt;=6, "3-6 Monaten", IF(tblRentRoll[[#This Row],[Month_to_Expiry]]&lt;=12,"6-12 Monaten", IF(tblRentRoll[[#This Row],[Month_to_Expiry]]&gt;=12, "12 M+",)))))</f>
        <v>0-3 Monaten</v>
      </c>
      <c r="W55">
        <f>IF(tblRentRoll[[#This Row],[Status]]="Vacant", tblRentRoll[[#This Row],[Area_sqm]],0)</f>
        <v>0</v>
      </c>
      <c r="X55" s="3">
        <f>IF(tblRentRoll[[#This Row],[Status]]="Occupied", tblRentRoll[[#This Row],[Area_sqm]],0)</f>
        <v>124</v>
      </c>
      <c r="Y55" s="3">
        <f ca="1">tblRentRoll[[#This Row],[Month_to_Expiry]]/12*tblRentRoll[[#This Row],[Annual_Rent_EUR]]</f>
        <v>0</v>
      </c>
      <c r="Z55" s="3"/>
    </row>
    <row r="56" spans="1:26" x14ac:dyDescent="0.35">
      <c r="A56" t="s">
        <v>31</v>
      </c>
      <c r="B56" t="s">
        <v>120</v>
      </c>
      <c r="C56" t="s">
        <v>29</v>
      </c>
      <c r="D56">
        <v>229</v>
      </c>
      <c r="E56" t="s">
        <v>20</v>
      </c>
      <c r="G56">
        <v>0</v>
      </c>
      <c r="H56">
        <v>0</v>
      </c>
      <c r="I56" s="2">
        <f>tblRentRoll[[#This Row],[Monthly_Rent_EUR]]*12</f>
        <v>0</v>
      </c>
      <c r="J56" s="2" t="str">
        <f>IF(tblRentRoll[[#This Row],[Annual_Rent_EUR]]&lt;&gt;tblRentRoll[[#This Row],[Jahresrente_EUR]], "FALSCH", "")</f>
        <v/>
      </c>
      <c r="M56">
        <v>579.84</v>
      </c>
      <c r="N56">
        <v>241.56</v>
      </c>
      <c r="O5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6" t="str">
        <f>IF(tblRentRoll[[#This Row],[Area_sqm]]&lt;=0,"Area&lt;=0","")</f>
        <v/>
      </c>
      <c r="Q56" t="str">
        <f>IF(tblRentRoll[[#This Row],[Monthly_Rent_EUR]]&lt;=0,"Rent&lt;=0","")</f>
        <v>Rent&lt;=0</v>
      </c>
      <c r="R56" t="str">
        <f>IF(AND(tblRentRoll[[#This Row],[Status]]="Occupied", tblRentRoll[[#This Row],[Area_sqm]]&gt;0), tblRentRoll[[#This Row],[Annual_Rent_EUR]]/tblRentRoll[[#This Row],[Area_sqm]],"")</f>
        <v/>
      </c>
      <c r="S56">
        <f>tblRentRoll[[#This Row],[Service_Charge_EUR]]+tblRentRoll[[#This Row],[Operating_Cost_EUR]]</f>
        <v>821.40000000000009</v>
      </c>
      <c r="T56" t="str">
        <f>IF(tblRentRoll[[#This Row],[Annual_Rent_EUR]]&lt;&gt;0,tblRentRoll[[#This Row],[Annual_Rent_EUR]]-tblRentRoll[[#This Row],[Operating_Cost_EUR]], "")</f>
        <v/>
      </c>
      <c r="U56">
        <f ca="1">IF(AND(tblRentRoll[[#This Row],[Status]]="Occupied",tblRentRoll[[#This Row],[Lease_End]]&gt;=TODAY()),DATEDIF(TODAY(),tblRentRoll[[#This Row],[Lease_End]],"m"), 0)</f>
        <v>0</v>
      </c>
      <c r="V56" t="str">
        <f>IF(tblRentRoll[[#This Row],[Status]]&lt;&gt;"Occupied","", IF(tblRentRoll[[#This Row],[Month_to_Expiry]]&lt;=3, "0-3 Monaten",  IF(tblRentRoll[[#This Row],[Month_to_Expiry]]&lt;=6, "3-6 Monaten", IF(tblRentRoll[[#This Row],[Month_to_Expiry]]&lt;=12,"6-12 Monaten", IF(tblRentRoll[[#This Row],[Month_to_Expiry]]&gt;=12, "12 M+",)))))</f>
        <v/>
      </c>
      <c r="W56">
        <f>IF(tblRentRoll[[#This Row],[Status]]="Vacant", tblRentRoll[[#This Row],[Area_sqm]],0)</f>
        <v>229</v>
      </c>
      <c r="X56" s="3">
        <f>IF(tblRentRoll[[#This Row],[Status]]="Occupied", tblRentRoll[[#This Row],[Area_sqm]],0)</f>
        <v>0</v>
      </c>
      <c r="Y56" s="3">
        <f ca="1">tblRentRoll[[#This Row],[Month_to_Expiry]]/12*tblRentRoll[[#This Row],[Annual_Rent_EUR]]</f>
        <v>0</v>
      </c>
      <c r="Z56" s="3"/>
    </row>
    <row r="57" spans="1:26" x14ac:dyDescent="0.35">
      <c r="A57" t="s">
        <v>27</v>
      </c>
      <c r="B57" t="s">
        <v>121</v>
      </c>
      <c r="C57" t="s">
        <v>29</v>
      </c>
      <c r="D57">
        <v>536</v>
      </c>
      <c r="E57" t="s">
        <v>15</v>
      </c>
      <c r="F57" t="s">
        <v>122</v>
      </c>
      <c r="G57">
        <v>7105.28</v>
      </c>
      <c r="H57">
        <v>85263.360000000001</v>
      </c>
      <c r="I57" s="2">
        <f>tblRentRoll[[#This Row],[Monthly_Rent_EUR]]*12</f>
        <v>85263.360000000001</v>
      </c>
      <c r="J57" s="2" t="str">
        <f>IF(tblRentRoll[[#This Row],[Annual_Rent_EUR]]&lt;&gt;tblRentRoll[[#This Row],[Jahresrente_EUR]], "FALSCH", "")</f>
        <v/>
      </c>
      <c r="K57" s="1">
        <v>44384</v>
      </c>
      <c r="L57" s="1">
        <v>45582</v>
      </c>
      <c r="M57">
        <v>718.88</v>
      </c>
      <c r="N57">
        <v>844.73</v>
      </c>
      <c r="O5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7" t="str">
        <f>IF(tblRentRoll[[#This Row],[Area_sqm]]&lt;=0,"Area&lt;=0","")</f>
        <v/>
      </c>
      <c r="Q57" t="str">
        <f>IF(tblRentRoll[[#This Row],[Monthly_Rent_EUR]]&lt;=0,"Rent&lt;=0","")</f>
        <v/>
      </c>
      <c r="R57">
        <f>IF(AND(tblRentRoll[[#This Row],[Status]]="Occupied", tblRentRoll[[#This Row],[Area_sqm]]&gt;0), tblRentRoll[[#This Row],[Annual_Rent_EUR]]/tblRentRoll[[#This Row],[Area_sqm]],"")</f>
        <v>159.07343283582091</v>
      </c>
      <c r="S57">
        <f>tblRentRoll[[#This Row],[Service_Charge_EUR]]+tblRentRoll[[#This Row],[Operating_Cost_EUR]]</f>
        <v>1563.6100000000001</v>
      </c>
      <c r="T57">
        <f>IF(tblRentRoll[[#This Row],[Annual_Rent_EUR]]&lt;&gt;0,tblRentRoll[[#This Row],[Annual_Rent_EUR]]-tblRentRoll[[#This Row],[Operating_Cost_EUR]], "")</f>
        <v>84418.63</v>
      </c>
      <c r="U57">
        <f ca="1">IF(AND(tblRentRoll[[#This Row],[Status]]="Occupied",tblRentRoll[[#This Row],[Lease_End]]&gt;=TODAY()),DATEDIF(TODAY(),tblRentRoll[[#This Row],[Lease_End]],"m"), 0)</f>
        <v>0</v>
      </c>
      <c r="V57" t="str">
        <f ca="1">IF(tblRentRoll[[#This Row],[Status]]&lt;&gt;"Occupied","", IF(tblRentRoll[[#This Row],[Month_to_Expiry]]&lt;=3, "0-3 Monaten",  IF(tblRentRoll[[#This Row],[Month_to_Expiry]]&lt;=6, "3-6 Monaten", IF(tblRentRoll[[#This Row],[Month_to_Expiry]]&lt;=12,"6-12 Monaten", IF(tblRentRoll[[#This Row],[Month_to_Expiry]]&gt;=12, "12 M+",)))))</f>
        <v>0-3 Monaten</v>
      </c>
      <c r="W57">
        <f>IF(tblRentRoll[[#This Row],[Status]]="Vacant", tblRentRoll[[#This Row],[Area_sqm]],0)</f>
        <v>0</v>
      </c>
      <c r="X57" s="3">
        <f>IF(tblRentRoll[[#This Row],[Status]]="Occupied", tblRentRoll[[#This Row],[Area_sqm]],0)</f>
        <v>536</v>
      </c>
      <c r="Y57" s="3">
        <f ca="1">tblRentRoll[[#This Row],[Month_to_Expiry]]/12*tblRentRoll[[#This Row],[Annual_Rent_EUR]]</f>
        <v>0</v>
      </c>
      <c r="Z57" s="3"/>
    </row>
    <row r="58" spans="1:26" x14ac:dyDescent="0.35">
      <c r="A58" t="s">
        <v>24</v>
      </c>
      <c r="B58" t="s">
        <v>123</v>
      </c>
      <c r="C58" t="s">
        <v>29</v>
      </c>
      <c r="D58">
        <v>1342</v>
      </c>
      <c r="E58" t="s">
        <v>15</v>
      </c>
      <c r="F58" t="s">
        <v>124</v>
      </c>
      <c r="G58">
        <v>9440.69</v>
      </c>
      <c r="H58">
        <v>113288.28</v>
      </c>
      <c r="I58" s="2">
        <f>tblRentRoll[[#This Row],[Monthly_Rent_EUR]]*12</f>
        <v>113288.28</v>
      </c>
      <c r="J58" s="2" t="str">
        <f>IF(tblRentRoll[[#This Row],[Annual_Rent_EUR]]&lt;&gt;tblRentRoll[[#This Row],[Jahresrente_EUR]], "FALSCH", "")</f>
        <v/>
      </c>
      <c r="K58" s="1">
        <v>44663</v>
      </c>
      <c r="L58" s="1">
        <v>45638</v>
      </c>
      <c r="M58">
        <v>1382.89</v>
      </c>
      <c r="N58">
        <v>1256.8599999999999</v>
      </c>
      <c r="O5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8" t="str">
        <f>IF(tblRentRoll[[#This Row],[Area_sqm]]&lt;=0,"Area&lt;=0","")</f>
        <v/>
      </c>
      <c r="Q58" t="str">
        <f>IF(tblRentRoll[[#This Row],[Monthly_Rent_EUR]]&lt;=0,"Rent&lt;=0","")</f>
        <v/>
      </c>
      <c r="R58">
        <f>IF(AND(tblRentRoll[[#This Row],[Status]]="Occupied", tblRentRoll[[#This Row],[Area_sqm]]&gt;0), tblRentRoll[[#This Row],[Annual_Rent_EUR]]/tblRentRoll[[#This Row],[Area_sqm]],"")</f>
        <v>84.417496274217584</v>
      </c>
      <c r="S58">
        <f>tblRentRoll[[#This Row],[Service_Charge_EUR]]+tblRentRoll[[#This Row],[Operating_Cost_EUR]]</f>
        <v>2639.75</v>
      </c>
      <c r="T58">
        <f>IF(tblRentRoll[[#This Row],[Annual_Rent_EUR]]&lt;&gt;0,tblRentRoll[[#This Row],[Annual_Rent_EUR]]-tblRentRoll[[#This Row],[Operating_Cost_EUR]], "")</f>
        <v>112031.42</v>
      </c>
      <c r="U58">
        <f ca="1">IF(AND(tblRentRoll[[#This Row],[Status]]="Occupied",tblRentRoll[[#This Row],[Lease_End]]&gt;=TODAY()),DATEDIF(TODAY(),tblRentRoll[[#This Row],[Lease_End]],"m"), 0)</f>
        <v>0</v>
      </c>
      <c r="V58" t="str">
        <f ca="1">IF(tblRentRoll[[#This Row],[Status]]&lt;&gt;"Occupied","", IF(tblRentRoll[[#This Row],[Month_to_Expiry]]&lt;=3, "0-3 Monaten",  IF(tblRentRoll[[#This Row],[Month_to_Expiry]]&lt;=6, "3-6 Monaten", IF(tblRentRoll[[#This Row],[Month_to_Expiry]]&lt;=12,"6-12 Monaten", IF(tblRentRoll[[#This Row],[Month_to_Expiry]]&gt;=12, "12 M+",)))))</f>
        <v>0-3 Monaten</v>
      </c>
      <c r="W58">
        <f>IF(tblRentRoll[[#This Row],[Status]]="Vacant", tblRentRoll[[#This Row],[Area_sqm]],0)</f>
        <v>0</v>
      </c>
      <c r="X58" s="3">
        <f>IF(tblRentRoll[[#This Row],[Status]]="Occupied", tblRentRoll[[#This Row],[Area_sqm]],0)</f>
        <v>1342</v>
      </c>
      <c r="Y58" s="3">
        <f ca="1">tblRentRoll[[#This Row],[Month_to_Expiry]]/12*tblRentRoll[[#This Row],[Annual_Rent_EUR]]</f>
        <v>0</v>
      </c>
      <c r="Z58" s="3"/>
    </row>
    <row r="59" spans="1:26" x14ac:dyDescent="0.35">
      <c r="A59" t="s">
        <v>12</v>
      </c>
      <c r="B59" t="s">
        <v>125</v>
      </c>
      <c r="C59" t="s">
        <v>19</v>
      </c>
      <c r="D59">
        <v>182</v>
      </c>
      <c r="E59" t="s">
        <v>15</v>
      </c>
      <c r="F59" t="s">
        <v>126</v>
      </c>
      <c r="G59">
        <v>1195.51</v>
      </c>
      <c r="H59">
        <v>14346.12</v>
      </c>
      <c r="I59" s="2">
        <f>tblRentRoll[[#This Row],[Monthly_Rent_EUR]]*12</f>
        <v>14346.119999999999</v>
      </c>
      <c r="J59" s="2" t="str">
        <f>IF(tblRentRoll[[#This Row],[Annual_Rent_EUR]]&lt;&gt;tblRentRoll[[#This Row],[Jahresrente_EUR]], "FALSCH", "")</f>
        <v/>
      </c>
      <c r="K59" s="1">
        <v>44571</v>
      </c>
      <c r="L59" s="1">
        <v>44853</v>
      </c>
      <c r="M59">
        <v>395.43</v>
      </c>
      <c r="N59">
        <v>193.1</v>
      </c>
      <c r="O5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9" t="str">
        <f>IF(tblRentRoll[[#This Row],[Area_sqm]]&lt;=0,"Area&lt;=0","")</f>
        <v/>
      </c>
      <c r="Q59" t="str">
        <f>IF(tblRentRoll[[#This Row],[Monthly_Rent_EUR]]&lt;=0,"Rent&lt;=0","")</f>
        <v/>
      </c>
      <c r="R59">
        <f>IF(AND(tblRentRoll[[#This Row],[Status]]="Occupied", tblRentRoll[[#This Row],[Area_sqm]]&gt;0), tblRentRoll[[#This Row],[Annual_Rent_EUR]]/tblRentRoll[[#This Row],[Area_sqm]],"")</f>
        <v>78.824835164835164</v>
      </c>
      <c r="S59">
        <f>tblRentRoll[[#This Row],[Service_Charge_EUR]]+tblRentRoll[[#This Row],[Operating_Cost_EUR]]</f>
        <v>588.53</v>
      </c>
      <c r="T59">
        <f>IF(tblRentRoll[[#This Row],[Annual_Rent_EUR]]&lt;&gt;0,tblRentRoll[[#This Row],[Annual_Rent_EUR]]-tblRentRoll[[#This Row],[Operating_Cost_EUR]], "")</f>
        <v>14153.02</v>
      </c>
      <c r="U59">
        <f ca="1">IF(AND(tblRentRoll[[#This Row],[Status]]="Occupied",tblRentRoll[[#This Row],[Lease_End]]&gt;=TODAY()),DATEDIF(TODAY(),tblRentRoll[[#This Row],[Lease_End]],"m"), 0)</f>
        <v>0</v>
      </c>
      <c r="V59" t="str">
        <f ca="1">IF(tblRentRoll[[#This Row],[Status]]&lt;&gt;"Occupied","", IF(tblRentRoll[[#This Row],[Month_to_Expiry]]&lt;=3, "0-3 Monaten",  IF(tblRentRoll[[#This Row],[Month_to_Expiry]]&lt;=6, "3-6 Monaten", IF(tblRentRoll[[#This Row],[Month_to_Expiry]]&lt;=12,"6-12 Monaten", IF(tblRentRoll[[#This Row],[Month_to_Expiry]]&gt;=12, "12 M+",)))))</f>
        <v>0-3 Monaten</v>
      </c>
      <c r="W59">
        <f>IF(tblRentRoll[[#This Row],[Status]]="Vacant", tblRentRoll[[#This Row],[Area_sqm]],0)</f>
        <v>0</v>
      </c>
      <c r="X59" s="3">
        <f>IF(tblRentRoll[[#This Row],[Status]]="Occupied", tblRentRoll[[#This Row],[Area_sqm]],0)</f>
        <v>182</v>
      </c>
      <c r="Y59" s="3">
        <f ca="1">tblRentRoll[[#This Row],[Month_to_Expiry]]/12*tblRentRoll[[#This Row],[Annual_Rent_EUR]]</f>
        <v>0</v>
      </c>
      <c r="Z59" s="3"/>
    </row>
    <row r="60" spans="1:26" x14ac:dyDescent="0.35">
      <c r="A60" t="s">
        <v>44</v>
      </c>
      <c r="B60" t="s">
        <v>127</v>
      </c>
      <c r="C60" t="s">
        <v>14</v>
      </c>
      <c r="D60">
        <v>863</v>
      </c>
      <c r="E60" t="s">
        <v>15</v>
      </c>
      <c r="F60" t="s">
        <v>128</v>
      </c>
      <c r="G60">
        <v>14963.99</v>
      </c>
      <c r="H60">
        <v>179567.88</v>
      </c>
      <c r="I60" s="2">
        <f>tblRentRoll[[#This Row],[Monthly_Rent_EUR]]*12</f>
        <v>179567.88</v>
      </c>
      <c r="J60" s="2" t="str">
        <f>IF(tblRentRoll[[#This Row],[Annual_Rent_EUR]]&lt;&gt;tblRentRoll[[#This Row],[Jahresrente_EUR]], "FALSCH", "")</f>
        <v/>
      </c>
      <c r="K60" s="1">
        <v>45054</v>
      </c>
      <c r="L60" s="1">
        <v>46733</v>
      </c>
      <c r="M60">
        <v>1798.2</v>
      </c>
      <c r="N60">
        <v>1220.48</v>
      </c>
      <c r="O6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0" t="str">
        <f>IF(tblRentRoll[[#This Row],[Area_sqm]]&lt;=0,"Area&lt;=0","")</f>
        <v/>
      </c>
      <c r="Q60" t="str">
        <f>IF(tblRentRoll[[#This Row],[Monthly_Rent_EUR]]&lt;=0,"Rent&lt;=0","")</f>
        <v/>
      </c>
      <c r="R60">
        <f>IF(AND(tblRentRoll[[#This Row],[Status]]="Occupied", tblRentRoll[[#This Row],[Area_sqm]]&gt;0), tblRentRoll[[#This Row],[Annual_Rent_EUR]]/tblRentRoll[[#This Row],[Area_sqm]],"")</f>
        <v>208.07402085747393</v>
      </c>
      <c r="S60">
        <f>tblRentRoll[[#This Row],[Service_Charge_EUR]]+tblRentRoll[[#This Row],[Operating_Cost_EUR]]</f>
        <v>3018.6800000000003</v>
      </c>
      <c r="T60">
        <f>IF(tblRentRoll[[#This Row],[Annual_Rent_EUR]]&lt;&gt;0,tblRentRoll[[#This Row],[Annual_Rent_EUR]]-tblRentRoll[[#This Row],[Operating_Cost_EUR]], "")</f>
        <v>178347.4</v>
      </c>
      <c r="U60">
        <f ca="1">IF(AND(tblRentRoll[[#This Row],[Status]]="Occupied",tblRentRoll[[#This Row],[Lease_End]]&gt;=TODAY()),DATEDIF(TODAY(),tblRentRoll[[#This Row],[Lease_End]],"m"), 0)</f>
        <v>21</v>
      </c>
      <c r="V60" t="str">
        <f ca="1">IF(tblRentRoll[[#This Row],[Status]]&lt;&gt;"Occupied","", IF(tblRentRoll[[#This Row],[Month_to_Expiry]]&lt;=3, "0-3 Monaten",  IF(tblRentRoll[[#This Row],[Month_to_Expiry]]&lt;=6, "3-6 Monaten", IF(tblRentRoll[[#This Row],[Month_to_Expiry]]&lt;=12,"6-12 Monaten", IF(tblRentRoll[[#This Row],[Month_to_Expiry]]&gt;=12, "12 M+",)))))</f>
        <v>12 M+</v>
      </c>
      <c r="W60">
        <f>IF(tblRentRoll[[#This Row],[Status]]="Vacant", tblRentRoll[[#This Row],[Area_sqm]],0)</f>
        <v>0</v>
      </c>
      <c r="X60" s="3">
        <f>IF(tblRentRoll[[#This Row],[Status]]="Occupied", tblRentRoll[[#This Row],[Area_sqm]],0)</f>
        <v>863</v>
      </c>
      <c r="Y60" s="3">
        <f ca="1">tblRentRoll[[#This Row],[Month_to_Expiry]]/12*tblRentRoll[[#This Row],[Annual_Rent_EUR]]</f>
        <v>314243.79000000004</v>
      </c>
      <c r="Z60" s="3"/>
    </row>
    <row r="61" spans="1:26" x14ac:dyDescent="0.35">
      <c r="A61" t="s">
        <v>27</v>
      </c>
      <c r="B61" t="s">
        <v>129</v>
      </c>
      <c r="C61" t="s">
        <v>33</v>
      </c>
      <c r="D61">
        <v>1307</v>
      </c>
      <c r="E61" t="s">
        <v>20</v>
      </c>
      <c r="G61">
        <v>0</v>
      </c>
      <c r="H61">
        <v>0</v>
      </c>
      <c r="I61" s="2">
        <f>tblRentRoll[[#This Row],[Monthly_Rent_EUR]]*12</f>
        <v>0</v>
      </c>
      <c r="J61" s="2" t="str">
        <f>IF(tblRentRoll[[#This Row],[Annual_Rent_EUR]]&lt;&gt;tblRentRoll[[#This Row],[Jahresrente_EUR]], "FALSCH", "")</f>
        <v/>
      </c>
      <c r="M61">
        <v>3737.68</v>
      </c>
      <c r="N61">
        <v>3017.46</v>
      </c>
      <c r="O6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1" t="str">
        <f>IF(tblRentRoll[[#This Row],[Area_sqm]]&lt;=0,"Area&lt;=0","")</f>
        <v/>
      </c>
      <c r="Q61" t="str">
        <f>IF(tblRentRoll[[#This Row],[Monthly_Rent_EUR]]&lt;=0,"Rent&lt;=0","")</f>
        <v>Rent&lt;=0</v>
      </c>
      <c r="R61" t="str">
        <f>IF(AND(tblRentRoll[[#This Row],[Status]]="Occupied", tblRentRoll[[#This Row],[Area_sqm]]&gt;0), tblRentRoll[[#This Row],[Annual_Rent_EUR]]/tblRentRoll[[#This Row],[Area_sqm]],"")</f>
        <v/>
      </c>
      <c r="S61">
        <f>tblRentRoll[[#This Row],[Service_Charge_EUR]]+tblRentRoll[[#This Row],[Operating_Cost_EUR]]</f>
        <v>6755.1399999999994</v>
      </c>
      <c r="T61" t="str">
        <f>IF(tblRentRoll[[#This Row],[Annual_Rent_EUR]]&lt;&gt;0,tblRentRoll[[#This Row],[Annual_Rent_EUR]]-tblRentRoll[[#This Row],[Operating_Cost_EUR]], "")</f>
        <v/>
      </c>
      <c r="U61">
        <f ca="1">IF(AND(tblRentRoll[[#This Row],[Status]]="Occupied",tblRentRoll[[#This Row],[Lease_End]]&gt;=TODAY()),DATEDIF(TODAY(),tblRentRoll[[#This Row],[Lease_End]],"m"), 0)</f>
        <v>0</v>
      </c>
      <c r="V61" t="str">
        <f>IF(tblRentRoll[[#This Row],[Status]]&lt;&gt;"Occupied","", IF(tblRentRoll[[#This Row],[Month_to_Expiry]]&lt;=3, "0-3 Monaten",  IF(tblRentRoll[[#This Row],[Month_to_Expiry]]&lt;=6, "3-6 Monaten", IF(tblRentRoll[[#This Row],[Month_to_Expiry]]&lt;=12,"6-12 Monaten", IF(tblRentRoll[[#This Row],[Month_to_Expiry]]&gt;=12, "12 M+",)))))</f>
        <v/>
      </c>
      <c r="W61">
        <f>IF(tblRentRoll[[#This Row],[Status]]="Vacant", tblRentRoll[[#This Row],[Area_sqm]],0)</f>
        <v>1307</v>
      </c>
      <c r="X61" s="3">
        <f>IF(tblRentRoll[[#This Row],[Status]]="Occupied", tblRentRoll[[#This Row],[Area_sqm]],0)</f>
        <v>0</v>
      </c>
      <c r="Y61" s="3">
        <f ca="1">tblRentRoll[[#This Row],[Month_to_Expiry]]/12*tblRentRoll[[#This Row],[Annual_Rent_EUR]]</f>
        <v>0</v>
      </c>
      <c r="Z61" s="3"/>
    </row>
    <row r="62" spans="1:26" x14ac:dyDescent="0.35">
      <c r="A62" t="s">
        <v>27</v>
      </c>
      <c r="B62" t="s">
        <v>130</v>
      </c>
      <c r="C62" t="s">
        <v>29</v>
      </c>
      <c r="D62">
        <v>703</v>
      </c>
      <c r="E62" t="s">
        <v>15</v>
      </c>
      <c r="F62" t="s">
        <v>78</v>
      </c>
      <c r="G62">
        <v>5644.59</v>
      </c>
      <c r="H62">
        <v>67735.08</v>
      </c>
      <c r="I62" s="2">
        <f>tblRentRoll[[#This Row],[Monthly_Rent_EUR]]*12</f>
        <v>67735.08</v>
      </c>
      <c r="J62" s="2" t="str">
        <f>IF(tblRentRoll[[#This Row],[Annual_Rent_EUR]]&lt;&gt;tblRentRoll[[#This Row],[Jahresrente_EUR]], "FALSCH", "")</f>
        <v/>
      </c>
      <c r="K62" s="1">
        <v>45216</v>
      </c>
      <c r="L62" s="1">
        <v>46789</v>
      </c>
      <c r="M62">
        <v>1776.55</v>
      </c>
      <c r="N62">
        <v>1574.09</v>
      </c>
      <c r="O6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2" t="str">
        <f>IF(tblRentRoll[[#This Row],[Area_sqm]]&lt;=0,"Area&lt;=0","")</f>
        <v/>
      </c>
      <c r="Q62" t="str">
        <f>IF(tblRentRoll[[#This Row],[Monthly_Rent_EUR]]&lt;=0,"Rent&lt;=0","")</f>
        <v/>
      </c>
      <c r="R62">
        <f>IF(AND(tblRentRoll[[#This Row],[Status]]="Occupied", tblRentRoll[[#This Row],[Area_sqm]]&gt;0), tblRentRoll[[#This Row],[Annual_Rent_EUR]]/tblRentRoll[[#This Row],[Area_sqm]],"")</f>
        <v>96.351465149359882</v>
      </c>
      <c r="S62">
        <f>tblRentRoll[[#This Row],[Service_Charge_EUR]]+tblRentRoll[[#This Row],[Operating_Cost_EUR]]</f>
        <v>3350.64</v>
      </c>
      <c r="T62">
        <f>IF(tblRentRoll[[#This Row],[Annual_Rent_EUR]]&lt;&gt;0,tblRentRoll[[#This Row],[Annual_Rent_EUR]]-tblRentRoll[[#This Row],[Operating_Cost_EUR]], "")</f>
        <v>66160.990000000005</v>
      </c>
      <c r="U62">
        <f ca="1">IF(AND(tblRentRoll[[#This Row],[Status]]="Occupied",tblRentRoll[[#This Row],[Lease_End]]&gt;=TODAY()),DATEDIF(TODAY(),tblRentRoll[[#This Row],[Lease_End]],"m"), 0)</f>
        <v>22</v>
      </c>
      <c r="V62" t="str">
        <f ca="1">IF(tblRentRoll[[#This Row],[Status]]&lt;&gt;"Occupied","", IF(tblRentRoll[[#This Row],[Month_to_Expiry]]&lt;=3, "0-3 Monaten",  IF(tblRentRoll[[#This Row],[Month_to_Expiry]]&lt;=6, "3-6 Monaten", IF(tblRentRoll[[#This Row],[Month_to_Expiry]]&lt;=12,"6-12 Monaten", IF(tblRentRoll[[#This Row],[Month_to_Expiry]]&gt;=12, "12 M+",)))))</f>
        <v>12 M+</v>
      </c>
      <c r="W62">
        <f>IF(tblRentRoll[[#This Row],[Status]]="Vacant", tblRentRoll[[#This Row],[Area_sqm]],0)</f>
        <v>0</v>
      </c>
      <c r="X62" s="3">
        <f>IF(tblRentRoll[[#This Row],[Status]]="Occupied", tblRentRoll[[#This Row],[Area_sqm]],0)</f>
        <v>703</v>
      </c>
      <c r="Y62" s="3">
        <f ca="1">tblRentRoll[[#This Row],[Month_to_Expiry]]/12*tblRentRoll[[#This Row],[Annual_Rent_EUR]]</f>
        <v>124180.98</v>
      </c>
      <c r="Z62" s="3"/>
    </row>
    <row r="63" spans="1:26" x14ac:dyDescent="0.35">
      <c r="A63" t="s">
        <v>24</v>
      </c>
      <c r="B63" t="s">
        <v>131</v>
      </c>
      <c r="C63" t="s">
        <v>29</v>
      </c>
      <c r="D63">
        <v>1184</v>
      </c>
      <c r="E63" t="s">
        <v>15</v>
      </c>
      <c r="F63" t="s">
        <v>132</v>
      </c>
      <c r="G63">
        <v>14898.1</v>
      </c>
      <c r="H63">
        <v>178777.2</v>
      </c>
      <c r="I63" s="2">
        <f>tblRentRoll[[#This Row],[Monthly_Rent_EUR]]*12</f>
        <v>178777.2</v>
      </c>
      <c r="J63" s="2" t="str">
        <f>IF(tblRentRoll[[#This Row],[Annual_Rent_EUR]]&lt;&gt;tblRentRoll[[#This Row],[Jahresrente_EUR]], "FALSCH", "")</f>
        <v/>
      </c>
      <c r="K63" s="1">
        <v>45208</v>
      </c>
      <c r="L63" s="1">
        <v>45959</v>
      </c>
      <c r="M63">
        <v>1650.48</v>
      </c>
      <c r="N63">
        <v>2900.02</v>
      </c>
      <c r="O6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3" t="str">
        <f>IF(tblRentRoll[[#This Row],[Area_sqm]]&lt;=0,"Area&lt;=0","")</f>
        <v/>
      </c>
      <c r="Q63" t="str">
        <f>IF(tblRentRoll[[#This Row],[Monthly_Rent_EUR]]&lt;=0,"Rent&lt;=0","")</f>
        <v/>
      </c>
      <c r="R63">
        <f>IF(AND(tblRentRoll[[#This Row],[Status]]="Occupied", tblRentRoll[[#This Row],[Area_sqm]]&gt;0), tblRentRoll[[#This Row],[Annual_Rent_EUR]]/tblRentRoll[[#This Row],[Area_sqm]],"")</f>
        <v>150.99425675675676</v>
      </c>
      <c r="S63">
        <f>tblRentRoll[[#This Row],[Service_Charge_EUR]]+tblRentRoll[[#This Row],[Operating_Cost_EUR]]</f>
        <v>4550.5</v>
      </c>
      <c r="T63">
        <f>IF(tblRentRoll[[#This Row],[Annual_Rent_EUR]]&lt;&gt;0,tblRentRoll[[#This Row],[Annual_Rent_EUR]]-tblRentRoll[[#This Row],[Operating_Cost_EUR]], "")</f>
        <v>175877.18000000002</v>
      </c>
      <c r="U63">
        <f ca="1">IF(AND(tblRentRoll[[#This Row],[Status]]="Occupied",tblRentRoll[[#This Row],[Lease_End]]&gt;=TODAY()),DATEDIF(TODAY(),tblRentRoll[[#This Row],[Lease_End]],"m"), 0)</f>
        <v>0</v>
      </c>
      <c r="V63" t="str">
        <f ca="1">IF(tblRentRoll[[#This Row],[Status]]&lt;&gt;"Occupied","", IF(tblRentRoll[[#This Row],[Month_to_Expiry]]&lt;=3, "0-3 Monaten",  IF(tblRentRoll[[#This Row],[Month_to_Expiry]]&lt;=6, "3-6 Monaten", IF(tblRentRoll[[#This Row],[Month_to_Expiry]]&lt;=12,"6-12 Monaten", IF(tblRentRoll[[#This Row],[Month_to_Expiry]]&gt;=12, "12 M+",)))))</f>
        <v>0-3 Monaten</v>
      </c>
      <c r="W63">
        <f>IF(tblRentRoll[[#This Row],[Status]]="Vacant", tblRentRoll[[#This Row],[Area_sqm]],0)</f>
        <v>0</v>
      </c>
      <c r="X63" s="3">
        <f>IF(tblRentRoll[[#This Row],[Status]]="Occupied", tblRentRoll[[#This Row],[Area_sqm]],0)</f>
        <v>1184</v>
      </c>
      <c r="Y63" s="3">
        <f ca="1">tblRentRoll[[#This Row],[Month_to_Expiry]]/12*tblRentRoll[[#This Row],[Annual_Rent_EUR]]</f>
        <v>0</v>
      </c>
      <c r="Z63" s="3"/>
    </row>
    <row r="64" spans="1:26" x14ac:dyDescent="0.35">
      <c r="A64" t="s">
        <v>24</v>
      </c>
      <c r="B64" t="s">
        <v>133</v>
      </c>
      <c r="C64" t="s">
        <v>29</v>
      </c>
      <c r="D64">
        <v>782</v>
      </c>
      <c r="E64" t="s">
        <v>15</v>
      </c>
      <c r="F64" t="s">
        <v>134</v>
      </c>
      <c r="G64">
        <v>13863.33</v>
      </c>
      <c r="H64">
        <v>166359.96</v>
      </c>
      <c r="I64" s="2">
        <f>tblRentRoll[[#This Row],[Monthly_Rent_EUR]]*12</f>
        <v>166359.96</v>
      </c>
      <c r="J64" s="2" t="str">
        <f>IF(tblRentRoll[[#This Row],[Annual_Rent_EUR]]&lt;&gt;tblRentRoll[[#This Row],[Jahresrente_EUR]], "FALSCH", "")</f>
        <v/>
      </c>
      <c r="K64" s="1">
        <v>45035</v>
      </c>
      <c r="L64" s="1">
        <v>45551</v>
      </c>
      <c r="M64">
        <v>2218.8000000000002</v>
      </c>
      <c r="N64">
        <v>527.19000000000005</v>
      </c>
      <c r="O6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4" t="str">
        <f>IF(tblRentRoll[[#This Row],[Area_sqm]]&lt;=0,"Area&lt;=0","")</f>
        <v/>
      </c>
      <c r="Q64" t="str">
        <f>IF(tblRentRoll[[#This Row],[Monthly_Rent_EUR]]&lt;=0,"Rent&lt;=0","")</f>
        <v/>
      </c>
      <c r="R64">
        <f>IF(AND(tblRentRoll[[#This Row],[Status]]="Occupied", tblRentRoll[[#This Row],[Area_sqm]]&gt;0), tblRentRoll[[#This Row],[Annual_Rent_EUR]]/tblRentRoll[[#This Row],[Area_sqm]],"")</f>
        <v>212.73652173913044</v>
      </c>
      <c r="S64">
        <f>tblRentRoll[[#This Row],[Service_Charge_EUR]]+tblRentRoll[[#This Row],[Operating_Cost_EUR]]</f>
        <v>2745.9900000000002</v>
      </c>
      <c r="T64">
        <f>IF(tblRentRoll[[#This Row],[Annual_Rent_EUR]]&lt;&gt;0,tblRentRoll[[#This Row],[Annual_Rent_EUR]]-tblRentRoll[[#This Row],[Operating_Cost_EUR]], "")</f>
        <v>165832.76999999999</v>
      </c>
      <c r="U64">
        <f ca="1">IF(AND(tblRentRoll[[#This Row],[Status]]="Occupied",tblRentRoll[[#This Row],[Lease_End]]&gt;=TODAY()),DATEDIF(TODAY(),tblRentRoll[[#This Row],[Lease_End]],"m"), 0)</f>
        <v>0</v>
      </c>
      <c r="V64" t="str">
        <f ca="1">IF(tblRentRoll[[#This Row],[Status]]&lt;&gt;"Occupied","", IF(tblRentRoll[[#This Row],[Month_to_Expiry]]&lt;=3, "0-3 Monaten",  IF(tblRentRoll[[#This Row],[Month_to_Expiry]]&lt;=6, "3-6 Monaten", IF(tblRentRoll[[#This Row],[Month_to_Expiry]]&lt;=12,"6-12 Monaten", IF(tblRentRoll[[#This Row],[Month_to_Expiry]]&gt;=12, "12 M+",)))))</f>
        <v>0-3 Monaten</v>
      </c>
      <c r="W64">
        <f>IF(tblRentRoll[[#This Row],[Status]]="Vacant", tblRentRoll[[#This Row],[Area_sqm]],0)</f>
        <v>0</v>
      </c>
      <c r="X64" s="3">
        <f>IF(tblRentRoll[[#This Row],[Status]]="Occupied", tblRentRoll[[#This Row],[Area_sqm]],0)</f>
        <v>782</v>
      </c>
      <c r="Y64" s="3">
        <f ca="1">tblRentRoll[[#This Row],[Month_to_Expiry]]/12*tblRentRoll[[#This Row],[Annual_Rent_EUR]]</f>
        <v>0</v>
      </c>
      <c r="Z64" s="3"/>
    </row>
    <row r="65" spans="1:26" x14ac:dyDescent="0.35">
      <c r="A65" t="s">
        <v>17</v>
      </c>
      <c r="B65" t="s">
        <v>135</v>
      </c>
      <c r="C65" t="s">
        <v>33</v>
      </c>
      <c r="D65">
        <v>427</v>
      </c>
      <c r="E65" t="s">
        <v>15</v>
      </c>
      <c r="F65" t="s">
        <v>50</v>
      </c>
      <c r="G65">
        <v>5377.03</v>
      </c>
      <c r="H65">
        <v>64524.36</v>
      </c>
      <c r="I65" s="2">
        <f>tblRentRoll[[#This Row],[Monthly_Rent_EUR]]*12</f>
        <v>64524.36</v>
      </c>
      <c r="J65" s="2" t="str">
        <f>IF(tblRentRoll[[#This Row],[Annual_Rent_EUR]]&lt;&gt;tblRentRoll[[#This Row],[Jahresrente_EUR]], "FALSCH", "")</f>
        <v/>
      </c>
      <c r="K65" s="1">
        <v>44390</v>
      </c>
      <c r="L65" s="1">
        <v>45942</v>
      </c>
      <c r="M65">
        <v>842.2</v>
      </c>
      <c r="N65">
        <v>229.69</v>
      </c>
      <c r="O6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5" t="str">
        <f>IF(tblRentRoll[[#This Row],[Area_sqm]]&lt;=0,"Area&lt;=0","")</f>
        <v/>
      </c>
      <c r="Q65" t="str">
        <f>IF(tblRentRoll[[#This Row],[Monthly_Rent_EUR]]&lt;=0,"Rent&lt;=0","")</f>
        <v/>
      </c>
      <c r="R65">
        <f>IF(AND(tblRentRoll[[#This Row],[Status]]="Occupied", tblRentRoll[[#This Row],[Area_sqm]]&gt;0), tblRentRoll[[#This Row],[Annual_Rent_EUR]]/tblRentRoll[[#This Row],[Area_sqm]],"")</f>
        <v>151.11091334894613</v>
      </c>
      <c r="S65">
        <f>tblRentRoll[[#This Row],[Service_Charge_EUR]]+tblRentRoll[[#This Row],[Operating_Cost_EUR]]</f>
        <v>1071.8900000000001</v>
      </c>
      <c r="T65">
        <f>IF(tblRentRoll[[#This Row],[Annual_Rent_EUR]]&lt;&gt;0,tblRentRoll[[#This Row],[Annual_Rent_EUR]]-tblRentRoll[[#This Row],[Operating_Cost_EUR]], "")</f>
        <v>64294.67</v>
      </c>
      <c r="U65">
        <f ca="1">IF(AND(tblRentRoll[[#This Row],[Status]]="Occupied",tblRentRoll[[#This Row],[Lease_End]]&gt;=TODAY()),DATEDIF(TODAY(),tblRentRoll[[#This Row],[Lease_End]],"m"), 0)</f>
        <v>0</v>
      </c>
      <c r="V65" t="str">
        <f ca="1">IF(tblRentRoll[[#This Row],[Status]]&lt;&gt;"Occupied","", IF(tblRentRoll[[#This Row],[Month_to_Expiry]]&lt;=3, "0-3 Monaten",  IF(tblRentRoll[[#This Row],[Month_to_Expiry]]&lt;=6, "3-6 Monaten", IF(tblRentRoll[[#This Row],[Month_to_Expiry]]&lt;=12,"6-12 Monaten", IF(tblRentRoll[[#This Row],[Month_to_Expiry]]&gt;=12, "12 M+",)))))</f>
        <v>0-3 Monaten</v>
      </c>
      <c r="W65">
        <f>IF(tblRentRoll[[#This Row],[Status]]="Vacant", tblRentRoll[[#This Row],[Area_sqm]],0)</f>
        <v>0</v>
      </c>
      <c r="X65" s="3">
        <f>IF(tblRentRoll[[#This Row],[Status]]="Occupied", tblRentRoll[[#This Row],[Area_sqm]],0)</f>
        <v>427</v>
      </c>
      <c r="Y65" s="3">
        <f ca="1">tblRentRoll[[#This Row],[Month_to_Expiry]]/12*tblRentRoll[[#This Row],[Annual_Rent_EUR]]</f>
        <v>0</v>
      </c>
      <c r="Z65" s="3"/>
    </row>
    <row r="66" spans="1:26" x14ac:dyDescent="0.35">
      <c r="A66" t="s">
        <v>21</v>
      </c>
      <c r="B66" t="s">
        <v>136</v>
      </c>
      <c r="C66" t="s">
        <v>19</v>
      </c>
      <c r="D66">
        <v>505</v>
      </c>
      <c r="E66" t="s">
        <v>15</v>
      </c>
      <c r="F66" t="s">
        <v>100</v>
      </c>
      <c r="G66">
        <v>4749.78</v>
      </c>
      <c r="H66">
        <v>56997.36</v>
      </c>
      <c r="I66" s="2">
        <f>tblRentRoll[[#This Row],[Monthly_Rent_EUR]]*12</f>
        <v>56997.36</v>
      </c>
      <c r="J66" s="2" t="str">
        <f>IF(tblRentRoll[[#This Row],[Annual_Rent_EUR]]&lt;&gt;tblRentRoll[[#This Row],[Jahresrente_EUR]], "FALSCH", "")</f>
        <v/>
      </c>
      <c r="K66" s="1">
        <v>44718</v>
      </c>
      <c r="L66" s="1">
        <v>45134</v>
      </c>
      <c r="M66">
        <v>901.71</v>
      </c>
      <c r="N66">
        <v>844.76</v>
      </c>
      <c r="O6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6" t="str">
        <f>IF(tblRentRoll[[#This Row],[Area_sqm]]&lt;=0,"Area&lt;=0","")</f>
        <v/>
      </c>
      <c r="Q66" t="str">
        <f>IF(tblRentRoll[[#This Row],[Monthly_Rent_EUR]]&lt;=0,"Rent&lt;=0","")</f>
        <v/>
      </c>
      <c r="R66">
        <f>IF(AND(tblRentRoll[[#This Row],[Status]]="Occupied", tblRentRoll[[#This Row],[Area_sqm]]&gt;0), tblRentRoll[[#This Row],[Annual_Rent_EUR]]/tblRentRoll[[#This Row],[Area_sqm]],"")</f>
        <v>112.86605940594059</v>
      </c>
      <c r="S66">
        <f>tblRentRoll[[#This Row],[Service_Charge_EUR]]+tblRentRoll[[#This Row],[Operating_Cost_EUR]]</f>
        <v>1746.47</v>
      </c>
      <c r="T66">
        <f>IF(tblRentRoll[[#This Row],[Annual_Rent_EUR]]&lt;&gt;0,tblRentRoll[[#This Row],[Annual_Rent_EUR]]-tblRentRoll[[#This Row],[Operating_Cost_EUR]], "")</f>
        <v>56152.6</v>
      </c>
      <c r="U66">
        <f ca="1">IF(AND(tblRentRoll[[#This Row],[Status]]="Occupied",tblRentRoll[[#This Row],[Lease_End]]&gt;=TODAY()),DATEDIF(TODAY(),tblRentRoll[[#This Row],[Lease_End]],"m"), 0)</f>
        <v>0</v>
      </c>
      <c r="V66" t="str">
        <f ca="1">IF(tblRentRoll[[#This Row],[Status]]&lt;&gt;"Occupied","", IF(tblRentRoll[[#This Row],[Month_to_Expiry]]&lt;=3, "0-3 Monaten",  IF(tblRentRoll[[#This Row],[Month_to_Expiry]]&lt;=6, "3-6 Monaten", IF(tblRentRoll[[#This Row],[Month_to_Expiry]]&lt;=12,"6-12 Monaten", IF(tblRentRoll[[#This Row],[Month_to_Expiry]]&gt;=12, "12 M+",)))))</f>
        <v>0-3 Monaten</v>
      </c>
      <c r="W66">
        <f>IF(tblRentRoll[[#This Row],[Status]]="Vacant", tblRentRoll[[#This Row],[Area_sqm]],0)</f>
        <v>0</v>
      </c>
      <c r="X66" s="3">
        <f>IF(tblRentRoll[[#This Row],[Status]]="Occupied", tblRentRoll[[#This Row],[Area_sqm]],0)</f>
        <v>505</v>
      </c>
      <c r="Y66" s="3">
        <f ca="1">tblRentRoll[[#This Row],[Month_to_Expiry]]/12*tblRentRoll[[#This Row],[Annual_Rent_EUR]]</f>
        <v>0</v>
      </c>
      <c r="Z66" s="3"/>
    </row>
    <row r="67" spans="1:26" x14ac:dyDescent="0.35">
      <c r="A67" t="s">
        <v>21</v>
      </c>
      <c r="B67" t="s">
        <v>137</v>
      </c>
      <c r="C67" t="s">
        <v>29</v>
      </c>
      <c r="D67">
        <v>706</v>
      </c>
      <c r="E67" t="s">
        <v>15</v>
      </c>
      <c r="F67" t="s">
        <v>111</v>
      </c>
      <c r="G67">
        <v>8659.67</v>
      </c>
      <c r="H67">
        <v>103916.04</v>
      </c>
      <c r="I67" s="2">
        <f>tblRentRoll[[#This Row],[Monthly_Rent_EUR]]*12</f>
        <v>103916.04000000001</v>
      </c>
      <c r="J67" s="2" t="str">
        <f>IF(tblRentRoll[[#This Row],[Annual_Rent_EUR]]&lt;&gt;tblRentRoll[[#This Row],[Jahresrente_EUR]], "FALSCH", "")</f>
        <v/>
      </c>
      <c r="K67" s="1">
        <v>45203</v>
      </c>
      <c r="L67" s="1">
        <v>46134</v>
      </c>
      <c r="M67">
        <v>2075.9299999999998</v>
      </c>
      <c r="N67">
        <v>1097.98</v>
      </c>
      <c r="O6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7" t="str">
        <f>IF(tblRentRoll[[#This Row],[Area_sqm]]&lt;=0,"Area&lt;=0","")</f>
        <v/>
      </c>
      <c r="Q67" t="str">
        <f>IF(tblRentRoll[[#This Row],[Monthly_Rent_EUR]]&lt;=0,"Rent&lt;=0","")</f>
        <v/>
      </c>
      <c r="R67">
        <f>IF(AND(tblRentRoll[[#This Row],[Status]]="Occupied", tblRentRoll[[#This Row],[Area_sqm]]&gt;0), tblRentRoll[[#This Row],[Annual_Rent_EUR]]/tblRentRoll[[#This Row],[Area_sqm]],"")</f>
        <v>147.1898583569405</v>
      </c>
      <c r="S67">
        <f>tblRentRoll[[#This Row],[Service_Charge_EUR]]+tblRentRoll[[#This Row],[Operating_Cost_EUR]]</f>
        <v>3173.91</v>
      </c>
      <c r="T67">
        <f>IF(tblRentRoll[[#This Row],[Annual_Rent_EUR]]&lt;&gt;0,tblRentRoll[[#This Row],[Annual_Rent_EUR]]-tblRentRoll[[#This Row],[Operating_Cost_EUR]], "")</f>
        <v>102818.06</v>
      </c>
      <c r="U67">
        <f ca="1">IF(AND(tblRentRoll[[#This Row],[Status]]="Occupied",tblRentRoll[[#This Row],[Lease_End]]&gt;=TODAY()),DATEDIF(TODAY(),tblRentRoll[[#This Row],[Lease_End]],"m"), 0)</f>
        <v>1</v>
      </c>
      <c r="V67" t="str">
        <f ca="1">IF(tblRentRoll[[#This Row],[Status]]&lt;&gt;"Occupied","", IF(tblRentRoll[[#This Row],[Month_to_Expiry]]&lt;=3, "0-3 Monaten",  IF(tblRentRoll[[#This Row],[Month_to_Expiry]]&lt;=6, "3-6 Monaten", IF(tblRentRoll[[#This Row],[Month_to_Expiry]]&lt;=12,"6-12 Monaten", IF(tblRentRoll[[#This Row],[Month_to_Expiry]]&gt;=12, "12 M+",)))))</f>
        <v>0-3 Monaten</v>
      </c>
      <c r="W67">
        <f>IF(tblRentRoll[[#This Row],[Status]]="Vacant", tblRentRoll[[#This Row],[Area_sqm]],0)</f>
        <v>0</v>
      </c>
      <c r="X67" s="3">
        <f>IF(tblRentRoll[[#This Row],[Status]]="Occupied", tblRentRoll[[#This Row],[Area_sqm]],0)</f>
        <v>706</v>
      </c>
      <c r="Y67" s="3">
        <f ca="1">tblRentRoll[[#This Row],[Month_to_Expiry]]/12*tblRentRoll[[#This Row],[Annual_Rent_EUR]]</f>
        <v>8659.6699999999983</v>
      </c>
      <c r="Z67" s="3"/>
    </row>
    <row r="68" spans="1:26" x14ac:dyDescent="0.35">
      <c r="A68" t="s">
        <v>21</v>
      </c>
      <c r="B68" t="s">
        <v>138</v>
      </c>
      <c r="C68" t="s">
        <v>19</v>
      </c>
      <c r="D68">
        <v>866</v>
      </c>
      <c r="E68" t="s">
        <v>15</v>
      </c>
      <c r="F68" t="s">
        <v>139</v>
      </c>
      <c r="G68">
        <v>12540.53</v>
      </c>
      <c r="H68">
        <v>150486.35999999999</v>
      </c>
      <c r="I68" s="2">
        <f>tblRentRoll[[#This Row],[Monthly_Rent_EUR]]*12</f>
        <v>150486.36000000002</v>
      </c>
      <c r="J68" s="2" t="str">
        <f>IF(tblRentRoll[[#This Row],[Annual_Rent_EUR]]&lt;&gt;tblRentRoll[[#This Row],[Jahresrente_EUR]], "FALSCH", "")</f>
        <v/>
      </c>
      <c r="K68" s="1">
        <v>44983</v>
      </c>
      <c r="L68" s="1">
        <v>46793</v>
      </c>
      <c r="M68">
        <v>2397.09</v>
      </c>
      <c r="N68">
        <v>1941.58</v>
      </c>
      <c r="O6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8" t="str">
        <f>IF(tblRentRoll[[#This Row],[Area_sqm]]&lt;=0,"Area&lt;=0","")</f>
        <v/>
      </c>
      <c r="Q68" t="str">
        <f>IF(tblRentRoll[[#This Row],[Monthly_Rent_EUR]]&lt;=0,"Rent&lt;=0","")</f>
        <v/>
      </c>
      <c r="R68">
        <f>IF(AND(tblRentRoll[[#This Row],[Status]]="Occupied", tblRentRoll[[#This Row],[Area_sqm]]&gt;0), tblRentRoll[[#This Row],[Annual_Rent_EUR]]/tblRentRoll[[#This Row],[Area_sqm]],"")</f>
        <v>173.77177829099307</v>
      </c>
      <c r="S68">
        <f>tblRentRoll[[#This Row],[Service_Charge_EUR]]+tblRentRoll[[#This Row],[Operating_Cost_EUR]]</f>
        <v>4338.67</v>
      </c>
      <c r="T68">
        <f>IF(tblRentRoll[[#This Row],[Annual_Rent_EUR]]&lt;&gt;0,tblRentRoll[[#This Row],[Annual_Rent_EUR]]-tblRentRoll[[#This Row],[Operating_Cost_EUR]], "")</f>
        <v>148544.78</v>
      </c>
      <c r="U68">
        <f ca="1">IF(AND(tblRentRoll[[#This Row],[Status]]="Occupied",tblRentRoll[[#This Row],[Lease_End]]&gt;=TODAY()),DATEDIF(TODAY(),tblRentRoll[[#This Row],[Lease_End]],"m"), 0)</f>
        <v>22</v>
      </c>
      <c r="V68" t="str">
        <f ca="1">IF(tblRentRoll[[#This Row],[Status]]&lt;&gt;"Occupied","", IF(tblRentRoll[[#This Row],[Month_to_Expiry]]&lt;=3, "0-3 Monaten",  IF(tblRentRoll[[#This Row],[Month_to_Expiry]]&lt;=6, "3-6 Monaten", IF(tblRentRoll[[#This Row],[Month_to_Expiry]]&lt;=12,"6-12 Monaten", IF(tblRentRoll[[#This Row],[Month_to_Expiry]]&gt;=12, "12 M+",)))))</f>
        <v>12 M+</v>
      </c>
      <c r="W68">
        <f>IF(tblRentRoll[[#This Row],[Status]]="Vacant", tblRentRoll[[#This Row],[Area_sqm]],0)</f>
        <v>0</v>
      </c>
      <c r="X68" s="3">
        <f>IF(tblRentRoll[[#This Row],[Status]]="Occupied", tblRentRoll[[#This Row],[Area_sqm]],0)</f>
        <v>866</v>
      </c>
      <c r="Y68" s="3">
        <f ca="1">tblRentRoll[[#This Row],[Month_to_Expiry]]/12*tblRentRoll[[#This Row],[Annual_Rent_EUR]]</f>
        <v>275891.65999999997</v>
      </c>
      <c r="Z68" s="3"/>
    </row>
    <row r="69" spans="1:26" x14ac:dyDescent="0.35">
      <c r="A69" t="s">
        <v>44</v>
      </c>
      <c r="B69" t="s">
        <v>140</v>
      </c>
      <c r="C69" t="s">
        <v>19</v>
      </c>
      <c r="D69">
        <v>1372</v>
      </c>
      <c r="E69" t="s">
        <v>15</v>
      </c>
      <c r="F69" t="s">
        <v>126</v>
      </c>
      <c r="G69">
        <v>16144.43</v>
      </c>
      <c r="H69">
        <v>193733.16</v>
      </c>
      <c r="I69" s="2">
        <f>tblRentRoll[[#This Row],[Monthly_Rent_EUR]]*12</f>
        <v>193733.16</v>
      </c>
      <c r="J69" s="2" t="str">
        <f>IF(tblRentRoll[[#This Row],[Annual_Rent_EUR]]&lt;&gt;tblRentRoll[[#This Row],[Jahresrente_EUR]], "FALSCH", "")</f>
        <v/>
      </c>
      <c r="K69" s="1">
        <v>44435</v>
      </c>
      <c r="L69" s="1">
        <v>45119</v>
      </c>
      <c r="M69">
        <v>3629.66</v>
      </c>
      <c r="N69">
        <v>833.68</v>
      </c>
      <c r="O6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69" t="str">
        <f>IF(tblRentRoll[[#This Row],[Area_sqm]]&lt;=0,"Area&lt;=0","")</f>
        <v/>
      </c>
      <c r="Q69" t="str">
        <f>IF(tblRentRoll[[#This Row],[Monthly_Rent_EUR]]&lt;=0,"Rent&lt;=0","")</f>
        <v/>
      </c>
      <c r="R69">
        <f>IF(AND(tblRentRoll[[#This Row],[Status]]="Occupied", tblRentRoll[[#This Row],[Area_sqm]]&gt;0), tblRentRoll[[#This Row],[Annual_Rent_EUR]]/tblRentRoll[[#This Row],[Area_sqm]],"")</f>
        <v>141.20492711370264</v>
      </c>
      <c r="S69">
        <f>tblRentRoll[[#This Row],[Service_Charge_EUR]]+tblRentRoll[[#This Row],[Operating_Cost_EUR]]</f>
        <v>4463.34</v>
      </c>
      <c r="T69">
        <f>IF(tblRentRoll[[#This Row],[Annual_Rent_EUR]]&lt;&gt;0,tblRentRoll[[#This Row],[Annual_Rent_EUR]]-tblRentRoll[[#This Row],[Operating_Cost_EUR]], "")</f>
        <v>192899.48</v>
      </c>
      <c r="U69">
        <f ca="1">IF(AND(tblRentRoll[[#This Row],[Status]]="Occupied",tblRentRoll[[#This Row],[Lease_End]]&gt;=TODAY()),DATEDIF(TODAY(),tblRentRoll[[#This Row],[Lease_End]],"m"), 0)</f>
        <v>0</v>
      </c>
      <c r="V69" t="str">
        <f ca="1">IF(tblRentRoll[[#This Row],[Status]]&lt;&gt;"Occupied","", IF(tblRentRoll[[#This Row],[Month_to_Expiry]]&lt;=3, "0-3 Monaten",  IF(tblRentRoll[[#This Row],[Month_to_Expiry]]&lt;=6, "3-6 Monaten", IF(tblRentRoll[[#This Row],[Month_to_Expiry]]&lt;=12,"6-12 Monaten", IF(tblRentRoll[[#This Row],[Month_to_Expiry]]&gt;=12, "12 M+",)))))</f>
        <v>0-3 Monaten</v>
      </c>
      <c r="W69">
        <f>IF(tblRentRoll[[#This Row],[Status]]="Vacant", tblRentRoll[[#This Row],[Area_sqm]],0)</f>
        <v>0</v>
      </c>
      <c r="X69" s="3">
        <f>IF(tblRentRoll[[#This Row],[Status]]="Occupied", tblRentRoll[[#This Row],[Area_sqm]],0)</f>
        <v>1372</v>
      </c>
      <c r="Y69" s="3">
        <f ca="1">tblRentRoll[[#This Row],[Month_to_Expiry]]/12*tblRentRoll[[#This Row],[Annual_Rent_EUR]]</f>
        <v>0</v>
      </c>
      <c r="Z69" s="3"/>
    </row>
    <row r="70" spans="1:26" x14ac:dyDescent="0.35">
      <c r="A70" t="s">
        <v>17</v>
      </c>
      <c r="B70" t="s">
        <v>141</v>
      </c>
      <c r="C70" t="s">
        <v>14</v>
      </c>
      <c r="D70">
        <v>1200</v>
      </c>
      <c r="E70" t="s">
        <v>15</v>
      </c>
      <c r="F70" t="s">
        <v>142</v>
      </c>
      <c r="G70">
        <v>14950.96</v>
      </c>
      <c r="H70">
        <v>179411.52</v>
      </c>
      <c r="I70" s="2">
        <f>tblRentRoll[[#This Row],[Monthly_Rent_EUR]]*12</f>
        <v>179411.52</v>
      </c>
      <c r="J70" s="2" t="str">
        <f>IF(tblRentRoll[[#This Row],[Annual_Rent_EUR]]&lt;&gt;tblRentRoll[[#This Row],[Jahresrente_EUR]], "FALSCH", "")</f>
        <v/>
      </c>
      <c r="K70" s="1">
        <v>44618</v>
      </c>
      <c r="L70" s="1">
        <v>46414</v>
      </c>
      <c r="M70">
        <v>2328.38</v>
      </c>
      <c r="N70">
        <v>1199.33</v>
      </c>
      <c r="O7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0" t="str">
        <f>IF(tblRentRoll[[#This Row],[Area_sqm]]&lt;=0,"Area&lt;=0","")</f>
        <v/>
      </c>
      <c r="Q70" t="str">
        <f>IF(tblRentRoll[[#This Row],[Monthly_Rent_EUR]]&lt;=0,"Rent&lt;=0","")</f>
        <v/>
      </c>
      <c r="R70">
        <f>IF(AND(tblRentRoll[[#This Row],[Status]]="Occupied", tblRentRoll[[#This Row],[Area_sqm]]&gt;0), tblRentRoll[[#This Row],[Annual_Rent_EUR]]/tblRentRoll[[#This Row],[Area_sqm]],"")</f>
        <v>149.50959999999998</v>
      </c>
      <c r="S70">
        <f>tblRentRoll[[#This Row],[Service_Charge_EUR]]+tblRentRoll[[#This Row],[Operating_Cost_EUR]]</f>
        <v>3527.71</v>
      </c>
      <c r="T70">
        <f>IF(tblRentRoll[[#This Row],[Annual_Rent_EUR]]&lt;&gt;0,tblRentRoll[[#This Row],[Annual_Rent_EUR]]-tblRentRoll[[#This Row],[Operating_Cost_EUR]], "")</f>
        <v>178212.19</v>
      </c>
      <c r="U70">
        <f ca="1">IF(AND(tblRentRoll[[#This Row],[Status]]="Occupied",tblRentRoll[[#This Row],[Lease_End]]&gt;=TODAY()),DATEDIF(TODAY(),tblRentRoll[[#This Row],[Lease_End]],"m"), 0)</f>
        <v>10</v>
      </c>
      <c r="V70" t="str">
        <f ca="1">IF(tblRentRoll[[#This Row],[Status]]&lt;&gt;"Occupied","", IF(tblRentRoll[[#This Row],[Month_to_Expiry]]&lt;=3, "0-3 Monaten",  IF(tblRentRoll[[#This Row],[Month_to_Expiry]]&lt;=6, "3-6 Monaten", IF(tblRentRoll[[#This Row],[Month_to_Expiry]]&lt;=12,"6-12 Monaten", IF(tblRentRoll[[#This Row],[Month_to_Expiry]]&gt;=12, "12 M+",)))))</f>
        <v>6-12 Monaten</v>
      </c>
      <c r="W70">
        <f>IF(tblRentRoll[[#This Row],[Status]]="Vacant", tblRentRoll[[#This Row],[Area_sqm]],0)</f>
        <v>0</v>
      </c>
      <c r="X70" s="3">
        <f>IF(tblRentRoll[[#This Row],[Status]]="Occupied", tblRentRoll[[#This Row],[Area_sqm]],0)</f>
        <v>1200</v>
      </c>
      <c r="Y70" s="3">
        <f ca="1">tblRentRoll[[#This Row],[Month_to_Expiry]]/12*tblRentRoll[[#This Row],[Annual_Rent_EUR]]</f>
        <v>149509.6</v>
      </c>
      <c r="Z70" s="3"/>
    </row>
    <row r="71" spans="1:26" x14ac:dyDescent="0.35">
      <c r="A71" t="s">
        <v>21</v>
      </c>
      <c r="B71" t="s">
        <v>143</v>
      </c>
      <c r="C71" t="s">
        <v>19</v>
      </c>
      <c r="D71">
        <v>615</v>
      </c>
      <c r="E71" t="s">
        <v>15</v>
      </c>
      <c r="F71" t="s">
        <v>144</v>
      </c>
      <c r="G71">
        <v>7695.07</v>
      </c>
      <c r="H71">
        <v>92340.84</v>
      </c>
      <c r="I71" s="2">
        <f>tblRentRoll[[#This Row],[Monthly_Rent_EUR]]*12</f>
        <v>92340.84</v>
      </c>
      <c r="J71" s="2" t="str">
        <f>IF(tblRentRoll[[#This Row],[Annual_Rent_EUR]]&lt;&gt;tblRentRoll[[#This Row],[Jahresrente_EUR]], "FALSCH", "")</f>
        <v/>
      </c>
      <c r="K71" s="1">
        <v>44799</v>
      </c>
      <c r="L71" s="1">
        <v>46254</v>
      </c>
      <c r="M71">
        <v>809.95</v>
      </c>
      <c r="N71">
        <v>1409.29</v>
      </c>
      <c r="O7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1" t="str">
        <f>IF(tblRentRoll[[#This Row],[Area_sqm]]&lt;=0,"Area&lt;=0","")</f>
        <v/>
      </c>
      <c r="Q71" t="str">
        <f>IF(tblRentRoll[[#This Row],[Monthly_Rent_EUR]]&lt;=0,"Rent&lt;=0","")</f>
        <v/>
      </c>
      <c r="R71">
        <f>IF(AND(tblRentRoll[[#This Row],[Status]]="Occupied", tblRentRoll[[#This Row],[Area_sqm]]&gt;0), tblRentRoll[[#This Row],[Annual_Rent_EUR]]/tblRentRoll[[#This Row],[Area_sqm]],"")</f>
        <v>150.14770731707316</v>
      </c>
      <c r="S71">
        <f>tblRentRoll[[#This Row],[Service_Charge_EUR]]+tblRentRoll[[#This Row],[Operating_Cost_EUR]]</f>
        <v>2219.2399999999998</v>
      </c>
      <c r="T71">
        <f>IF(tblRentRoll[[#This Row],[Annual_Rent_EUR]]&lt;&gt;0,tblRentRoll[[#This Row],[Annual_Rent_EUR]]-tblRentRoll[[#This Row],[Operating_Cost_EUR]], "")</f>
        <v>90931.55</v>
      </c>
      <c r="U71">
        <f ca="1">IF(AND(tblRentRoll[[#This Row],[Status]]="Occupied",tblRentRoll[[#This Row],[Lease_End]]&gt;=TODAY()),DATEDIF(TODAY(),tblRentRoll[[#This Row],[Lease_End]],"m"), 0)</f>
        <v>5</v>
      </c>
      <c r="V71" t="str">
        <f ca="1">IF(tblRentRoll[[#This Row],[Status]]&lt;&gt;"Occupied","", IF(tblRentRoll[[#This Row],[Month_to_Expiry]]&lt;=3, "0-3 Monaten",  IF(tblRentRoll[[#This Row],[Month_to_Expiry]]&lt;=6, "3-6 Monaten", IF(tblRentRoll[[#This Row],[Month_to_Expiry]]&lt;=12,"6-12 Monaten", IF(tblRentRoll[[#This Row],[Month_to_Expiry]]&gt;=12, "12 M+",)))))</f>
        <v>3-6 Monaten</v>
      </c>
      <c r="W71">
        <f>IF(tblRentRoll[[#This Row],[Status]]="Vacant", tblRentRoll[[#This Row],[Area_sqm]],0)</f>
        <v>0</v>
      </c>
      <c r="X71" s="3">
        <f>IF(tblRentRoll[[#This Row],[Status]]="Occupied", tblRentRoll[[#This Row],[Area_sqm]],0)</f>
        <v>615</v>
      </c>
      <c r="Y71" s="3">
        <f ca="1">tblRentRoll[[#This Row],[Month_to_Expiry]]/12*tblRentRoll[[#This Row],[Annual_Rent_EUR]]</f>
        <v>38475.35</v>
      </c>
      <c r="Z71" s="3"/>
    </row>
    <row r="72" spans="1:26" x14ac:dyDescent="0.35">
      <c r="A72" t="s">
        <v>56</v>
      </c>
      <c r="B72" t="s">
        <v>145</v>
      </c>
      <c r="C72" t="s">
        <v>19</v>
      </c>
      <c r="D72">
        <v>774</v>
      </c>
      <c r="E72" t="s">
        <v>15</v>
      </c>
      <c r="F72" t="s">
        <v>146</v>
      </c>
      <c r="G72">
        <v>12430.3</v>
      </c>
      <c r="H72">
        <v>149163.6</v>
      </c>
      <c r="I72" s="2">
        <f>tblRentRoll[[#This Row],[Monthly_Rent_EUR]]*12</f>
        <v>149163.59999999998</v>
      </c>
      <c r="J72" s="2" t="str">
        <f>IF(tblRentRoll[[#This Row],[Annual_Rent_EUR]]&lt;&gt;tblRentRoll[[#This Row],[Jahresrente_EUR]], "FALSCH", "")</f>
        <v/>
      </c>
      <c r="K72" s="1">
        <v>44650</v>
      </c>
      <c r="L72" s="1">
        <v>45290</v>
      </c>
      <c r="M72">
        <v>1812.45</v>
      </c>
      <c r="N72">
        <v>1927.42</v>
      </c>
      <c r="O7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2" t="str">
        <f>IF(tblRentRoll[[#This Row],[Area_sqm]]&lt;=0,"Area&lt;=0","")</f>
        <v/>
      </c>
      <c r="Q72" t="str">
        <f>IF(tblRentRoll[[#This Row],[Monthly_Rent_EUR]]&lt;=0,"Rent&lt;=0","")</f>
        <v/>
      </c>
      <c r="R72">
        <f>IF(AND(tblRentRoll[[#This Row],[Status]]="Occupied", tblRentRoll[[#This Row],[Area_sqm]]&gt;0), tblRentRoll[[#This Row],[Annual_Rent_EUR]]/tblRentRoll[[#This Row],[Area_sqm]],"")</f>
        <v>192.71782945736436</v>
      </c>
      <c r="S72">
        <f>tblRentRoll[[#This Row],[Service_Charge_EUR]]+tblRentRoll[[#This Row],[Operating_Cost_EUR]]</f>
        <v>3739.87</v>
      </c>
      <c r="T72">
        <f>IF(tblRentRoll[[#This Row],[Annual_Rent_EUR]]&lt;&gt;0,tblRentRoll[[#This Row],[Annual_Rent_EUR]]-tblRentRoll[[#This Row],[Operating_Cost_EUR]], "")</f>
        <v>147236.18</v>
      </c>
      <c r="U72">
        <f ca="1">IF(AND(tblRentRoll[[#This Row],[Status]]="Occupied",tblRentRoll[[#This Row],[Lease_End]]&gt;=TODAY()),DATEDIF(TODAY(),tblRentRoll[[#This Row],[Lease_End]],"m"), 0)</f>
        <v>0</v>
      </c>
      <c r="V72" t="str">
        <f ca="1">IF(tblRentRoll[[#This Row],[Status]]&lt;&gt;"Occupied","", IF(tblRentRoll[[#This Row],[Month_to_Expiry]]&lt;=3, "0-3 Monaten",  IF(tblRentRoll[[#This Row],[Month_to_Expiry]]&lt;=6, "3-6 Monaten", IF(tblRentRoll[[#This Row],[Month_to_Expiry]]&lt;=12,"6-12 Monaten", IF(tblRentRoll[[#This Row],[Month_to_Expiry]]&gt;=12, "12 M+",)))))</f>
        <v>0-3 Monaten</v>
      </c>
      <c r="W72">
        <f>IF(tblRentRoll[[#This Row],[Status]]="Vacant", tblRentRoll[[#This Row],[Area_sqm]],0)</f>
        <v>0</v>
      </c>
      <c r="X72" s="3">
        <f>IF(tblRentRoll[[#This Row],[Status]]="Occupied", tblRentRoll[[#This Row],[Area_sqm]],0)</f>
        <v>774</v>
      </c>
      <c r="Y72" s="3">
        <f ca="1">tblRentRoll[[#This Row],[Month_to_Expiry]]/12*tblRentRoll[[#This Row],[Annual_Rent_EUR]]</f>
        <v>0</v>
      </c>
      <c r="Z72" s="3"/>
    </row>
    <row r="73" spans="1:26" x14ac:dyDescent="0.35">
      <c r="A73" t="s">
        <v>56</v>
      </c>
      <c r="B73" t="s">
        <v>147</v>
      </c>
      <c r="C73" t="s">
        <v>29</v>
      </c>
      <c r="D73">
        <v>459</v>
      </c>
      <c r="E73" t="s">
        <v>15</v>
      </c>
      <c r="F73" t="s">
        <v>148</v>
      </c>
      <c r="G73">
        <v>6229.63</v>
      </c>
      <c r="H73">
        <v>74755.56</v>
      </c>
      <c r="I73" s="2">
        <f>tblRentRoll[[#This Row],[Monthly_Rent_EUR]]*12</f>
        <v>74755.56</v>
      </c>
      <c r="J73" s="2" t="str">
        <f>IF(tblRentRoll[[#This Row],[Annual_Rent_EUR]]&lt;&gt;tblRentRoll[[#This Row],[Jahresrente_EUR]], "FALSCH", "")</f>
        <v/>
      </c>
      <c r="K73" s="1">
        <v>45166</v>
      </c>
      <c r="L73" s="1">
        <v>45374</v>
      </c>
      <c r="M73">
        <v>839.05</v>
      </c>
      <c r="N73">
        <v>1029.51</v>
      </c>
      <c r="O7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3" t="str">
        <f>IF(tblRentRoll[[#This Row],[Area_sqm]]&lt;=0,"Area&lt;=0","")</f>
        <v/>
      </c>
      <c r="Q73" t="str">
        <f>IF(tblRentRoll[[#This Row],[Monthly_Rent_EUR]]&lt;=0,"Rent&lt;=0","")</f>
        <v/>
      </c>
      <c r="R73">
        <f>IF(AND(tblRentRoll[[#This Row],[Status]]="Occupied", tblRentRoll[[#This Row],[Area_sqm]]&gt;0), tblRentRoll[[#This Row],[Annual_Rent_EUR]]/tblRentRoll[[#This Row],[Area_sqm]],"")</f>
        <v>162.86614379084966</v>
      </c>
      <c r="S73">
        <f>tblRentRoll[[#This Row],[Service_Charge_EUR]]+tblRentRoll[[#This Row],[Operating_Cost_EUR]]</f>
        <v>1868.56</v>
      </c>
      <c r="T73">
        <f>IF(tblRentRoll[[#This Row],[Annual_Rent_EUR]]&lt;&gt;0,tblRentRoll[[#This Row],[Annual_Rent_EUR]]-tblRentRoll[[#This Row],[Operating_Cost_EUR]], "")</f>
        <v>73726.05</v>
      </c>
      <c r="U73">
        <f ca="1">IF(AND(tblRentRoll[[#This Row],[Status]]="Occupied",tblRentRoll[[#This Row],[Lease_End]]&gt;=TODAY()),DATEDIF(TODAY(),tblRentRoll[[#This Row],[Lease_End]],"m"), 0)</f>
        <v>0</v>
      </c>
      <c r="V73" t="str">
        <f ca="1">IF(tblRentRoll[[#This Row],[Status]]&lt;&gt;"Occupied","", IF(tblRentRoll[[#This Row],[Month_to_Expiry]]&lt;=3, "0-3 Monaten",  IF(tblRentRoll[[#This Row],[Month_to_Expiry]]&lt;=6, "3-6 Monaten", IF(tblRentRoll[[#This Row],[Month_to_Expiry]]&lt;=12,"6-12 Monaten", IF(tblRentRoll[[#This Row],[Month_to_Expiry]]&gt;=12, "12 M+",)))))</f>
        <v>0-3 Monaten</v>
      </c>
      <c r="W73">
        <f>IF(tblRentRoll[[#This Row],[Status]]="Vacant", tblRentRoll[[#This Row],[Area_sqm]],0)</f>
        <v>0</v>
      </c>
      <c r="X73" s="3">
        <f>IF(tblRentRoll[[#This Row],[Status]]="Occupied", tblRentRoll[[#This Row],[Area_sqm]],0)</f>
        <v>459</v>
      </c>
      <c r="Y73" s="3">
        <f ca="1">tblRentRoll[[#This Row],[Month_to_Expiry]]/12*tblRentRoll[[#This Row],[Annual_Rent_EUR]]</f>
        <v>0</v>
      </c>
      <c r="Z73" s="3"/>
    </row>
    <row r="74" spans="1:26" x14ac:dyDescent="0.35">
      <c r="A74" t="s">
        <v>12</v>
      </c>
      <c r="B74" t="s">
        <v>149</v>
      </c>
      <c r="C74" t="s">
        <v>19</v>
      </c>
      <c r="D74">
        <v>927</v>
      </c>
      <c r="E74" t="s">
        <v>20</v>
      </c>
      <c r="G74">
        <v>0</v>
      </c>
      <c r="H74">
        <v>0</v>
      </c>
      <c r="I74" s="2">
        <f>tblRentRoll[[#This Row],[Monthly_Rent_EUR]]*12</f>
        <v>0</v>
      </c>
      <c r="J74" s="2" t="str">
        <f>IF(tblRentRoll[[#This Row],[Annual_Rent_EUR]]&lt;&gt;tblRentRoll[[#This Row],[Jahresrente_EUR]], "FALSCH", "")</f>
        <v/>
      </c>
      <c r="M74">
        <v>1487.73</v>
      </c>
      <c r="N74">
        <v>523.38</v>
      </c>
      <c r="O7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4" t="str">
        <f>IF(tblRentRoll[[#This Row],[Area_sqm]]&lt;=0,"Area&lt;=0","")</f>
        <v/>
      </c>
      <c r="Q74" t="str">
        <f>IF(tblRentRoll[[#This Row],[Monthly_Rent_EUR]]&lt;=0,"Rent&lt;=0","")</f>
        <v>Rent&lt;=0</v>
      </c>
      <c r="R74" t="str">
        <f>IF(AND(tblRentRoll[[#This Row],[Status]]="Occupied", tblRentRoll[[#This Row],[Area_sqm]]&gt;0), tblRentRoll[[#This Row],[Annual_Rent_EUR]]/tblRentRoll[[#This Row],[Area_sqm]],"")</f>
        <v/>
      </c>
      <c r="S74">
        <f>tblRentRoll[[#This Row],[Service_Charge_EUR]]+tblRentRoll[[#This Row],[Operating_Cost_EUR]]</f>
        <v>2011.1100000000001</v>
      </c>
      <c r="T74" t="str">
        <f>IF(tblRentRoll[[#This Row],[Annual_Rent_EUR]]&lt;&gt;0,tblRentRoll[[#This Row],[Annual_Rent_EUR]]-tblRentRoll[[#This Row],[Operating_Cost_EUR]], "")</f>
        <v/>
      </c>
      <c r="U74">
        <f ca="1">IF(AND(tblRentRoll[[#This Row],[Status]]="Occupied",tblRentRoll[[#This Row],[Lease_End]]&gt;=TODAY()),DATEDIF(TODAY(),tblRentRoll[[#This Row],[Lease_End]],"m"), 0)</f>
        <v>0</v>
      </c>
      <c r="V74" t="str">
        <f>IF(tblRentRoll[[#This Row],[Status]]&lt;&gt;"Occupied","", IF(tblRentRoll[[#This Row],[Month_to_Expiry]]&lt;=3, "0-3 Monaten",  IF(tblRentRoll[[#This Row],[Month_to_Expiry]]&lt;=6, "3-6 Monaten", IF(tblRentRoll[[#This Row],[Month_to_Expiry]]&lt;=12,"6-12 Monaten", IF(tblRentRoll[[#This Row],[Month_to_Expiry]]&gt;=12, "12 M+",)))))</f>
        <v/>
      </c>
      <c r="W74">
        <f>IF(tblRentRoll[[#This Row],[Status]]="Vacant", tblRentRoll[[#This Row],[Area_sqm]],0)</f>
        <v>927</v>
      </c>
      <c r="X74" s="3">
        <f>IF(tblRentRoll[[#This Row],[Status]]="Occupied", tblRentRoll[[#This Row],[Area_sqm]],0)</f>
        <v>0</v>
      </c>
      <c r="Y74" s="3">
        <f ca="1">tblRentRoll[[#This Row],[Month_to_Expiry]]/12*tblRentRoll[[#This Row],[Annual_Rent_EUR]]</f>
        <v>0</v>
      </c>
      <c r="Z74" s="3"/>
    </row>
    <row r="75" spans="1:26" x14ac:dyDescent="0.35">
      <c r="A75" t="s">
        <v>31</v>
      </c>
      <c r="B75" t="s">
        <v>150</v>
      </c>
      <c r="C75" t="s">
        <v>14</v>
      </c>
      <c r="D75">
        <v>1369</v>
      </c>
      <c r="E75" t="s">
        <v>15</v>
      </c>
      <c r="F75" t="s">
        <v>46</v>
      </c>
      <c r="G75">
        <v>9098.56</v>
      </c>
      <c r="H75">
        <v>109182.72</v>
      </c>
      <c r="I75" s="2">
        <f>tblRentRoll[[#This Row],[Monthly_Rent_EUR]]*12</f>
        <v>109182.72</v>
      </c>
      <c r="J75" s="2" t="str">
        <f>IF(tblRentRoll[[#This Row],[Annual_Rent_EUR]]&lt;&gt;tblRentRoll[[#This Row],[Jahresrente_EUR]], "FALSCH", "")</f>
        <v/>
      </c>
      <c r="K75" s="1">
        <v>44518</v>
      </c>
      <c r="L75" s="1">
        <v>45989</v>
      </c>
      <c r="M75">
        <v>3035.81</v>
      </c>
      <c r="N75">
        <v>789.26</v>
      </c>
      <c r="O7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5" t="str">
        <f>IF(tblRentRoll[[#This Row],[Area_sqm]]&lt;=0,"Area&lt;=0","")</f>
        <v/>
      </c>
      <c r="Q75" t="str">
        <f>IF(tblRentRoll[[#This Row],[Monthly_Rent_EUR]]&lt;=0,"Rent&lt;=0","")</f>
        <v/>
      </c>
      <c r="R75">
        <f>IF(AND(tblRentRoll[[#This Row],[Status]]="Occupied", tblRentRoll[[#This Row],[Area_sqm]]&gt;0), tblRentRoll[[#This Row],[Annual_Rent_EUR]]/tblRentRoll[[#This Row],[Area_sqm]],"")</f>
        <v>79.7536303871439</v>
      </c>
      <c r="S75">
        <f>tblRentRoll[[#This Row],[Service_Charge_EUR]]+tblRentRoll[[#This Row],[Operating_Cost_EUR]]</f>
        <v>3825.0699999999997</v>
      </c>
      <c r="T75">
        <f>IF(tblRentRoll[[#This Row],[Annual_Rent_EUR]]&lt;&gt;0,tblRentRoll[[#This Row],[Annual_Rent_EUR]]-tblRentRoll[[#This Row],[Operating_Cost_EUR]], "")</f>
        <v>108393.46</v>
      </c>
      <c r="U75">
        <f ca="1">IF(AND(tblRentRoll[[#This Row],[Status]]="Occupied",tblRentRoll[[#This Row],[Lease_End]]&gt;=TODAY()),DATEDIF(TODAY(),tblRentRoll[[#This Row],[Lease_End]],"m"), 0)</f>
        <v>0</v>
      </c>
      <c r="V75" t="str">
        <f ca="1">IF(tblRentRoll[[#This Row],[Status]]&lt;&gt;"Occupied","", IF(tblRentRoll[[#This Row],[Month_to_Expiry]]&lt;=3, "0-3 Monaten",  IF(tblRentRoll[[#This Row],[Month_to_Expiry]]&lt;=6, "3-6 Monaten", IF(tblRentRoll[[#This Row],[Month_to_Expiry]]&lt;=12,"6-12 Monaten", IF(tblRentRoll[[#This Row],[Month_to_Expiry]]&gt;=12, "12 M+",)))))</f>
        <v>0-3 Monaten</v>
      </c>
      <c r="W75">
        <f>IF(tblRentRoll[[#This Row],[Status]]="Vacant", tblRentRoll[[#This Row],[Area_sqm]],0)</f>
        <v>0</v>
      </c>
      <c r="X75" s="3">
        <f>IF(tblRentRoll[[#This Row],[Status]]="Occupied", tblRentRoll[[#This Row],[Area_sqm]],0)</f>
        <v>1369</v>
      </c>
      <c r="Y75" s="3">
        <f ca="1">tblRentRoll[[#This Row],[Month_to_Expiry]]/12*tblRentRoll[[#This Row],[Annual_Rent_EUR]]</f>
        <v>0</v>
      </c>
      <c r="Z75" s="3"/>
    </row>
    <row r="76" spans="1:26" x14ac:dyDescent="0.35">
      <c r="A76" t="s">
        <v>27</v>
      </c>
      <c r="B76" t="s">
        <v>151</v>
      </c>
      <c r="C76" t="s">
        <v>14</v>
      </c>
      <c r="D76">
        <v>1119</v>
      </c>
      <c r="E76" t="s">
        <v>20</v>
      </c>
      <c r="G76">
        <v>0</v>
      </c>
      <c r="H76">
        <v>0</v>
      </c>
      <c r="I76" s="2">
        <f>tblRentRoll[[#This Row],[Monthly_Rent_EUR]]*12</f>
        <v>0</v>
      </c>
      <c r="J76" s="2" t="str">
        <f>IF(tblRentRoll[[#This Row],[Annual_Rent_EUR]]&lt;&gt;tblRentRoll[[#This Row],[Jahresrente_EUR]], "FALSCH", "")</f>
        <v/>
      </c>
      <c r="M76">
        <v>1460.01</v>
      </c>
      <c r="N76">
        <v>1920.7</v>
      </c>
      <c r="O7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6" t="str">
        <f>IF(tblRentRoll[[#This Row],[Area_sqm]]&lt;=0,"Area&lt;=0","")</f>
        <v/>
      </c>
      <c r="Q76" t="str">
        <f>IF(tblRentRoll[[#This Row],[Monthly_Rent_EUR]]&lt;=0,"Rent&lt;=0","")</f>
        <v>Rent&lt;=0</v>
      </c>
      <c r="R76" t="str">
        <f>IF(AND(tblRentRoll[[#This Row],[Status]]="Occupied", tblRentRoll[[#This Row],[Area_sqm]]&gt;0), tblRentRoll[[#This Row],[Annual_Rent_EUR]]/tblRentRoll[[#This Row],[Area_sqm]],"")</f>
        <v/>
      </c>
      <c r="S76">
        <f>tblRentRoll[[#This Row],[Service_Charge_EUR]]+tblRentRoll[[#This Row],[Operating_Cost_EUR]]</f>
        <v>3380.71</v>
      </c>
      <c r="T76" t="str">
        <f>IF(tblRentRoll[[#This Row],[Annual_Rent_EUR]]&lt;&gt;0,tblRentRoll[[#This Row],[Annual_Rent_EUR]]-tblRentRoll[[#This Row],[Operating_Cost_EUR]], "")</f>
        <v/>
      </c>
      <c r="U76">
        <f ca="1">IF(AND(tblRentRoll[[#This Row],[Status]]="Occupied",tblRentRoll[[#This Row],[Lease_End]]&gt;=TODAY()),DATEDIF(TODAY(),tblRentRoll[[#This Row],[Lease_End]],"m"), 0)</f>
        <v>0</v>
      </c>
      <c r="V76" t="str">
        <f>IF(tblRentRoll[[#This Row],[Status]]&lt;&gt;"Occupied","", IF(tblRentRoll[[#This Row],[Month_to_Expiry]]&lt;=3, "0-3 Monaten",  IF(tblRentRoll[[#This Row],[Month_to_Expiry]]&lt;=6, "3-6 Monaten", IF(tblRentRoll[[#This Row],[Month_to_Expiry]]&lt;=12,"6-12 Monaten", IF(tblRentRoll[[#This Row],[Month_to_Expiry]]&gt;=12, "12 M+",)))))</f>
        <v/>
      </c>
      <c r="W76">
        <f>IF(tblRentRoll[[#This Row],[Status]]="Vacant", tblRentRoll[[#This Row],[Area_sqm]],0)</f>
        <v>1119</v>
      </c>
      <c r="X76" s="3">
        <f>IF(tblRentRoll[[#This Row],[Status]]="Occupied", tblRentRoll[[#This Row],[Area_sqm]],0)</f>
        <v>0</v>
      </c>
      <c r="Y76" s="3">
        <f ca="1">tblRentRoll[[#This Row],[Month_to_Expiry]]/12*tblRentRoll[[#This Row],[Annual_Rent_EUR]]</f>
        <v>0</v>
      </c>
      <c r="Z76" s="3"/>
    </row>
    <row r="77" spans="1:26" x14ac:dyDescent="0.35">
      <c r="A77" t="s">
        <v>24</v>
      </c>
      <c r="B77" t="s">
        <v>152</v>
      </c>
      <c r="C77" t="s">
        <v>29</v>
      </c>
      <c r="D77">
        <v>993</v>
      </c>
      <c r="E77" t="s">
        <v>15</v>
      </c>
      <c r="F77" t="s">
        <v>153</v>
      </c>
      <c r="G77">
        <v>17011.32</v>
      </c>
      <c r="H77">
        <v>204135.84</v>
      </c>
      <c r="I77" s="2">
        <f>tblRentRoll[[#This Row],[Monthly_Rent_EUR]]*12</f>
        <v>204135.84</v>
      </c>
      <c r="J77" s="2" t="str">
        <f>IF(tblRentRoll[[#This Row],[Annual_Rent_EUR]]&lt;&gt;tblRentRoll[[#This Row],[Jahresrente_EUR]], "FALSCH", "")</f>
        <v/>
      </c>
      <c r="K77" s="1">
        <v>44622</v>
      </c>
      <c r="L77" s="1">
        <v>45962</v>
      </c>
      <c r="M77">
        <v>2542.87</v>
      </c>
      <c r="N77">
        <v>1820.53</v>
      </c>
      <c r="O7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7" t="str">
        <f>IF(tblRentRoll[[#This Row],[Area_sqm]]&lt;=0,"Area&lt;=0","")</f>
        <v/>
      </c>
      <c r="Q77" t="str">
        <f>IF(tblRentRoll[[#This Row],[Monthly_Rent_EUR]]&lt;=0,"Rent&lt;=0","")</f>
        <v/>
      </c>
      <c r="R77">
        <f>IF(AND(tblRentRoll[[#This Row],[Status]]="Occupied", tblRentRoll[[#This Row],[Area_sqm]]&gt;0), tblRentRoll[[#This Row],[Annual_Rent_EUR]]/tblRentRoll[[#This Row],[Area_sqm]],"")</f>
        <v>205.57486404833836</v>
      </c>
      <c r="S77">
        <f>tblRentRoll[[#This Row],[Service_Charge_EUR]]+tblRentRoll[[#This Row],[Operating_Cost_EUR]]</f>
        <v>4363.3999999999996</v>
      </c>
      <c r="T77">
        <f>IF(tblRentRoll[[#This Row],[Annual_Rent_EUR]]&lt;&gt;0,tblRentRoll[[#This Row],[Annual_Rent_EUR]]-tblRentRoll[[#This Row],[Operating_Cost_EUR]], "")</f>
        <v>202315.31</v>
      </c>
      <c r="U77">
        <f ca="1">IF(AND(tblRentRoll[[#This Row],[Status]]="Occupied",tblRentRoll[[#This Row],[Lease_End]]&gt;=TODAY()),DATEDIF(TODAY(),tblRentRoll[[#This Row],[Lease_End]],"m"), 0)</f>
        <v>0</v>
      </c>
      <c r="V77" t="str">
        <f ca="1">IF(tblRentRoll[[#This Row],[Status]]&lt;&gt;"Occupied","", IF(tblRentRoll[[#This Row],[Month_to_Expiry]]&lt;=3, "0-3 Monaten",  IF(tblRentRoll[[#This Row],[Month_to_Expiry]]&lt;=6, "3-6 Monaten", IF(tblRentRoll[[#This Row],[Month_to_Expiry]]&lt;=12,"6-12 Monaten", IF(tblRentRoll[[#This Row],[Month_to_Expiry]]&gt;=12, "12 M+",)))))</f>
        <v>0-3 Monaten</v>
      </c>
      <c r="W77">
        <f>IF(tblRentRoll[[#This Row],[Status]]="Vacant", tblRentRoll[[#This Row],[Area_sqm]],0)</f>
        <v>0</v>
      </c>
      <c r="X77" s="3">
        <f>IF(tblRentRoll[[#This Row],[Status]]="Occupied", tblRentRoll[[#This Row],[Area_sqm]],0)</f>
        <v>993</v>
      </c>
      <c r="Y77" s="3">
        <f ca="1">tblRentRoll[[#This Row],[Month_to_Expiry]]/12*tblRentRoll[[#This Row],[Annual_Rent_EUR]]</f>
        <v>0</v>
      </c>
      <c r="Z77" s="3"/>
    </row>
    <row r="78" spans="1:26" x14ac:dyDescent="0.35">
      <c r="A78" t="s">
        <v>24</v>
      </c>
      <c r="B78" t="s">
        <v>154</v>
      </c>
      <c r="C78" t="s">
        <v>19</v>
      </c>
      <c r="D78">
        <v>1099</v>
      </c>
      <c r="E78" t="s">
        <v>15</v>
      </c>
      <c r="F78" t="s">
        <v>41</v>
      </c>
      <c r="G78">
        <v>11054.6</v>
      </c>
      <c r="H78">
        <v>132655.20000000001</v>
      </c>
      <c r="I78" s="2">
        <f>tblRentRoll[[#This Row],[Monthly_Rent_EUR]]*12</f>
        <v>132655.20000000001</v>
      </c>
      <c r="J78" s="2" t="str">
        <f>IF(tblRentRoll[[#This Row],[Annual_Rent_EUR]]&lt;&gt;tblRentRoll[[#This Row],[Jahresrente_EUR]], "FALSCH", "")</f>
        <v/>
      </c>
      <c r="K78" s="1">
        <v>44639</v>
      </c>
      <c r="L78" s="1">
        <v>45020</v>
      </c>
      <c r="M78">
        <v>1524.91</v>
      </c>
      <c r="N78">
        <v>789.8</v>
      </c>
      <c r="O7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8" t="str">
        <f>IF(tblRentRoll[[#This Row],[Area_sqm]]&lt;=0,"Area&lt;=0","")</f>
        <v/>
      </c>
      <c r="Q78" t="str">
        <f>IF(tblRentRoll[[#This Row],[Monthly_Rent_EUR]]&lt;=0,"Rent&lt;=0","")</f>
        <v/>
      </c>
      <c r="R78">
        <f>IF(AND(tblRentRoll[[#This Row],[Status]]="Occupied", tblRentRoll[[#This Row],[Area_sqm]]&gt;0), tblRentRoll[[#This Row],[Annual_Rent_EUR]]/tblRentRoll[[#This Row],[Area_sqm]],"")</f>
        <v>120.7053685168335</v>
      </c>
      <c r="S78">
        <f>tblRentRoll[[#This Row],[Service_Charge_EUR]]+tblRentRoll[[#This Row],[Operating_Cost_EUR]]</f>
        <v>2314.71</v>
      </c>
      <c r="T78">
        <f>IF(tblRentRoll[[#This Row],[Annual_Rent_EUR]]&lt;&gt;0,tblRentRoll[[#This Row],[Annual_Rent_EUR]]-tblRentRoll[[#This Row],[Operating_Cost_EUR]], "")</f>
        <v>131865.40000000002</v>
      </c>
      <c r="U78">
        <f ca="1">IF(AND(tblRentRoll[[#This Row],[Status]]="Occupied",tblRentRoll[[#This Row],[Lease_End]]&gt;=TODAY()),DATEDIF(TODAY(),tblRentRoll[[#This Row],[Lease_End]],"m"), 0)</f>
        <v>0</v>
      </c>
      <c r="V78" t="str">
        <f ca="1">IF(tblRentRoll[[#This Row],[Status]]&lt;&gt;"Occupied","", IF(tblRentRoll[[#This Row],[Month_to_Expiry]]&lt;=3, "0-3 Monaten",  IF(tblRentRoll[[#This Row],[Month_to_Expiry]]&lt;=6, "3-6 Monaten", IF(tblRentRoll[[#This Row],[Month_to_Expiry]]&lt;=12,"6-12 Monaten", IF(tblRentRoll[[#This Row],[Month_to_Expiry]]&gt;=12, "12 M+",)))))</f>
        <v>0-3 Monaten</v>
      </c>
      <c r="W78">
        <f>IF(tblRentRoll[[#This Row],[Status]]="Vacant", tblRentRoll[[#This Row],[Area_sqm]],0)</f>
        <v>0</v>
      </c>
      <c r="X78" s="3">
        <f>IF(tblRentRoll[[#This Row],[Status]]="Occupied", tblRentRoll[[#This Row],[Area_sqm]],0)</f>
        <v>1099</v>
      </c>
      <c r="Y78" s="3">
        <f ca="1">tblRentRoll[[#This Row],[Month_to_Expiry]]/12*tblRentRoll[[#This Row],[Annual_Rent_EUR]]</f>
        <v>0</v>
      </c>
      <c r="Z78" s="3"/>
    </row>
    <row r="79" spans="1:26" x14ac:dyDescent="0.35">
      <c r="A79" t="s">
        <v>24</v>
      </c>
      <c r="B79" t="s">
        <v>155</v>
      </c>
      <c r="C79" t="s">
        <v>19</v>
      </c>
      <c r="D79">
        <v>943</v>
      </c>
      <c r="E79" t="s">
        <v>15</v>
      </c>
      <c r="F79" t="s">
        <v>156</v>
      </c>
      <c r="G79">
        <v>14044.29</v>
      </c>
      <c r="H79">
        <v>168531.48</v>
      </c>
      <c r="I79" s="2">
        <f>tblRentRoll[[#This Row],[Monthly_Rent_EUR]]*12</f>
        <v>168531.48</v>
      </c>
      <c r="J79" s="2" t="str">
        <f>IF(tblRentRoll[[#This Row],[Annual_Rent_EUR]]&lt;&gt;tblRentRoll[[#This Row],[Jahresrente_EUR]], "FALSCH", "")</f>
        <v/>
      </c>
      <c r="K79" s="1">
        <v>44648</v>
      </c>
      <c r="L79" s="1">
        <v>45654</v>
      </c>
      <c r="M79">
        <v>1699.11</v>
      </c>
      <c r="N79">
        <v>726.23</v>
      </c>
      <c r="O7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79" t="str">
        <f>IF(tblRentRoll[[#This Row],[Area_sqm]]&lt;=0,"Area&lt;=0","")</f>
        <v/>
      </c>
      <c r="Q79" t="str">
        <f>IF(tblRentRoll[[#This Row],[Monthly_Rent_EUR]]&lt;=0,"Rent&lt;=0","")</f>
        <v/>
      </c>
      <c r="R79">
        <f>IF(AND(tblRentRoll[[#This Row],[Status]]="Occupied", tblRentRoll[[#This Row],[Area_sqm]]&gt;0), tblRentRoll[[#This Row],[Annual_Rent_EUR]]/tblRentRoll[[#This Row],[Area_sqm]],"")</f>
        <v>178.71843054082717</v>
      </c>
      <c r="S79">
        <f>tblRentRoll[[#This Row],[Service_Charge_EUR]]+tblRentRoll[[#This Row],[Operating_Cost_EUR]]</f>
        <v>2425.34</v>
      </c>
      <c r="T79">
        <f>IF(tblRentRoll[[#This Row],[Annual_Rent_EUR]]&lt;&gt;0,tblRentRoll[[#This Row],[Annual_Rent_EUR]]-tblRentRoll[[#This Row],[Operating_Cost_EUR]], "")</f>
        <v>167805.25</v>
      </c>
      <c r="U79">
        <f ca="1">IF(AND(tblRentRoll[[#This Row],[Status]]="Occupied",tblRentRoll[[#This Row],[Lease_End]]&gt;=TODAY()),DATEDIF(TODAY(),tblRentRoll[[#This Row],[Lease_End]],"m"), 0)</f>
        <v>0</v>
      </c>
      <c r="V79" t="str">
        <f ca="1">IF(tblRentRoll[[#This Row],[Status]]&lt;&gt;"Occupied","", IF(tblRentRoll[[#This Row],[Month_to_Expiry]]&lt;=3, "0-3 Monaten",  IF(tblRentRoll[[#This Row],[Month_to_Expiry]]&lt;=6, "3-6 Monaten", IF(tblRentRoll[[#This Row],[Month_to_Expiry]]&lt;=12,"6-12 Monaten", IF(tblRentRoll[[#This Row],[Month_to_Expiry]]&gt;=12, "12 M+",)))))</f>
        <v>0-3 Monaten</v>
      </c>
      <c r="W79">
        <f>IF(tblRentRoll[[#This Row],[Status]]="Vacant", tblRentRoll[[#This Row],[Area_sqm]],0)</f>
        <v>0</v>
      </c>
      <c r="X79" s="3">
        <f>IF(tblRentRoll[[#This Row],[Status]]="Occupied", tblRentRoll[[#This Row],[Area_sqm]],0)</f>
        <v>943</v>
      </c>
      <c r="Y79" s="3">
        <f ca="1">tblRentRoll[[#This Row],[Month_to_Expiry]]/12*tblRentRoll[[#This Row],[Annual_Rent_EUR]]</f>
        <v>0</v>
      </c>
      <c r="Z79" s="3"/>
    </row>
    <row r="80" spans="1:26" x14ac:dyDescent="0.35">
      <c r="A80" t="s">
        <v>24</v>
      </c>
      <c r="B80" t="s">
        <v>157</v>
      </c>
      <c r="C80" t="s">
        <v>29</v>
      </c>
      <c r="D80">
        <v>1382</v>
      </c>
      <c r="E80" t="s">
        <v>15</v>
      </c>
      <c r="F80" t="s">
        <v>158</v>
      </c>
      <c r="G80">
        <v>13899.61</v>
      </c>
      <c r="H80">
        <v>166795.32</v>
      </c>
      <c r="I80" s="2">
        <f>tblRentRoll[[#This Row],[Monthly_Rent_EUR]]*12</f>
        <v>166795.32</v>
      </c>
      <c r="J80" s="2" t="str">
        <f>IF(tblRentRoll[[#This Row],[Annual_Rent_EUR]]&lt;&gt;tblRentRoll[[#This Row],[Jahresrente_EUR]], "FALSCH", "")</f>
        <v/>
      </c>
      <c r="K80" s="1">
        <v>44582</v>
      </c>
      <c r="L80" s="1">
        <v>45001</v>
      </c>
      <c r="M80">
        <v>4141.54</v>
      </c>
      <c r="N80">
        <v>1746.2</v>
      </c>
      <c r="O8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0" t="str">
        <f>IF(tblRentRoll[[#This Row],[Area_sqm]]&lt;=0,"Area&lt;=0","")</f>
        <v/>
      </c>
      <c r="Q80" t="str">
        <f>IF(tblRentRoll[[#This Row],[Monthly_Rent_EUR]]&lt;=0,"Rent&lt;=0","")</f>
        <v/>
      </c>
      <c r="R80">
        <f>IF(AND(tblRentRoll[[#This Row],[Status]]="Occupied", tblRentRoll[[#This Row],[Area_sqm]]&gt;0), tblRentRoll[[#This Row],[Annual_Rent_EUR]]/tblRentRoll[[#This Row],[Area_sqm]],"")</f>
        <v>120.69125904486252</v>
      </c>
      <c r="S80">
        <f>tblRentRoll[[#This Row],[Service_Charge_EUR]]+tblRentRoll[[#This Row],[Operating_Cost_EUR]]</f>
        <v>5887.74</v>
      </c>
      <c r="T80">
        <f>IF(tblRentRoll[[#This Row],[Annual_Rent_EUR]]&lt;&gt;0,tblRentRoll[[#This Row],[Annual_Rent_EUR]]-tblRentRoll[[#This Row],[Operating_Cost_EUR]], "")</f>
        <v>165049.12</v>
      </c>
      <c r="U80">
        <f ca="1">IF(AND(tblRentRoll[[#This Row],[Status]]="Occupied",tblRentRoll[[#This Row],[Lease_End]]&gt;=TODAY()),DATEDIF(TODAY(),tblRentRoll[[#This Row],[Lease_End]],"m"), 0)</f>
        <v>0</v>
      </c>
      <c r="V80" t="str">
        <f ca="1">IF(tblRentRoll[[#This Row],[Status]]&lt;&gt;"Occupied","", IF(tblRentRoll[[#This Row],[Month_to_Expiry]]&lt;=3, "0-3 Monaten",  IF(tblRentRoll[[#This Row],[Month_to_Expiry]]&lt;=6, "3-6 Monaten", IF(tblRentRoll[[#This Row],[Month_to_Expiry]]&lt;=12,"6-12 Monaten", IF(tblRentRoll[[#This Row],[Month_to_Expiry]]&gt;=12, "12 M+",)))))</f>
        <v>0-3 Monaten</v>
      </c>
      <c r="W80">
        <f>IF(tblRentRoll[[#This Row],[Status]]="Vacant", tblRentRoll[[#This Row],[Area_sqm]],0)</f>
        <v>0</v>
      </c>
      <c r="X80" s="3">
        <f>IF(tblRentRoll[[#This Row],[Status]]="Occupied", tblRentRoll[[#This Row],[Area_sqm]],0)</f>
        <v>1382</v>
      </c>
      <c r="Y80" s="3">
        <f ca="1">tblRentRoll[[#This Row],[Month_to_Expiry]]/12*tblRentRoll[[#This Row],[Annual_Rent_EUR]]</f>
        <v>0</v>
      </c>
      <c r="Z80" s="3"/>
    </row>
    <row r="81" spans="1:26" x14ac:dyDescent="0.35">
      <c r="A81" t="s">
        <v>12</v>
      </c>
      <c r="B81" t="s">
        <v>159</v>
      </c>
      <c r="C81" t="s">
        <v>14</v>
      </c>
      <c r="D81">
        <v>1269</v>
      </c>
      <c r="E81" t="s">
        <v>15</v>
      </c>
      <c r="F81" t="s">
        <v>160</v>
      </c>
      <c r="G81">
        <v>14665.12</v>
      </c>
      <c r="H81">
        <v>175981.44</v>
      </c>
      <c r="I81" s="2">
        <f>tblRentRoll[[#This Row],[Monthly_Rent_EUR]]*12</f>
        <v>175981.44</v>
      </c>
      <c r="J81" s="2" t="str">
        <f>IF(tblRentRoll[[#This Row],[Annual_Rent_EUR]]&lt;&gt;tblRentRoll[[#This Row],[Jahresrente_EUR]], "FALSCH", "")</f>
        <v/>
      </c>
      <c r="K81" s="1">
        <v>44489</v>
      </c>
      <c r="L81" s="1">
        <v>45279</v>
      </c>
      <c r="M81">
        <v>2450.9499999999998</v>
      </c>
      <c r="N81">
        <v>1901.64</v>
      </c>
      <c r="O8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1" t="str">
        <f>IF(tblRentRoll[[#This Row],[Area_sqm]]&lt;=0,"Area&lt;=0","")</f>
        <v/>
      </c>
      <c r="Q81" t="str">
        <f>IF(tblRentRoll[[#This Row],[Monthly_Rent_EUR]]&lt;=0,"Rent&lt;=0","")</f>
        <v/>
      </c>
      <c r="R81">
        <f>IF(AND(tblRentRoll[[#This Row],[Status]]="Occupied", tblRentRoll[[#This Row],[Area_sqm]]&gt;0), tblRentRoll[[#This Row],[Annual_Rent_EUR]]/tblRentRoll[[#This Row],[Area_sqm]],"")</f>
        <v>138.67725768321515</v>
      </c>
      <c r="S81">
        <f>tblRentRoll[[#This Row],[Service_Charge_EUR]]+tblRentRoll[[#This Row],[Operating_Cost_EUR]]</f>
        <v>4352.59</v>
      </c>
      <c r="T81">
        <f>IF(tblRentRoll[[#This Row],[Annual_Rent_EUR]]&lt;&gt;0,tblRentRoll[[#This Row],[Annual_Rent_EUR]]-tblRentRoll[[#This Row],[Operating_Cost_EUR]], "")</f>
        <v>174079.8</v>
      </c>
      <c r="U81">
        <f ca="1">IF(AND(tblRentRoll[[#This Row],[Status]]="Occupied",tblRentRoll[[#This Row],[Lease_End]]&gt;=TODAY()),DATEDIF(TODAY(),tblRentRoll[[#This Row],[Lease_End]],"m"), 0)</f>
        <v>0</v>
      </c>
      <c r="V81" t="str">
        <f ca="1">IF(tblRentRoll[[#This Row],[Status]]&lt;&gt;"Occupied","", IF(tblRentRoll[[#This Row],[Month_to_Expiry]]&lt;=3, "0-3 Monaten",  IF(tblRentRoll[[#This Row],[Month_to_Expiry]]&lt;=6, "3-6 Monaten", IF(tblRentRoll[[#This Row],[Month_to_Expiry]]&lt;=12,"6-12 Monaten", IF(tblRentRoll[[#This Row],[Month_to_Expiry]]&gt;=12, "12 M+",)))))</f>
        <v>0-3 Monaten</v>
      </c>
      <c r="W81">
        <f>IF(tblRentRoll[[#This Row],[Status]]="Vacant", tblRentRoll[[#This Row],[Area_sqm]],0)</f>
        <v>0</v>
      </c>
      <c r="X81" s="3">
        <f>IF(tblRentRoll[[#This Row],[Status]]="Occupied", tblRentRoll[[#This Row],[Area_sqm]],0)</f>
        <v>1269</v>
      </c>
      <c r="Y81" s="3">
        <f ca="1">tblRentRoll[[#This Row],[Month_to_Expiry]]/12*tblRentRoll[[#This Row],[Annual_Rent_EUR]]</f>
        <v>0</v>
      </c>
      <c r="Z81" s="3"/>
    </row>
    <row r="82" spans="1:26" x14ac:dyDescent="0.35">
      <c r="A82" t="s">
        <v>24</v>
      </c>
      <c r="B82" t="s">
        <v>161</v>
      </c>
      <c r="C82" t="s">
        <v>14</v>
      </c>
      <c r="D82">
        <v>810</v>
      </c>
      <c r="E82" t="s">
        <v>15</v>
      </c>
      <c r="F82" t="s">
        <v>162</v>
      </c>
      <c r="G82">
        <v>10675.32</v>
      </c>
      <c r="H82">
        <v>128103.84</v>
      </c>
      <c r="I82" s="2">
        <f>tblRentRoll[[#This Row],[Monthly_Rent_EUR]]*12</f>
        <v>128103.84</v>
      </c>
      <c r="J82" s="2" t="str">
        <f>IF(tblRentRoll[[#This Row],[Annual_Rent_EUR]]&lt;&gt;tblRentRoll[[#This Row],[Jahresrente_EUR]], "FALSCH", "")</f>
        <v/>
      </c>
      <c r="K82" s="1">
        <v>44404</v>
      </c>
      <c r="L82" s="1">
        <v>46136</v>
      </c>
      <c r="M82">
        <v>2337.38</v>
      </c>
      <c r="N82">
        <v>1229.04</v>
      </c>
      <c r="O8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2" t="str">
        <f>IF(tblRentRoll[[#This Row],[Area_sqm]]&lt;=0,"Area&lt;=0","")</f>
        <v/>
      </c>
      <c r="Q82" t="str">
        <f>IF(tblRentRoll[[#This Row],[Monthly_Rent_EUR]]&lt;=0,"Rent&lt;=0","")</f>
        <v/>
      </c>
      <c r="R82">
        <f>IF(AND(tblRentRoll[[#This Row],[Status]]="Occupied", tblRentRoll[[#This Row],[Area_sqm]]&gt;0), tblRentRoll[[#This Row],[Annual_Rent_EUR]]/tblRentRoll[[#This Row],[Area_sqm]],"")</f>
        <v>158.1528888888889</v>
      </c>
      <c r="S82">
        <f>tblRentRoll[[#This Row],[Service_Charge_EUR]]+tblRentRoll[[#This Row],[Operating_Cost_EUR]]</f>
        <v>3566.42</v>
      </c>
      <c r="T82">
        <f>IF(tblRentRoll[[#This Row],[Annual_Rent_EUR]]&lt;&gt;0,tblRentRoll[[#This Row],[Annual_Rent_EUR]]-tblRentRoll[[#This Row],[Operating_Cost_EUR]], "")</f>
        <v>126874.8</v>
      </c>
      <c r="U82">
        <f ca="1">IF(AND(tblRentRoll[[#This Row],[Status]]="Occupied",tblRentRoll[[#This Row],[Lease_End]]&gt;=TODAY()),DATEDIF(TODAY(),tblRentRoll[[#This Row],[Lease_End]],"m"), 0)</f>
        <v>1</v>
      </c>
      <c r="V82" t="str">
        <f ca="1">IF(tblRentRoll[[#This Row],[Status]]&lt;&gt;"Occupied","", IF(tblRentRoll[[#This Row],[Month_to_Expiry]]&lt;=3, "0-3 Monaten",  IF(tblRentRoll[[#This Row],[Month_to_Expiry]]&lt;=6, "3-6 Monaten", IF(tblRentRoll[[#This Row],[Month_to_Expiry]]&lt;=12,"6-12 Monaten", IF(tblRentRoll[[#This Row],[Month_to_Expiry]]&gt;=12, "12 M+",)))))</f>
        <v>0-3 Monaten</v>
      </c>
      <c r="W82">
        <f>IF(tblRentRoll[[#This Row],[Status]]="Vacant", tblRentRoll[[#This Row],[Area_sqm]],0)</f>
        <v>0</v>
      </c>
      <c r="X82" s="3">
        <f>IF(tblRentRoll[[#This Row],[Status]]="Occupied", tblRentRoll[[#This Row],[Area_sqm]],0)</f>
        <v>810</v>
      </c>
      <c r="Y82" s="3">
        <f ca="1">tblRentRoll[[#This Row],[Month_to_Expiry]]/12*tblRentRoll[[#This Row],[Annual_Rent_EUR]]</f>
        <v>10675.32</v>
      </c>
      <c r="Z82" s="3"/>
    </row>
    <row r="83" spans="1:26" x14ac:dyDescent="0.35">
      <c r="A83" t="s">
        <v>12</v>
      </c>
      <c r="B83" t="s">
        <v>163</v>
      </c>
      <c r="C83" t="s">
        <v>33</v>
      </c>
      <c r="D83">
        <v>264</v>
      </c>
      <c r="E83" t="s">
        <v>15</v>
      </c>
      <c r="F83" t="s">
        <v>164</v>
      </c>
      <c r="G83">
        <v>2000.76</v>
      </c>
      <c r="H83">
        <v>24009.119999999999</v>
      </c>
      <c r="I83" s="2">
        <f>tblRentRoll[[#This Row],[Monthly_Rent_EUR]]*12</f>
        <v>24009.119999999999</v>
      </c>
      <c r="J83" s="2" t="str">
        <f>IF(tblRentRoll[[#This Row],[Annual_Rent_EUR]]&lt;&gt;tblRentRoll[[#This Row],[Jahresrente_EUR]], "FALSCH", "")</f>
        <v/>
      </c>
      <c r="K83" s="1">
        <v>45153</v>
      </c>
      <c r="L83" s="1">
        <v>46509</v>
      </c>
      <c r="M83">
        <v>591.83000000000004</v>
      </c>
      <c r="N83">
        <v>527.71</v>
      </c>
      <c r="O8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3" t="str">
        <f>IF(tblRentRoll[[#This Row],[Area_sqm]]&lt;=0,"Area&lt;=0","")</f>
        <v/>
      </c>
      <c r="Q83" t="str">
        <f>IF(tblRentRoll[[#This Row],[Monthly_Rent_EUR]]&lt;=0,"Rent&lt;=0","")</f>
        <v/>
      </c>
      <c r="R83">
        <f>IF(AND(tblRentRoll[[#This Row],[Status]]="Occupied", tblRentRoll[[#This Row],[Area_sqm]]&gt;0), tblRentRoll[[#This Row],[Annual_Rent_EUR]]/tblRentRoll[[#This Row],[Area_sqm]],"")</f>
        <v>90.943636363636358</v>
      </c>
      <c r="S83">
        <f>tblRentRoll[[#This Row],[Service_Charge_EUR]]+tblRentRoll[[#This Row],[Operating_Cost_EUR]]</f>
        <v>1119.54</v>
      </c>
      <c r="T83">
        <f>IF(tblRentRoll[[#This Row],[Annual_Rent_EUR]]&lt;&gt;0,tblRentRoll[[#This Row],[Annual_Rent_EUR]]-tblRentRoll[[#This Row],[Operating_Cost_EUR]], "")</f>
        <v>23481.41</v>
      </c>
      <c r="U83">
        <f ca="1">IF(AND(tblRentRoll[[#This Row],[Status]]="Occupied",tblRentRoll[[#This Row],[Lease_End]]&gt;=TODAY()),DATEDIF(TODAY(),tblRentRoll[[#This Row],[Lease_End]],"m"), 0)</f>
        <v>13</v>
      </c>
      <c r="V83" t="str">
        <f ca="1">IF(tblRentRoll[[#This Row],[Status]]&lt;&gt;"Occupied","", IF(tblRentRoll[[#This Row],[Month_to_Expiry]]&lt;=3, "0-3 Monaten",  IF(tblRentRoll[[#This Row],[Month_to_Expiry]]&lt;=6, "3-6 Monaten", IF(tblRentRoll[[#This Row],[Month_to_Expiry]]&lt;=12,"6-12 Monaten", IF(tblRentRoll[[#This Row],[Month_to_Expiry]]&gt;=12, "12 M+",)))))</f>
        <v>12 M+</v>
      </c>
      <c r="W83">
        <f>IF(tblRentRoll[[#This Row],[Status]]="Vacant", tblRentRoll[[#This Row],[Area_sqm]],0)</f>
        <v>0</v>
      </c>
      <c r="X83" s="3">
        <f>IF(tblRentRoll[[#This Row],[Status]]="Occupied", tblRentRoll[[#This Row],[Area_sqm]],0)</f>
        <v>264</v>
      </c>
      <c r="Y83" s="3">
        <f ca="1">tblRentRoll[[#This Row],[Month_to_Expiry]]/12*tblRentRoll[[#This Row],[Annual_Rent_EUR]]</f>
        <v>26009.879999999997</v>
      </c>
      <c r="Z83" s="3"/>
    </row>
    <row r="84" spans="1:26" x14ac:dyDescent="0.35">
      <c r="A84" t="s">
        <v>21</v>
      </c>
      <c r="B84" t="s">
        <v>165</v>
      </c>
      <c r="C84" t="s">
        <v>33</v>
      </c>
      <c r="D84">
        <v>1027</v>
      </c>
      <c r="E84" t="s">
        <v>15</v>
      </c>
      <c r="F84" t="s">
        <v>80</v>
      </c>
      <c r="G84">
        <v>17595.91</v>
      </c>
      <c r="H84">
        <v>211150.92</v>
      </c>
      <c r="I84" s="2">
        <f>tblRentRoll[[#This Row],[Monthly_Rent_EUR]]*12</f>
        <v>211150.91999999998</v>
      </c>
      <c r="J84" s="2" t="str">
        <f>IF(tblRentRoll[[#This Row],[Annual_Rent_EUR]]&lt;&gt;tblRentRoll[[#This Row],[Jahresrente_EUR]], "FALSCH", "")</f>
        <v/>
      </c>
      <c r="K84" s="1">
        <v>44939</v>
      </c>
      <c r="L84" s="1">
        <v>45581</v>
      </c>
      <c r="M84">
        <v>2899.64</v>
      </c>
      <c r="N84">
        <v>1582.88</v>
      </c>
      <c r="O8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4" t="str">
        <f>IF(tblRentRoll[[#This Row],[Area_sqm]]&lt;=0,"Area&lt;=0","")</f>
        <v/>
      </c>
      <c r="Q84" t="str">
        <f>IF(tblRentRoll[[#This Row],[Monthly_Rent_EUR]]&lt;=0,"Rent&lt;=0","")</f>
        <v/>
      </c>
      <c r="R84">
        <f>IF(AND(tblRentRoll[[#This Row],[Status]]="Occupied", tblRentRoll[[#This Row],[Area_sqm]]&gt;0), tblRentRoll[[#This Row],[Annual_Rent_EUR]]/tblRentRoll[[#This Row],[Area_sqm]],"")</f>
        <v>205.59972736124635</v>
      </c>
      <c r="S84">
        <f>tblRentRoll[[#This Row],[Service_Charge_EUR]]+tblRentRoll[[#This Row],[Operating_Cost_EUR]]</f>
        <v>4482.5200000000004</v>
      </c>
      <c r="T84">
        <f>IF(tblRentRoll[[#This Row],[Annual_Rent_EUR]]&lt;&gt;0,tblRentRoll[[#This Row],[Annual_Rent_EUR]]-tblRentRoll[[#This Row],[Operating_Cost_EUR]], "")</f>
        <v>209568.04</v>
      </c>
      <c r="U84">
        <f ca="1">IF(AND(tblRentRoll[[#This Row],[Status]]="Occupied",tblRentRoll[[#This Row],[Lease_End]]&gt;=TODAY()),DATEDIF(TODAY(),tblRentRoll[[#This Row],[Lease_End]],"m"), 0)</f>
        <v>0</v>
      </c>
      <c r="V84" t="str">
        <f ca="1">IF(tblRentRoll[[#This Row],[Status]]&lt;&gt;"Occupied","", IF(tblRentRoll[[#This Row],[Month_to_Expiry]]&lt;=3, "0-3 Monaten",  IF(tblRentRoll[[#This Row],[Month_to_Expiry]]&lt;=6, "3-6 Monaten", IF(tblRentRoll[[#This Row],[Month_to_Expiry]]&lt;=12,"6-12 Monaten", IF(tblRentRoll[[#This Row],[Month_to_Expiry]]&gt;=12, "12 M+",)))))</f>
        <v>0-3 Monaten</v>
      </c>
      <c r="W84">
        <f>IF(tblRentRoll[[#This Row],[Status]]="Vacant", tblRentRoll[[#This Row],[Area_sqm]],0)</f>
        <v>0</v>
      </c>
      <c r="X84" s="3">
        <f>IF(tblRentRoll[[#This Row],[Status]]="Occupied", tblRentRoll[[#This Row],[Area_sqm]],0)</f>
        <v>1027</v>
      </c>
      <c r="Y84" s="3">
        <f ca="1">tblRentRoll[[#This Row],[Month_to_Expiry]]/12*tblRentRoll[[#This Row],[Annual_Rent_EUR]]</f>
        <v>0</v>
      </c>
      <c r="Z84" s="3"/>
    </row>
    <row r="85" spans="1:26" x14ac:dyDescent="0.35">
      <c r="A85" t="s">
        <v>31</v>
      </c>
      <c r="B85" t="s">
        <v>166</v>
      </c>
      <c r="C85" t="s">
        <v>33</v>
      </c>
      <c r="D85">
        <v>532</v>
      </c>
      <c r="E85" t="s">
        <v>15</v>
      </c>
      <c r="F85" t="s">
        <v>37</v>
      </c>
      <c r="G85">
        <v>4854.97</v>
      </c>
      <c r="H85">
        <v>58259.64</v>
      </c>
      <c r="I85" s="2">
        <f>tblRentRoll[[#This Row],[Monthly_Rent_EUR]]*12</f>
        <v>58259.64</v>
      </c>
      <c r="J85" s="2" t="str">
        <f>IF(tblRentRoll[[#This Row],[Annual_Rent_EUR]]&lt;&gt;tblRentRoll[[#This Row],[Jahresrente_EUR]], "FALSCH", "")</f>
        <v/>
      </c>
      <c r="K85" s="1">
        <v>44557</v>
      </c>
      <c r="L85" s="1">
        <v>46153</v>
      </c>
      <c r="M85">
        <v>1101.52</v>
      </c>
      <c r="N85">
        <v>1322.23</v>
      </c>
      <c r="O8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5" t="str">
        <f>IF(tblRentRoll[[#This Row],[Area_sqm]]&lt;=0,"Area&lt;=0","")</f>
        <v/>
      </c>
      <c r="Q85" t="str">
        <f>IF(tblRentRoll[[#This Row],[Monthly_Rent_EUR]]&lt;=0,"Rent&lt;=0","")</f>
        <v/>
      </c>
      <c r="R85">
        <f>IF(AND(tblRentRoll[[#This Row],[Status]]="Occupied", tblRentRoll[[#This Row],[Area_sqm]]&gt;0), tblRentRoll[[#This Row],[Annual_Rent_EUR]]/tblRentRoll[[#This Row],[Area_sqm]],"")</f>
        <v>109.5106015037594</v>
      </c>
      <c r="S85">
        <f>tblRentRoll[[#This Row],[Service_Charge_EUR]]+tblRentRoll[[#This Row],[Operating_Cost_EUR]]</f>
        <v>2423.75</v>
      </c>
      <c r="T85">
        <f>IF(tblRentRoll[[#This Row],[Annual_Rent_EUR]]&lt;&gt;0,tblRentRoll[[#This Row],[Annual_Rent_EUR]]-tblRentRoll[[#This Row],[Operating_Cost_EUR]], "")</f>
        <v>56937.409999999996</v>
      </c>
      <c r="U85">
        <f ca="1">IF(AND(tblRentRoll[[#This Row],[Status]]="Occupied",tblRentRoll[[#This Row],[Lease_End]]&gt;=TODAY()),DATEDIF(TODAY(),tblRentRoll[[#This Row],[Lease_End]],"m"), 0)</f>
        <v>1</v>
      </c>
      <c r="V85" t="str">
        <f ca="1">IF(tblRentRoll[[#This Row],[Status]]&lt;&gt;"Occupied","", IF(tblRentRoll[[#This Row],[Month_to_Expiry]]&lt;=3, "0-3 Monaten",  IF(tblRentRoll[[#This Row],[Month_to_Expiry]]&lt;=6, "3-6 Monaten", IF(tblRentRoll[[#This Row],[Month_to_Expiry]]&lt;=12,"6-12 Monaten", IF(tblRentRoll[[#This Row],[Month_to_Expiry]]&gt;=12, "12 M+",)))))</f>
        <v>0-3 Monaten</v>
      </c>
      <c r="W85">
        <f>IF(tblRentRoll[[#This Row],[Status]]="Vacant", tblRentRoll[[#This Row],[Area_sqm]],0)</f>
        <v>0</v>
      </c>
      <c r="X85" s="3">
        <f>IF(tblRentRoll[[#This Row],[Status]]="Occupied", tblRentRoll[[#This Row],[Area_sqm]],0)</f>
        <v>532</v>
      </c>
      <c r="Y85" s="3">
        <f ca="1">tblRentRoll[[#This Row],[Month_to_Expiry]]/12*tblRentRoll[[#This Row],[Annual_Rent_EUR]]</f>
        <v>4854.9699999999993</v>
      </c>
      <c r="Z85" s="3"/>
    </row>
    <row r="86" spans="1:26" x14ac:dyDescent="0.35">
      <c r="A86" t="s">
        <v>21</v>
      </c>
      <c r="B86" t="s">
        <v>167</v>
      </c>
      <c r="C86" t="s">
        <v>33</v>
      </c>
      <c r="D86">
        <v>851</v>
      </c>
      <c r="E86" t="s">
        <v>20</v>
      </c>
      <c r="G86">
        <v>0</v>
      </c>
      <c r="H86">
        <v>0</v>
      </c>
      <c r="I86" s="2">
        <f>tblRentRoll[[#This Row],[Monthly_Rent_EUR]]*12</f>
        <v>0</v>
      </c>
      <c r="J86" s="2" t="str">
        <f>IF(tblRentRoll[[#This Row],[Annual_Rent_EUR]]&lt;&gt;tblRentRoll[[#This Row],[Jahresrente_EUR]], "FALSCH", "")</f>
        <v/>
      </c>
      <c r="M86">
        <v>1920.99</v>
      </c>
      <c r="N86">
        <v>428.76</v>
      </c>
      <c r="O8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6" t="str">
        <f>IF(tblRentRoll[[#This Row],[Area_sqm]]&lt;=0,"Area&lt;=0","")</f>
        <v/>
      </c>
      <c r="Q86" t="str">
        <f>IF(tblRentRoll[[#This Row],[Monthly_Rent_EUR]]&lt;=0,"Rent&lt;=0","")</f>
        <v>Rent&lt;=0</v>
      </c>
      <c r="R86" t="str">
        <f>IF(AND(tblRentRoll[[#This Row],[Status]]="Occupied", tblRentRoll[[#This Row],[Area_sqm]]&gt;0), tblRentRoll[[#This Row],[Annual_Rent_EUR]]/tblRentRoll[[#This Row],[Area_sqm]],"")</f>
        <v/>
      </c>
      <c r="S86">
        <f>tblRentRoll[[#This Row],[Service_Charge_EUR]]+tblRentRoll[[#This Row],[Operating_Cost_EUR]]</f>
        <v>2349.75</v>
      </c>
      <c r="T86" t="str">
        <f>IF(tblRentRoll[[#This Row],[Annual_Rent_EUR]]&lt;&gt;0,tblRentRoll[[#This Row],[Annual_Rent_EUR]]-tblRentRoll[[#This Row],[Operating_Cost_EUR]], "")</f>
        <v/>
      </c>
      <c r="U86">
        <f ca="1">IF(AND(tblRentRoll[[#This Row],[Status]]="Occupied",tblRentRoll[[#This Row],[Lease_End]]&gt;=TODAY()),DATEDIF(TODAY(),tblRentRoll[[#This Row],[Lease_End]],"m"), 0)</f>
        <v>0</v>
      </c>
      <c r="V86" t="str">
        <f>IF(tblRentRoll[[#This Row],[Status]]&lt;&gt;"Occupied","", IF(tblRentRoll[[#This Row],[Month_to_Expiry]]&lt;=3, "0-3 Monaten",  IF(tblRentRoll[[#This Row],[Month_to_Expiry]]&lt;=6, "3-6 Monaten", IF(tblRentRoll[[#This Row],[Month_to_Expiry]]&lt;=12,"6-12 Monaten", IF(tblRentRoll[[#This Row],[Month_to_Expiry]]&gt;=12, "12 M+",)))))</f>
        <v/>
      </c>
      <c r="W86">
        <f>IF(tblRentRoll[[#This Row],[Status]]="Vacant", tblRentRoll[[#This Row],[Area_sqm]],0)</f>
        <v>851</v>
      </c>
      <c r="X86" s="3">
        <f>IF(tblRentRoll[[#This Row],[Status]]="Occupied", tblRentRoll[[#This Row],[Area_sqm]],0)</f>
        <v>0</v>
      </c>
      <c r="Y86" s="3">
        <f ca="1">tblRentRoll[[#This Row],[Month_to_Expiry]]/12*tblRentRoll[[#This Row],[Annual_Rent_EUR]]</f>
        <v>0</v>
      </c>
      <c r="Z86" s="3"/>
    </row>
    <row r="87" spans="1:26" x14ac:dyDescent="0.35">
      <c r="A87" t="s">
        <v>24</v>
      </c>
      <c r="B87" t="s">
        <v>168</v>
      </c>
      <c r="C87" t="s">
        <v>29</v>
      </c>
      <c r="D87">
        <v>1278</v>
      </c>
      <c r="E87" t="s">
        <v>15</v>
      </c>
      <c r="F87" t="s">
        <v>169</v>
      </c>
      <c r="G87">
        <v>22328.23</v>
      </c>
      <c r="H87">
        <v>267938.76</v>
      </c>
      <c r="I87" s="2">
        <f>tblRentRoll[[#This Row],[Monthly_Rent_EUR]]*12</f>
        <v>267938.76</v>
      </c>
      <c r="J87" s="2" t="str">
        <f>IF(tblRentRoll[[#This Row],[Annual_Rent_EUR]]&lt;&gt;tblRentRoll[[#This Row],[Jahresrente_EUR]], "FALSCH", "")</f>
        <v/>
      </c>
      <c r="K87" s="1">
        <v>45235</v>
      </c>
      <c r="L87" s="1">
        <v>45679</v>
      </c>
      <c r="M87">
        <v>1461.39</v>
      </c>
      <c r="N87">
        <v>1872.63</v>
      </c>
      <c r="O8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7" t="str">
        <f>IF(tblRentRoll[[#This Row],[Area_sqm]]&lt;=0,"Area&lt;=0","")</f>
        <v/>
      </c>
      <c r="Q87" t="str">
        <f>IF(tblRentRoll[[#This Row],[Monthly_Rent_EUR]]&lt;=0,"Rent&lt;=0","")</f>
        <v/>
      </c>
      <c r="R87">
        <f>IF(AND(tblRentRoll[[#This Row],[Status]]="Occupied", tblRentRoll[[#This Row],[Area_sqm]]&gt;0), tblRentRoll[[#This Row],[Annual_Rent_EUR]]/tblRentRoll[[#This Row],[Area_sqm]],"")</f>
        <v>209.65474178403755</v>
      </c>
      <c r="S87">
        <f>tblRentRoll[[#This Row],[Service_Charge_EUR]]+tblRentRoll[[#This Row],[Operating_Cost_EUR]]</f>
        <v>3334.0200000000004</v>
      </c>
      <c r="T87">
        <f>IF(tblRentRoll[[#This Row],[Annual_Rent_EUR]]&lt;&gt;0,tblRentRoll[[#This Row],[Annual_Rent_EUR]]-tblRentRoll[[#This Row],[Operating_Cost_EUR]], "")</f>
        <v>266066.13</v>
      </c>
      <c r="U87">
        <f ca="1">IF(AND(tblRentRoll[[#This Row],[Status]]="Occupied",tblRentRoll[[#This Row],[Lease_End]]&gt;=TODAY()),DATEDIF(TODAY(),tblRentRoll[[#This Row],[Lease_End]],"m"), 0)</f>
        <v>0</v>
      </c>
      <c r="V87" t="str">
        <f ca="1">IF(tblRentRoll[[#This Row],[Status]]&lt;&gt;"Occupied","", IF(tblRentRoll[[#This Row],[Month_to_Expiry]]&lt;=3, "0-3 Monaten",  IF(tblRentRoll[[#This Row],[Month_to_Expiry]]&lt;=6, "3-6 Monaten", IF(tblRentRoll[[#This Row],[Month_to_Expiry]]&lt;=12,"6-12 Monaten", IF(tblRentRoll[[#This Row],[Month_to_Expiry]]&gt;=12, "12 M+",)))))</f>
        <v>0-3 Monaten</v>
      </c>
      <c r="W87">
        <f>IF(tblRentRoll[[#This Row],[Status]]="Vacant", tblRentRoll[[#This Row],[Area_sqm]],0)</f>
        <v>0</v>
      </c>
      <c r="X87" s="3">
        <f>IF(tblRentRoll[[#This Row],[Status]]="Occupied", tblRentRoll[[#This Row],[Area_sqm]],0)</f>
        <v>1278</v>
      </c>
      <c r="Y87" s="3">
        <f ca="1">tblRentRoll[[#This Row],[Month_to_Expiry]]/12*tblRentRoll[[#This Row],[Annual_Rent_EUR]]</f>
        <v>0</v>
      </c>
      <c r="Z87" s="3"/>
    </row>
    <row r="88" spans="1:26" x14ac:dyDescent="0.35">
      <c r="A88" t="s">
        <v>27</v>
      </c>
      <c r="B88" t="s">
        <v>170</v>
      </c>
      <c r="C88" t="s">
        <v>29</v>
      </c>
      <c r="D88">
        <v>1251</v>
      </c>
      <c r="E88" t="s">
        <v>15</v>
      </c>
      <c r="F88" t="s">
        <v>50</v>
      </c>
      <c r="G88">
        <v>21938.37</v>
      </c>
      <c r="H88">
        <v>263260.44</v>
      </c>
      <c r="I88" s="2">
        <f>tblRentRoll[[#This Row],[Monthly_Rent_EUR]]*12</f>
        <v>263260.44</v>
      </c>
      <c r="J88" s="2" t="str">
        <f>IF(tblRentRoll[[#This Row],[Annual_Rent_EUR]]&lt;&gt;tblRentRoll[[#This Row],[Jahresrente_EUR]], "FALSCH", "")</f>
        <v/>
      </c>
      <c r="K88" s="1">
        <v>44611</v>
      </c>
      <c r="L88" s="1">
        <v>45282</v>
      </c>
      <c r="M88">
        <v>1656.17</v>
      </c>
      <c r="N88">
        <v>2373.21</v>
      </c>
      <c r="O8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8" t="str">
        <f>IF(tblRentRoll[[#This Row],[Area_sqm]]&lt;=0,"Area&lt;=0","")</f>
        <v/>
      </c>
      <c r="Q88" t="str">
        <f>IF(tblRentRoll[[#This Row],[Monthly_Rent_EUR]]&lt;=0,"Rent&lt;=0","")</f>
        <v/>
      </c>
      <c r="R88">
        <f>IF(AND(tblRentRoll[[#This Row],[Status]]="Occupied", tblRentRoll[[#This Row],[Area_sqm]]&gt;0), tblRentRoll[[#This Row],[Annual_Rent_EUR]]/tblRentRoll[[#This Row],[Area_sqm]],"")</f>
        <v>210.44</v>
      </c>
      <c r="S88">
        <f>tblRentRoll[[#This Row],[Service_Charge_EUR]]+tblRentRoll[[#This Row],[Operating_Cost_EUR]]</f>
        <v>4029.38</v>
      </c>
      <c r="T88">
        <f>IF(tblRentRoll[[#This Row],[Annual_Rent_EUR]]&lt;&gt;0,tblRentRoll[[#This Row],[Annual_Rent_EUR]]-tblRentRoll[[#This Row],[Operating_Cost_EUR]], "")</f>
        <v>260887.23</v>
      </c>
      <c r="U88">
        <f ca="1">IF(AND(tblRentRoll[[#This Row],[Status]]="Occupied",tblRentRoll[[#This Row],[Lease_End]]&gt;=TODAY()),DATEDIF(TODAY(),tblRentRoll[[#This Row],[Lease_End]],"m"), 0)</f>
        <v>0</v>
      </c>
      <c r="V88" t="str">
        <f ca="1">IF(tblRentRoll[[#This Row],[Status]]&lt;&gt;"Occupied","", IF(tblRentRoll[[#This Row],[Month_to_Expiry]]&lt;=3, "0-3 Monaten",  IF(tblRentRoll[[#This Row],[Month_to_Expiry]]&lt;=6, "3-6 Monaten", IF(tblRentRoll[[#This Row],[Month_to_Expiry]]&lt;=12,"6-12 Monaten", IF(tblRentRoll[[#This Row],[Month_to_Expiry]]&gt;=12, "12 M+",)))))</f>
        <v>0-3 Monaten</v>
      </c>
      <c r="W88">
        <f>IF(tblRentRoll[[#This Row],[Status]]="Vacant", tblRentRoll[[#This Row],[Area_sqm]],0)</f>
        <v>0</v>
      </c>
      <c r="X88" s="3">
        <f>IF(tblRentRoll[[#This Row],[Status]]="Occupied", tblRentRoll[[#This Row],[Area_sqm]],0)</f>
        <v>1251</v>
      </c>
      <c r="Y88" s="3">
        <f ca="1">tblRentRoll[[#This Row],[Month_to_Expiry]]/12*tblRentRoll[[#This Row],[Annual_Rent_EUR]]</f>
        <v>0</v>
      </c>
      <c r="Z88" s="3"/>
    </row>
    <row r="89" spans="1:26" x14ac:dyDescent="0.35">
      <c r="A89" t="s">
        <v>44</v>
      </c>
      <c r="B89" t="s">
        <v>171</v>
      </c>
      <c r="C89" t="s">
        <v>29</v>
      </c>
      <c r="D89">
        <v>1493</v>
      </c>
      <c r="E89" t="s">
        <v>20</v>
      </c>
      <c r="G89">
        <v>0</v>
      </c>
      <c r="H89">
        <v>0</v>
      </c>
      <c r="I89" s="2">
        <f>tblRentRoll[[#This Row],[Monthly_Rent_EUR]]*12</f>
        <v>0</v>
      </c>
      <c r="J89" s="2" t="str">
        <f>IF(tblRentRoll[[#This Row],[Annual_Rent_EUR]]&lt;&gt;tblRentRoll[[#This Row],[Jahresrente_EUR]], "FALSCH", "")</f>
        <v/>
      </c>
      <c r="M89">
        <v>3277.63</v>
      </c>
      <c r="N89">
        <v>1764.78</v>
      </c>
      <c r="O8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89" t="str">
        <f>IF(tblRentRoll[[#This Row],[Area_sqm]]&lt;=0,"Area&lt;=0","")</f>
        <v/>
      </c>
      <c r="Q89" t="str">
        <f>IF(tblRentRoll[[#This Row],[Monthly_Rent_EUR]]&lt;=0,"Rent&lt;=0","")</f>
        <v>Rent&lt;=0</v>
      </c>
      <c r="R89" t="str">
        <f>IF(AND(tblRentRoll[[#This Row],[Status]]="Occupied", tblRentRoll[[#This Row],[Area_sqm]]&gt;0), tblRentRoll[[#This Row],[Annual_Rent_EUR]]/tblRentRoll[[#This Row],[Area_sqm]],"")</f>
        <v/>
      </c>
      <c r="S89">
        <f>tblRentRoll[[#This Row],[Service_Charge_EUR]]+tblRentRoll[[#This Row],[Operating_Cost_EUR]]</f>
        <v>5042.41</v>
      </c>
      <c r="T89" t="str">
        <f>IF(tblRentRoll[[#This Row],[Annual_Rent_EUR]]&lt;&gt;0,tblRentRoll[[#This Row],[Annual_Rent_EUR]]-tblRentRoll[[#This Row],[Operating_Cost_EUR]], "")</f>
        <v/>
      </c>
      <c r="U89">
        <f ca="1">IF(AND(tblRentRoll[[#This Row],[Status]]="Occupied",tblRentRoll[[#This Row],[Lease_End]]&gt;=TODAY()),DATEDIF(TODAY(),tblRentRoll[[#This Row],[Lease_End]],"m"), 0)</f>
        <v>0</v>
      </c>
      <c r="V89" t="str">
        <f>IF(tblRentRoll[[#This Row],[Status]]&lt;&gt;"Occupied","", IF(tblRentRoll[[#This Row],[Month_to_Expiry]]&lt;=3, "0-3 Monaten",  IF(tblRentRoll[[#This Row],[Month_to_Expiry]]&lt;=6, "3-6 Monaten", IF(tblRentRoll[[#This Row],[Month_to_Expiry]]&lt;=12,"6-12 Monaten", IF(tblRentRoll[[#This Row],[Month_to_Expiry]]&gt;=12, "12 M+",)))))</f>
        <v/>
      </c>
      <c r="W89">
        <f>IF(tblRentRoll[[#This Row],[Status]]="Vacant", tblRentRoll[[#This Row],[Area_sqm]],0)</f>
        <v>1493</v>
      </c>
      <c r="X89" s="3">
        <f>IF(tblRentRoll[[#This Row],[Status]]="Occupied", tblRentRoll[[#This Row],[Area_sqm]],0)</f>
        <v>0</v>
      </c>
      <c r="Y89" s="3">
        <f ca="1">tblRentRoll[[#This Row],[Month_to_Expiry]]/12*tblRentRoll[[#This Row],[Annual_Rent_EUR]]</f>
        <v>0</v>
      </c>
      <c r="Z89" s="3"/>
    </row>
    <row r="90" spans="1:26" x14ac:dyDescent="0.35">
      <c r="A90" t="s">
        <v>27</v>
      </c>
      <c r="B90" t="s">
        <v>172</v>
      </c>
      <c r="C90" t="s">
        <v>29</v>
      </c>
      <c r="D90">
        <v>261</v>
      </c>
      <c r="E90" t="s">
        <v>15</v>
      </c>
      <c r="F90" t="s">
        <v>173</v>
      </c>
      <c r="G90">
        <v>3617.72</v>
      </c>
      <c r="H90">
        <v>43412.639999999999</v>
      </c>
      <c r="I90" s="2">
        <f>tblRentRoll[[#This Row],[Monthly_Rent_EUR]]*12</f>
        <v>43412.639999999999</v>
      </c>
      <c r="J90" s="2" t="str">
        <f>IF(tblRentRoll[[#This Row],[Annual_Rent_EUR]]&lt;&gt;tblRentRoll[[#This Row],[Jahresrente_EUR]], "FALSCH", "")</f>
        <v/>
      </c>
      <c r="K90" s="1">
        <v>44427</v>
      </c>
      <c r="L90" s="1">
        <v>44912</v>
      </c>
      <c r="M90">
        <v>414.92</v>
      </c>
      <c r="N90">
        <v>378.34</v>
      </c>
      <c r="O9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0" t="str">
        <f>IF(tblRentRoll[[#This Row],[Area_sqm]]&lt;=0,"Area&lt;=0","")</f>
        <v/>
      </c>
      <c r="Q90" t="str">
        <f>IF(tblRentRoll[[#This Row],[Monthly_Rent_EUR]]&lt;=0,"Rent&lt;=0","")</f>
        <v/>
      </c>
      <c r="R90">
        <f>IF(AND(tblRentRoll[[#This Row],[Status]]="Occupied", tblRentRoll[[#This Row],[Area_sqm]]&gt;0), tblRentRoll[[#This Row],[Annual_Rent_EUR]]/tblRentRoll[[#This Row],[Area_sqm]],"")</f>
        <v>166.3319540229885</v>
      </c>
      <c r="S90">
        <f>tblRentRoll[[#This Row],[Service_Charge_EUR]]+tblRentRoll[[#This Row],[Operating_Cost_EUR]]</f>
        <v>793.26</v>
      </c>
      <c r="T90">
        <f>IF(tblRentRoll[[#This Row],[Annual_Rent_EUR]]&lt;&gt;0,tblRentRoll[[#This Row],[Annual_Rent_EUR]]-tblRentRoll[[#This Row],[Operating_Cost_EUR]], "")</f>
        <v>43034.3</v>
      </c>
      <c r="U90">
        <f ca="1">IF(AND(tblRentRoll[[#This Row],[Status]]="Occupied",tblRentRoll[[#This Row],[Lease_End]]&gt;=TODAY()),DATEDIF(TODAY(),tblRentRoll[[#This Row],[Lease_End]],"m"), 0)</f>
        <v>0</v>
      </c>
      <c r="V90" t="str">
        <f ca="1">IF(tblRentRoll[[#This Row],[Status]]&lt;&gt;"Occupied","", IF(tblRentRoll[[#This Row],[Month_to_Expiry]]&lt;=3, "0-3 Monaten",  IF(tblRentRoll[[#This Row],[Month_to_Expiry]]&lt;=6, "3-6 Monaten", IF(tblRentRoll[[#This Row],[Month_to_Expiry]]&lt;=12,"6-12 Monaten", IF(tblRentRoll[[#This Row],[Month_to_Expiry]]&gt;=12, "12 M+",)))))</f>
        <v>0-3 Monaten</v>
      </c>
      <c r="W90">
        <f>IF(tblRentRoll[[#This Row],[Status]]="Vacant", tblRentRoll[[#This Row],[Area_sqm]],0)</f>
        <v>0</v>
      </c>
      <c r="X90" s="3">
        <f>IF(tblRentRoll[[#This Row],[Status]]="Occupied", tblRentRoll[[#This Row],[Area_sqm]],0)</f>
        <v>261</v>
      </c>
      <c r="Y90" s="3">
        <f ca="1">tblRentRoll[[#This Row],[Month_to_Expiry]]/12*tblRentRoll[[#This Row],[Annual_Rent_EUR]]</f>
        <v>0</v>
      </c>
      <c r="Z90" s="3"/>
    </row>
    <row r="91" spans="1:26" x14ac:dyDescent="0.35">
      <c r="A91" t="s">
        <v>31</v>
      </c>
      <c r="B91" t="s">
        <v>174</v>
      </c>
      <c r="C91" t="s">
        <v>29</v>
      </c>
      <c r="D91">
        <v>1123</v>
      </c>
      <c r="E91" t="s">
        <v>15</v>
      </c>
      <c r="F91" t="s">
        <v>175</v>
      </c>
      <c r="G91">
        <v>8230.8700000000008</v>
      </c>
      <c r="H91">
        <v>98770.44</v>
      </c>
      <c r="I91" s="2">
        <f>tblRentRoll[[#This Row],[Monthly_Rent_EUR]]*12</f>
        <v>98770.44</v>
      </c>
      <c r="J91" s="2" t="str">
        <f>IF(tblRentRoll[[#This Row],[Annual_Rent_EUR]]&lt;&gt;tblRentRoll[[#This Row],[Jahresrente_EUR]], "FALSCH", "")</f>
        <v/>
      </c>
      <c r="K91" s="1">
        <v>45124</v>
      </c>
      <c r="L91" s="1">
        <v>45934</v>
      </c>
      <c r="M91">
        <v>3281.53</v>
      </c>
      <c r="N91">
        <v>1861.45</v>
      </c>
      <c r="O9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1" t="str">
        <f>IF(tblRentRoll[[#This Row],[Area_sqm]]&lt;=0,"Area&lt;=0","")</f>
        <v/>
      </c>
      <c r="Q91" t="str">
        <f>IF(tblRentRoll[[#This Row],[Monthly_Rent_EUR]]&lt;=0,"Rent&lt;=0","")</f>
        <v/>
      </c>
      <c r="R91">
        <f>IF(AND(tblRentRoll[[#This Row],[Status]]="Occupied", tblRentRoll[[#This Row],[Area_sqm]]&gt;0), tblRentRoll[[#This Row],[Annual_Rent_EUR]]/tblRentRoll[[#This Row],[Area_sqm]],"")</f>
        <v>87.95230632235085</v>
      </c>
      <c r="S91">
        <f>tblRentRoll[[#This Row],[Service_Charge_EUR]]+tblRentRoll[[#This Row],[Operating_Cost_EUR]]</f>
        <v>5142.9800000000005</v>
      </c>
      <c r="T91">
        <f>IF(tblRentRoll[[#This Row],[Annual_Rent_EUR]]&lt;&gt;0,tblRentRoll[[#This Row],[Annual_Rent_EUR]]-tblRentRoll[[#This Row],[Operating_Cost_EUR]], "")</f>
        <v>96908.99</v>
      </c>
      <c r="U91">
        <f ca="1">IF(AND(tblRentRoll[[#This Row],[Status]]="Occupied",tblRentRoll[[#This Row],[Lease_End]]&gt;=TODAY()),DATEDIF(TODAY(),tblRentRoll[[#This Row],[Lease_End]],"m"), 0)</f>
        <v>0</v>
      </c>
      <c r="V91" t="str">
        <f ca="1">IF(tblRentRoll[[#This Row],[Status]]&lt;&gt;"Occupied","", IF(tblRentRoll[[#This Row],[Month_to_Expiry]]&lt;=3, "0-3 Monaten",  IF(tblRentRoll[[#This Row],[Month_to_Expiry]]&lt;=6, "3-6 Monaten", IF(tblRentRoll[[#This Row],[Month_to_Expiry]]&lt;=12,"6-12 Monaten", IF(tblRentRoll[[#This Row],[Month_to_Expiry]]&gt;=12, "12 M+",)))))</f>
        <v>0-3 Monaten</v>
      </c>
      <c r="W91">
        <f>IF(tblRentRoll[[#This Row],[Status]]="Vacant", tblRentRoll[[#This Row],[Area_sqm]],0)</f>
        <v>0</v>
      </c>
      <c r="X91" s="3">
        <f>IF(tblRentRoll[[#This Row],[Status]]="Occupied", tblRentRoll[[#This Row],[Area_sqm]],0)</f>
        <v>1123</v>
      </c>
      <c r="Y91" s="3">
        <f ca="1">tblRentRoll[[#This Row],[Month_to_Expiry]]/12*tblRentRoll[[#This Row],[Annual_Rent_EUR]]</f>
        <v>0</v>
      </c>
      <c r="Z91" s="3"/>
    </row>
    <row r="92" spans="1:26" x14ac:dyDescent="0.35">
      <c r="A92" t="s">
        <v>24</v>
      </c>
      <c r="B92" t="s">
        <v>176</v>
      </c>
      <c r="C92" t="s">
        <v>33</v>
      </c>
      <c r="D92">
        <v>1373</v>
      </c>
      <c r="E92" t="s">
        <v>15</v>
      </c>
      <c r="F92" t="s">
        <v>177</v>
      </c>
      <c r="G92">
        <v>15020.63</v>
      </c>
      <c r="H92">
        <v>180247.56</v>
      </c>
      <c r="I92" s="2">
        <f>tblRentRoll[[#This Row],[Monthly_Rent_EUR]]*12</f>
        <v>180247.56</v>
      </c>
      <c r="J92" s="2" t="str">
        <f>IF(tblRentRoll[[#This Row],[Annual_Rent_EUR]]&lt;&gt;tblRentRoll[[#This Row],[Jahresrente_EUR]], "FALSCH", "")</f>
        <v/>
      </c>
      <c r="K92" s="1">
        <v>44896</v>
      </c>
      <c r="L92" s="1">
        <v>46647</v>
      </c>
      <c r="M92">
        <v>3865.96</v>
      </c>
      <c r="N92">
        <v>2717.32</v>
      </c>
      <c r="O9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2" t="str">
        <f>IF(tblRentRoll[[#This Row],[Area_sqm]]&lt;=0,"Area&lt;=0","")</f>
        <v/>
      </c>
      <c r="Q92" t="str">
        <f>IF(tblRentRoll[[#This Row],[Monthly_Rent_EUR]]&lt;=0,"Rent&lt;=0","")</f>
        <v/>
      </c>
      <c r="R92">
        <f>IF(AND(tblRentRoll[[#This Row],[Status]]="Occupied", tblRentRoll[[#This Row],[Area_sqm]]&gt;0), tblRentRoll[[#This Row],[Annual_Rent_EUR]]/tblRentRoll[[#This Row],[Area_sqm]],"")</f>
        <v>131.28008739985432</v>
      </c>
      <c r="S92">
        <f>tblRentRoll[[#This Row],[Service_Charge_EUR]]+tblRentRoll[[#This Row],[Operating_Cost_EUR]]</f>
        <v>6583.2800000000007</v>
      </c>
      <c r="T92">
        <f>IF(tblRentRoll[[#This Row],[Annual_Rent_EUR]]&lt;&gt;0,tblRentRoll[[#This Row],[Annual_Rent_EUR]]-tblRentRoll[[#This Row],[Operating_Cost_EUR]], "")</f>
        <v>177530.23999999999</v>
      </c>
      <c r="U92">
        <f ca="1">IF(AND(tblRentRoll[[#This Row],[Status]]="Occupied",tblRentRoll[[#This Row],[Lease_End]]&gt;=TODAY()),DATEDIF(TODAY(),tblRentRoll[[#This Row],[Lease_End]],"m"), 0)</f>
        <v>18</v>
      </c>
      <c r="V92" t="str">
        <f ca="1">IF(tblRentRoll[[#This Row],[Status]]&lt;&gt;"Occupied","", IF(tblRentRoll[[#This Row],[Month_to_Expiry]]&lt;=3, "0-3 Monaten",  IF(tblRentRoll[[#This Row],[Month_to_Expiry]]&lt;=6, "3-6 Monaten", IF(tblRentRoll[[#This Row],[Month_to_Expiry]]&lt;=12,"6-12 Monaten", IF(tblRentRoll[[#This Row],[Month_to_Expiry]]&gt;=12, "12 M+",)))))</f>
        <v>12 M+</v>
      </c>
      <c r="W92">
        <f>IF(tblRentRoll[[#This Row],[Status]]="Vacant", tblRentRoll[[#This Row],[Area_sqm]],0)</f>
        <v>0</v>
      </c>
      <c r="X92" s="3">
        <f>IF(tblRentRoll[[#This Row],[Status]]="Occupied", tblRentRoll[[#This Row],[Area_sqm]],0)</f>
        <v>1373</v>
      </c>
      <c r="Y92" s="3">
        <f ca="1">tblRentRoll[[#This Row],[Month_to_Expiry]]/12*tblRentRoll[[#This Row],[Annual_Rent_EUR]]</f>
        <v>270371.33999999997</v>
      </c>
      <c r="Z92" s="3"/>
    </row>
    <row r="93" spans="1:26" x14ac:dyDescent="0.35">
      <c r="A93" t="s">
        <v>56</v>
      </c>
      <c r="B93" t="s">
        <v>178</v>
      </c>
      <c r="C93" t="s">
        <v>14</v>
      </c>
      <c r="D93">
        <v>231</v>
      </c>
      <c r="E93" t="s">
        <v>15</v>
      </c>
      <c r="F93" t="s">
        <v>179</v>
      </c>
      <c r="G93">
        <v>2751.24</v>
      </c>
      <c r="H93">
        <v>33014.879999999997</v>
      </c>
      <c r="I93" s="2">
        <f>tblRentRoll[[#This Row],[Monthly_Rent_EUR]]*12</f>
        <v>33014.879999999997</v>
      </c>
      <c r="J93" s="2" t="str">
        <f>IF(tblRentRoll[[#This Row],[Annual_Rent_EUR]]&lt;&gt;tblRentRoll[[#This Row],[Jahresrente_EUR]], "FALSCH", "")</f>
        <v/>
      </c>
      <c r="K93" s="1">
        <v>44800</v>
      </c>
      <c r="L93" s="1">
        <v>45689</v>
      </c>
      <c r="M93">
        <v>639.9</v>
      </c>
      <c r="N93">
        <v>403.5</v>
      </c>
      <c r="O9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3" t="str">
        <f>IF(tblRentRoll[[#This Row],[Area_sqm]]&lt;=0,"Area&lt;=0","")</f>
        <v/>
      </c>
      <c r="Q93" t="str">
        <f>IF(tblRentRoll[[#This Row],[Monthly_Rent_EUR]]&lt;=0,"Rent&lt;=0","")</f>
        <v/>
      </c>
      <c r="R93">
        <f>IF(AND(tblRentRoll[[#This Row],[Status]]="Occupied", tblRentRoll[[#This Row],[Area_sqm]]&gt;0), tblRentRoll[[#This Row],[Annual_Rent_EUR]]/tblRentRoll[[#This Row],[Area_sqm]],"")</f>
        <v>142.92155844155843</v>
      </c>
      <c r="S93">
        <f>tblRentRoll[[#This Row],[Service_Charge_EUR]]+tblRentRoll[[#This Row],[Operating_Cost_EUR]]</f>
        <v>1043.4000000000001</v>
      </c>
      <c r="T93">
        <f>IF(tblRentRoll[[#This Row],[Annual_Rent_EUR]]&lt;&gt;0,tblRentRoll[[#This Row],[Annual_Rent_EUR]]-tblRentRoll[[#This Row],[Operating_Cost_EUR]], "")</f>
        <v>32611.379999999997</v>
      </c>
      <c r="U93">
        <f ca="1">IF(AND(tblRentRoll[[#This Row],[Status]]="Occupied",tblRentRoll[[#This Row],[Lease_End]]&gt;=TODAY()),DATEDIF(TODAY(),tblRentRoll[[#This Row],[Lease_End]],"m"), 0)</f>
        <v>0</v>
      </c>
      <c r="V93" t="str">
        <f ca="1">IF(tblRentRoll[[#This Row],[Status]]&lt;&gt;"Occupied","", IF(tblRentRoll[[#This Row],[Month_to_Expiry]]&lt;=3, "0-3 Monaten",  IF(tblRentRoll[[#This Row],[Month_to_Expiry]]&lt;=6, "3-6 Monaten", IF(tblRentRoll[[#This Row],[Month_to_Expiry]]&lt;=12,"6-12 Monaten", IF(tblRentRoll[[#This Row],[Month_to_Expiry]]&gt;=12, "12 M+",)))))</f>
        <v>0-3 Monaten</v>
      </c>
      <c r="W93">
        <f>IF(tblRentRoll[[#This Row],[Status]]="Vacant", tblRentRoll[[#This Row],[Area_sqm]],0)</f>
        <v>0</v>
      </c>
      <c r="X93" s="3">
        <f>IF(tblRentRoll[[#This Row],[Status]]="Occupied", tblRentRoll[[#This Row],[Area_sqm]],0)</f>
        <v>231</v>
      </c>
      <c r="Y93" s="3">
        <f ca="1">tblRentRoll[[#This Row],[Month_to_Expiry]]/12*tblRentRoll[[#This Row],[Annual_Rent_EUR]]</f>
        <v>0</v>
      </c>
      <c r="Z93" s="3"/>
    </row>
    <row r="94" spans="1:26" x14ac:dyDescent="0.35">
      <c r="A94" t="s">
        <v>27</v>
      </c>
      <c r="B94" t="s">
        <v>180</v>
      </c>
      <c r="C94" t="s">
        <v>19</v>
      </c>
      <c r="D94">
        <v>1023</v>
      </c>
      <c r="E94" t="s">
        <v>15</v>
      </c>
      <c r="F94" t="s">
        <v>86</v>
      </c>
      <c r="G94">
        <v>6654.49</v>
      </c>
      <c r="H94">
        <v>79853.88</v>
      </c>
      <c r="I94" s="2">
        <f>tblRentRoll[[#This Row],[Monthly_Rent_EUR]]*12</f>
        <v>79853.88</v>
      </c>
      <c r="J94" s="2" t="str">
        <f>IF(tblRentRoll[[#This Row],[Annual_Rent_EUR]]&lt;&gt;tblRentRoll[[#This Row],[Jahresrente_EUR]], "FALSCH", "")</f>
        <v/>
      </c>
      <c r="K94" s="1">
        <v>44693</v>
      </c>
      <c r="L94" s="1">
        <v>44924</v>
      </c>
      <c r="M94">
        <v>1631.69</v>
      </c>
      <c r="N94">
        <v>872.68</v>
      </c>
      <c r="O9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4" t="str">
        <f>IF(tblRentRoll[[#This Row],[Area_sqm]]&lt;=0,"Area&lt;=0","")</f>
        <v/>
      </c>
      <c r="Q94" t="str">
        <f>IF(tblRentRoll[[#This Row],[Monthly_Rent_EUR]]&lt;=0,"Rent&lt;=0","")</f>
        <v/>
      </c>
      <c r="R94">
        <f>IF(AND(tblRentRoll[[#This Row],[Status]]="Occupied", tblRentRoll[[#This Row],[Area_sqm]]&gt;0), tblRentRoll[[#This Row],[Annual_Rent_EUR]]/tblRentRoll[[#This Row],[Area_sqm]],"")</f>
        <v>78.05853372434018</v>
      </c>
      <c r="S94">
        <f>tblRentRoll[[#This Row],[Service_Charge_EUR]]+tblRentRoll[[#This Row],[Operating_Cost_EUR]]</f>
        <v>2504.37</v>
      </c>
      <c r="T94">
        <f>IF(tblRentRoll[[#This Row],[Annual_Rent_EUR]]&lt;&gt;0,tblRentRoll[[#This Row],[Annual_Rent_EUR]]-tblRentRoll[[#This Row],[Operating_Cost_EUR]], "")</f>
        <v>78981.200000000012</v>
      </c>
      <c r="U94">
        <f ca="1">IF(AND(tblRentRoll[[#This Row],[Status]]="Occupied",tblRentRoll[[#This Row],[Lease_End]]&gt;=TODAY()),DATEDIF(TODAY(),tblRentRoll[[#This Row],[Lease_End]],"m"), 0)</f>
        <v>0</v>
      </c>
      <c r="V94" t="str">
        <f ca="1">IF(tblRentRoll[[#This Row],[Status]]&lt;&gt;"Occupied","", IF(tblRentRoll[[#This Row],[Month_to_Expiry]]&lt;=3, "0-3 Monaten",  IF(tblRentRoll[[#This Row],[Month_to_Expiry]]&lt;=6, "3-6 Monaten", IF(tblRentRoll[[#This Row],[Month_to_Expiry]]&lt;=12,"6-12 Monaten", IF(tblRentRoll[[#This Row],[Month_to_Expiry]]&gt;=12, "12 M+",)))))</f>
        <v>0-3 Monaten</v>
      </c>
      <c r="W94">
        <f>IF(tblRentRoll[[#This Row],[Status]]="Vacant", tblRentRoll[[#This Row],[Area_sqm]],0)</f>
        <v>0</v>
      </c>
      <c r="X94" s="3">
        <f>IF(tblRentRoll[[#This Row],[Status]]="Occupied", tblRentRoll[[#This Row],[Area_sqm]],0)</f>
        <v>1023</v>
      </c>
      <c r="Y94" s="3">
        <f ca="1">tblRentRoll[[#This Row],[Month_to_Expiry]]/12*tblRentRoll[[#This Row],[Annual_Rent_EUR]]</f>
        <v>0</v>
      </c>
      <c r="Z94" s="3"/>
    </row>
    <row r="95" spans="1:26" x14ac:dyDescent="0.35">
      <c r="A95" t="s">
        <v>56</v>
      </c>
      <c r="B95" t="s">
        <v>181</v>
      </c>
      <c r="C95" t="s">
        <v>19</v>
      </c>
      <c r="D95">
        <v>497</v>
      </c>
      <c r="E95" t="s">
        <v>15</v>
      </c>
      <c r="F95" t="s">
        <v>182</v>
      </c>
      <c r="G95">
        <v>4832.59</v>
      </c>
      <c r="H95">
        <v>57991.08</v>
      </c>
      <c r="I95" s="2">
        <f>tblRentRoll[[#This Row],[Monthly_Rent_EUR]]*12</f>
        <v>57991.08</v>
      </c>
      <c r="J95" s="2" t="str">
        <f>IF(tblRentRoll[[#This Row],[Annual_Rent_EUR]]&lt;&gt;tblRentRoll[[#This Row],[Jahresrente_EUR]], "FALSCH", "")</f>
        <v/>
      </c>
      <c r="K95" s="1">
        <v>44665</v>
      </c>
      <c r="L95" s="1">
        <v>46396</v>
      </c>
      <c r="M95">
        <v>757.5</v>
      </c>
      <c r="N95">
        <v>752.15</v>
      </c>
      <c r="O9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5" t="str">
        <f>IF(tblRentRoll[[#This Row],[Area_sqm]]&lt;=0,"Area&lt;=0","")</f>
        <v/>
      </c>
      <c r="Q95" t="str">
        <f>IF(tblRentRoll[[#This Row],[Monthly_Rent_EUR]]&lt;=0,"Rent&lt;=0","")</f>
        <v/>
      </c>
      <c r="R95">
        <f>IF(AND(tblRentRoll[[#This Row],[Status]]="Occupied", tblRentRoll[[#This Row],[Area_sqm]]&gt;0), tblRentRoll[[#This Row],[Annual_Rent_EUR]]/tblRentRoll[[#This Row],[Area_sqm]],"")</f>
        <v>116.68225352112677</v>
      </c>
      <c r="S95">
        <f>tblRentRoll[[#This Row],[Service_Charge_EUR]]+tblRentRoll[[#This Row],[Operating_Cost_EUR]]</f>
        <v>1509.65</v>
      </c>
      <c r="T95">
        <f>IF(tblRentRoll[[#This Row],[Annual_Rent_EUR]]&lt;&gt;0,tblRentRoll[[#This Row],[Annual_Rent_EUR]]-tblRentRoll[[#This Row],[Operating_Cost_EUR]], "")</f>
        <v>57238.93</v>
      </c>
      <c r="U95">
        <f ca="1">IF(AND(tblRentRoll[[#This Row],[Status]]="Occupied",tblRentRoll[[#This Row],[Lease_End]]&gt;=TODAY()),DATEDIF(TODAY(),tblRentRoll[[#This Row],[Lease_End]],"m"), 0)</f>
        <v>9</v>
      </c>
      <c r="V95" t="str">
        <f ca="1">IF(tblRentRoll[[#This Row],[Status]]&lt;&gt;"Occupied","", IF(tblRentRoll[[#This Row],[Month_to_Expiry]]&lt;=3, "0-3 Monaten",  IF(tblRentRoll[[#This Row],[Month_to_Expiry]]&lt;=6, "3-6 Monaten", IF(tblRentRoll[[#This Row],[Month_to_Expiry]]&lt;=12,"6-12 Monaten", IF(tblRentRoll[[#This Row],[Month_to_Expiry]]&gt;=12, "12 M+",)))))</f>
        <v>6-12 Monaten</v>
      </c>
      <c r="W95">
        <f>IF(tblRentRoll[[#This Row],[Status]]="Vacant", tblRentRoll[[#This Row],[Area_sqm]],0)</f>
        <v>0</v>
      </c>
      <c r="X95" s="3">
        <f>IF(tblRentRoll[[#This Row],[Status]]="Occupied", tblRentRoll[[#This Row],[Area_sqm]],0)</f>
        <v>497</v>
      </c>
      <c r="Y95" s="3">
        <f ca="1">tblRentRoll[[#This Row],[Month_to_Expiry]]/12*tblRentRoll[[#This Row],[Annual_Rent_EUR]]</f>
        <v>43493.31</v>
      </c>
      <c r="Z95" s="3"/>
    </row>
    <row r="96" spans="1:26" x14ac:dyDescent="0.35">
      <c r="A96" t="s">
        <v>56</v>
      </c>
      <c r="B96" t="s">
        <v>183</v>
      </c>
      <c r="C96" t="s">
        <v>19</v>
      </c>
      <c r="D96">
        <v>622</v>
      </c>
      <c r="E96" t="s">
        <v>20</v>
      </c>
      <c r="G96">
        <v>0</v>
      </c>
      <c r="H96">
        <v>0</v>
      </c>
      <c r="I96" s="2">
        <f>tblRentRoll[[#This Row],[Monthly_Rent_EUR]]*12</f>
        <v>0</v>
      </c>
      <c r="J96" s="2" t="str">
        <f>IF(tblRentRoll[[#This Row],[Annual_Rent_EUR]]&lt;&gt;tblRentRoll[[#This Row],[Jahresrente_EUR]], "FALSCH", "")</f>
        <v/>
      </c>
      <c r="M96">
        <v>1683.4</v>
      </c>
      <c r="N96">
        <v>1169.6500000000001</v>
      </c>
      <c r="O9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6" t="str">
        <f>IF(tblRentRoll[[#This Row],[Area_sqm]]&lt;=0,"Area&lt;=0","")</f>
        <v/>
      </c>
      <c r="Q96" t="str">
        <f>IF(tblRentRoll[[#This Row],[Monthly_Rent_EUR]]&lt;=0,"Rent&lt;=0","")</f>
        <v>Rent&lt;=0</v>
      </c>
      <c r="R96" t="str">
        <f>IF(AND(tblRentRoll[[#This Row],[Status]]="Occupied", tblRentRoll[[#This Row],[Area_sqm]]&gt;0), tblRentRoll[[#This Row],[Annual_Rent_EUR]]/tblRentRoll[[#This Row],[Area_sqm]],"")</f>
        <v/>
      </c>
      <c r="S96">
        <f>tblRentRoll[[#This Row],[Service_Charge_EUR]]+tblRentRoll[[#This Row],[Operating_Cost_EUR]]</f>
        <v>2853.05</v>
      </c>
      <c r="T96" t="str">
        <f>IF(tblRentRoll[[#This Row],[Annual_Rent_EUR]]&lt;&gt;0,tblRentRoll[[#This Row],[Annual_Rent_EUR]]-tblRentRoll[[#This Row],[Operating_Cost_EUR]], "")</f>
        <v/>
      </c>
      <c r="U96">
        <f ca="1">IF(AND(tblRentRoll[[#This Row],[Status]]="Occupied",tblRentRoll[[#This Row],[Lease_End]]&gt;=TODAY()),DATEDIF(TODAY(),tblRentRoll[[#This Row],[Lease_End]],"m"), 0)</f>
        <v>0</v>
      </c>
      <c r="V96" t="str">
        <f>IF(tblRentRoll[[#This Row],[Status]]&lt;&gt;"Occupied","", IF(tblRentRoll[[#This Row],[Month_to_Expiry]]&lt;=3, "0-3 Monaten",  IF(tblRentRoll[[#This Row],[Month_to_Expiry]]&lt;=6, "3-6 Monaten", IF(tblRentRoll[[#This Row],[Month_to_Expiry]]&lt;=12,"6-12 Monaten", IF(tblRentRoll[[#This Row],[Month_to_Expiry]]&gt;=12, "12 M+",)))))</f>
        <v/>
      </c>
      <c r="W96">
        <f>IF(tblRentRoll[[#This Row],[Status]]="Vacant", tblRentRoll[[#This Row],[Area_sqm]],0)</f>
        <v>622</v>
      </c>
      <c r="X96" s="3">
        <f>IF(tblRentRoll[[#This Row],[Status]]="Occupied", tblRentRoll[[#This Row],[Area_sqm]],0)</f>
        <v>0</v>
      </c>
      <c r="Y96" s="3">
        <f ca="1">tblRentRoll[[#This Row],[Month_to_Expiry]]/12*tblRentRoll[[#This Row],[Annual_Rent_EUR]]</f>
        <v>0</v>
      </c>
      <c r="Z96" s="3"/>
    </row>
    <row r="97" spans="1:26" x14ac:dyDescent="0.35">
      <c r="A97" t="s">
        <v>31</v>
      </c>
      <c r="B97" t="s">
        <v>184</v>
      </c>
      <c r="C97" t="s">
        <v>14</v>
      </c>
      <c r="D97">
        <v>849</v>
      </c>
      <c r="E97" t="s">
        <v>15</v>
      </c>
      <c r="F97" t="s">
        <v>185</v>
      </c>
      <c r="G97">
        <v>10360.540000000001</v>
      </c>
      <c r="H97">
        <v>124326.48</v>
      </c>
      <c r="I97" s="2">
        <f>tblRentRoll[[#This Row],[Monthly_Rent_EUR]]*12</f>
        <v>124326.48000000001</v>
      </c>
      <c r="J97" s="2" t="str">
        <f>IF(tblRentRoll[[#This Row],[Annual_Rent_EUR]]&lt;&gt;tblRentRoll[[#This Row],[Jahresrente_EUR]], "FALSCH", "")</f>
        <v/>
      </c>
      <c r="K97" s="1">
        <v>44955</v>
      </c>
      <c r="L97" s="1">
        <v>45937</v>
      </c>
      <c r="M97">
        <v>1006.94</v>
      </c>
      <c r="N97">
        <v>2024.53</v>
      </c>
      <c r="O9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7" t="str">
        <f>IF(tblRentRoll[[#This Row],[Area_sqm]]&lt;=0,"Area&lt;=0","")</f>
        <v/>
      </c>
      <c r="Q97" t="str">
        <f>IF(tblRentRoll[[#This Row],[Monthly_Rent_EUR]]&lt;=0,"Rent&lt;=0","")</f>
        <v/>
      </c>
      <c r="R97">
        <f>IF(AND(tblRentRoll[[#This Row],[Status]]="Occupied", tblRentRoll[[#This Row],[Area_sqm]]&gt;0), tblRentRoll[[#This Row],[Annual_Rent_EUR]]/tblRentRoll[[#This Row],[Area_sqm]],"")</f>
        <v>146.43872791519433</v>
      </c>
      <c r="S97">
        <f>tblRentRoll[[#This Row],[Service_Charge_EUR]]+tblRentRoll[[#This Row],[Operating_Cost_EUR]]</f>
        <v>3031.4700000000003</v>
      </c>
      <c r="T97">
        <f>IF(tblRentRoll[[#This Row],[Annual_Rent_EUR]]&lt;&gt;0,tblRentRoll[[#This Row],[Annual_Rent_EUR]]-tblRentRoll[[#This Row],[Operating_Cost_EUR]], "")</f>
        <v>122301.95</v>
      </c>
      <c r="U97">
        <f ca="1">IF(AND(tblRentRoll[[#This Row],[Status]]="Occupied",tblRentRoll[[#This Row],[Lease_End]]&gt;=TODAY()),DATEDIF(TODAY(),tblRentRoll[[#This Row],[Lease_End]],"m"), 0)</f>
        <v>0</v>
      </c>
      <c r="V97" t="str">
        <f ca="1">IF(tblRentRoll[[#This Row],[Status]]&lt;&gt;"Occupied","", IF(tblRentRoll[[#This Row],[Month_to_Expiry]]&lt;=3, "0-3 Monaten",  IF(tblRentRoll[[#This Row],[Month_to_Expiry]]&lt;=6, "3-6 Monaten", IF(tblRentRoll[[#This Row],[Month_to_Expiry]]&lt;=12,"6-12 Monaten", IF(tblRentRoll[[#This Row],[Month_to_Expiry]]&gt;=12, "12 M+",)))))</f>
        <v>0-3 Monaten</v>
      </c>
      <c r="W97">
        <f>IF(tblRentRoll[[#This Row],[Status]]="Vacant", tblRentRoll[[#This Row],[Area_sqm]],0)</f>
        <v>0</v>
      </c>
      <c r="X97" s="3">
        <f>IF(tblRentRoll[[#This Row],[Status]]="Occupied", tblRentRoll[[#This Row],[Area_sqm]],0)</f>
        <v>849</v>
      </c>
      <c r="Y97" s="3">
        <f ca="1">tblRentRoll[[#This Row],[Month_to_Expiry]]/12*tblRentRoll[[#This Row],[Annual_Rent_EUR]]</f>
        <v>0</v>
      </c>
      <c r="Z97" s="3"/>
    </row>
    <row r="98" spans="1:26" x14ac:dyDescent="0.35">
      <c r="A98" t="s">
        <v>27</v>
      </c>
      <c r="B98" t="s">
        <v>186</v>
      </c>
      <c r="C98" t="s">
        <v>29</v>
      </c>
      <c r="D98">
        <v>1344</v>
      </c>
      <c r="E98" t="s">
        <v>15</v>
      </c>
      <c r="F98" t="s">
        <v>146</v>
      </c>
      <c r="G98">
        <v>17431.07</v>
      </c>
      <c r="H98">
        <v>209172.84</v>
      </c>
      <c r="I98" s="2">
        <f>tblRentRoll[[#This Row],[Monthly_Rent_EUR]]*12</f>
        <v>209172.84</v>
      </c>
      <c r="J98" s="2" t="str">
        <f>IF(tblRentRoll[[#This Row],[Annual_Rent_EUR]]&lt;&gt;tblRentRoll[[#This Row],[Jahresrente_EUR]], "FALSCH", "")</f>
        <v/>
      </c>
      <c r="K98" s="1">
        <v>44685</v>
      </c>
      <c r="L98" s="1">
        <v>46363</v>
      </c>
      <c r="M98">
        <v>1941.25</v>
      </c>
      <c r="N98">
        <v>1585.33</v>
      </c>
      <c r="O9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8" t="str">
        <f>IF(tblRentRoll[[#This Row],[Area_sqm]]&lt;=0,"Area&lt;=0","")</f>
        <v/>
      </c>
      <c r="Q98" t="str">
        <f>IF(tblRentRoll[[#This Row],[Monthly_Rent_EUR]]&lt;=0,"Rent&lt;=0","")</f>
        <v/>
      </c>
      <c r="R98">
        <f>IF(AND(tblRentRoll[[#This Row],[Status]]="Occupied", tblRentRoll[[#This Row],[Area_sqm]]&gt;0), tblRentRoll[[#This Row],[Annual_Rent_EUR]]/tblRentRoll[[#This Row],[Area_sqm]],"")</f>
        <v>155.63455357142857</v>
      </c>
      <c r="S98">
        <f>tblRentRoll[[#This Row],[Service_Charge_EUR]]+tblRentRoll[[#This Row],[Operating_Cost_EUR]]</f>
        <v>3526.58</v>
      </c>
      <c r="T98">
        <f>IF(tblRentRoll[[#This Row],[Annual_Rent_EUR]]&lt;&gt;0,tblRentRoll[[#This Row],[Annual_Rent_EUR]]-tblRentRoll[[#This Row],[Operating_Cost_EUR]], "")</f>
        <v>207587.51</v>
      </c>
      <c r="U98">
        <f ca="1">IF(AND(tblRentRoll[[#This Row],[Status]]="Occupied",tblRentRoll[[#This Row],[Lease_End]]&gt;=TODAY()),DATEDIF(TODAY(),tblRentRoll[[#This Row],[Lease_End]],"m"), 0)</f>
        <v>8</v>
      </c>
      <c r="V98" t="str">
        <f ca="1">IF(tblRentRoll[[#This Row],[Status]]&lt;&gt;"Occupied","", IF(tblRentRoll[[#This Row],[Month_to_Expiry]]&lt;=3, "0-3 Monaten",  IF(tblRentRoll[[#This Row],[Month_to_Expiry]]&lt;=6, "3-6 Monaten", IF(tblRentRoll[[#This Row],[Month_to_Expiry]]&lt;=12,"6-12 Monaten", IF(tblRentRoll[[#This Row],[Month_to_Expiry]]&gt;=12, "12 M+",)))))</f>
        <v>6-12 Monaten</v>
      </c>
      <c r="W98">
        <f>IF(tblRentRoll[[#This Row],[Status]]="Vacant", tblRentRoll[[#This Row],[Area_sqm]],0)</f>
        <v>0</v>
      </c>
      <c r="X98" s="3">
        <f>IF(tblRentRoll[[#This Row],[Status]]="Occupied", tblRentRoll[[#This Row],[Area_sqm]],0)</f>
        <v>1344</v>
      </c>
      <c r="Y98" s="3">
        <f ca="1">tblRentRoll[[#This Row],[Month_to_Expiry]]/12*tblRentRoll[[#This Row],[Annual_Rent_EUR]]</f>
        <v>139448.56</v>
      </c>
      <c r="Z98" s="3"/>
    </row>
    <row r="99" spans="1:26" x14ac:dyDescent="0.35">
      <c r="A99" t="s">
        <v>21</v>
      </c>
      <c r="B99" t="s">
        <v>187</v>
      </c>
      <c r="C99" t="s">
        <v>33</v>
      </c>
      <c r="D99">
        <v>116</v>
      </c>
      <c r="E99" t="s">
        <v>15</v>
      </c>
      <c r="F99" t="s">
        <v>82</v>
      </c>
      <c r="G99">
        <v>822.62</v>
      </c>
      <c r="H99">
        <v>9871.44</v>
      </c>
      <c r="I99" s="2">
        <f>tblRentRoll[[#This Row],[Monthly_Rent_EUR]]*12</f>
        <v>9871.44</v>
      </c>
      <c r="J99" s="2" t="str">
        <f>IF(tblRentRoll[[#This Row],[Annual_Rent_EUR]]&lt;&gt;tblRentRoll[[#This Row],[Jahresrente_EUR]], "FALSCH", "")</f>
        <v/>
      </c>
      <c r="K99" s="1">
        <v>44915</v>
      </c>
      <c r="L99" s="1">
        <v>46466</v>
      </c>
      <c r="M99">
        <v>223.71</v>
      </c>
      <c r="N99">
        <v>73.53</v>
      </c>
      <c r="O9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99" t="str">
        <f>IF(tblRentRoll[[#This Row],[Area_sqm]]&lt;=0,"Area&lt;=0","")</f>
        <v/>
      </c>
      <c r="Q99" t="str">
        <f>IF(tblRentRoll[[#This Row],[Monthly_Rent_EUR]]&lt;=0,"Rent&lt;=0","")</f>
        <v/>
      </c>
      <c r="R99">
        <f>IF(AND(tblRentRoll[[#This Row],[Status]]="Occupied", tblRentRoll[[#This Row],[Area_sqm]]&gt;0), tblRentRoll[[#This Row],[Annual_Rent_EUR]]/tblRentRoll[[#This Row],[Area_sqm]],"")</f>
        <v>85.098620689655178</v>
      </c>
      <c r="S99">
        <f>tblRentRoll[[#This Row],[Service_Charge_EUR]]+tblRentRoll[[#This Row],[Operating_Cost_EUR]]</f>
        <v>297.24</v>
      </c>
      <c r="T99">
        <f>IF(tblRentRoll[[#This Row],[Annual_Rent_EUR]]&lt;&gt;0,tblRentRoll[[#This Row],[Annual_Rent_EUR]]-tblRentRoll[[#This Row],[Operating_Cost_EUR]], "")</f>
        <v>9797.91</v>
      </c>
      <c r="U99">
        <f ca="1">IF(AND(tblRentRoll[[#This Row],[Status]]="Occupied",tblRentRoll[[#This Row],[Lease_End]]&gt;=TODAY()),DATEDIF(TODAY(),tblRentRoll[[#This Row],[Lease_End]],"m"), 0)</f>
        <v>12</v>
      </c>
      <c r="V99" t="str">
        <f ca="1">IF(tblRentRoll[[#This Row],[Status]]&lt;&gt;"Occupied","", IF(tblRentRoll[[#This Row],[Month_to_Expiry]]&lt;=3, "0-3 Monaten",  IF(tblRentRoll[[#This Row],[Month_to_Expiry]]&lt;=6, "3-6 Monaten", IF(tblRentRoll[[#This Row],[Month_to_Expiry]]&lt;=12,"6-12 Monaten", IF(tblRentRoll[[#This Row],[Month_to_Expiry]]&gt;=12, "12 M+",)))))</f>
        <v>6-12 Monaten</v>
      </c>
      <c r="W99">
        <f>IF(tblRentRoll[[#This Row],[Status]]="Vacant", tblRentRoll[[#This Row],[Area_sqm]],0)</f>
        <v>0</v>
      </c>
      <c r="X99" s="3">
        <f>IF(tblRentRoll[[#This Row],[Status]]="Occupied", tblRentRoll[[#This Row],[Area_sqm]],0)</f>
        <v>116</v>
      </c>
      <c r="Y99" s="3">
        <f ca="1">tblRentRoll[[#This Row],[Month_to_Expiry]]/12*tblRentRoll[[#This Row],[Annual_Rent_EUR]]</f>
        <v>9871.44</v>
      </c>
      <c r="Z99" s="3"/>
    </row>
    <row r="100" spans="1:26" x14ac:dyDescent="0.35">
      <c r="A100" t="s">
        <v>56</v>
      </c>
      <c r="B100" t="s">
        <v>188</v>
      </c>
      <c r="C100" t="s">
        <v>19</v>
      </c>
      <c r="D100">
        <v>183</v>
      </c>
      <c r="E100" t="s">
        <v>15</v>
      </c>
      <c r="F100" t="s">
        <v>48</v>
      </c>
      <c r="G100">
        <v>2803.49</v>
      </c>
      <c r="H100">
        <v>33641.879999999997</v>
      </c>
      <c r="I100" s="2">
        <f>tblRentRoll[[#This Row],[Monthly_Rent_EUR]]*12</f>
        <v>33641.879999999997</v>
      </c>
      <c r="J100" s="2" t="str">
        <f>IF(tblRentRoll[[#This Row],[Annual_Rent_EUR]]&lt;&gt;tblRentRoll[[#This Row],[Jahresrente_EUR]], "FALSCH", "")</f>
        <v/>
      </c>
      <c r="K100" s="1">
        <v>44427</v>
      </c>
      <c r="L100" s="1">
        <v>45612</v>
      </c>
      <c r="M100">
        <v>539.13</v>
      </c>
      <c r="N100">
        <v>268.35000000000002</v>
      </c>
      <c r="O10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0" t="str">
        <f>IF(tblRentRoll[[#This Row],[Area_sqm]]&lt;=0,"Area&lt;=0","")</f>
        <v/>
      </c>
      <c r="Q100" t="str">
        <f>IF(tblRentRoll[[#This Row],[Monthly_Rent_EUR]]&lt;=0,"Rent&lt;=0","")</f>
        <v/>
      </c>
      <c r="R100">
        <f>IF(AND(tblRentRoll[[#This Row],[Status]]="Occupied", tblRentRoll[[#This Row],[Area_sqm]]&gt;0), tblRentRoll[[#This Row],[Annual_Rent_EUR]]/tblRentRoll[[#This Row],[Area_sqm]],"")</f>
        <v>183.83540983606557</v>
      </c>
      <c r="S100">
        <f>tblRentRoll[[#This Row],[Service_Charge_EUR]]+tblRentRoll[[#This Row],[Operating_Cost_EUR]]</f>
        <v>807.48</v>
      </c>
      <c r="T100">
        <f>IF(tblRentRoll[[#This Row],[Annual_Rent_EUR]]&lt;&gt;0,tblRentRoll[[#This Row],[Annual_Rent_EUR]]-tblRentRoll[[#This Row],[Operating_Cost_EUR]], "")</f>
        <v>33373.53</v>
      </c>
      <c r="U100">
        <f ca="1">IF(AND(tblRentRoll[[#This Row],[Status]]="Occupied",tblRentRoll[[#This Row],[Lease_End]]&gt;=TODAY()),DATEDIF(TODAY(),tblRentRoll[[#This Row],[Lease_End]],"m"), 0)</f>
        <v>0</v>
      </c>
      <c r="V100" t="str">
        <f ca="1">IF(tblRentRoll[[#This Row],[Status]]&lt;&gt;"Occupied","", IF(tblRentRoll[[#This Row],[Month_to_Expiry]]&lt;=3, "0-3 Monaten",  IF(tblRentRoll[[#This Row],[Month_to_Expiry]]&lt;=6, "3-6 Monaten", IF(tblRentRoll[[#This Row],[Month_to_Expiry]]&lt;=12,"6-12 Monaten", IF(tblRentRoll[[#This Row],[Month_to_Expiry]]&gt;=12, "12 M+",)))))</f>
        <v>0-3 Monaten</v>
      </c>
      <c r="W100">
        <f>IF(tblRentRoll[[#This Row],[Status]]="Vacant", tblRentRoll[[#This Row],[Area_sqm]],0)</f>
        <v>0</v>
      </c>
      <c r="X100" s="3">
        <f>IF(tblRentRoll[[#This Row],[Status]]="Occupied", tblRentRoll[[#This Row],[Area_sqm]],0)</f>
        <v>183</v>
      </c>
      <c r="Y100" s="3">
        <f ca="1">tblRentRoll[[#This Row],[Month_to_Expiry]]/12*tblRentRoll[[#This Row],[Annual_Rent_EUR]]</f>
        <v>0</v>
      </c>
      <c r="Z100" s="3"/>
    </row>
    <row r="101" spans="1:26" x14ac:dyDescent="0.35">
      <c r="A101" t="s">
        <v>17</v>
      </c>
      <c r="B101" t="s">
        <v>189</v>
      </c>
      <c r="C101" t="s">
        <v>29</v>
      </c>
      <c r="D101">
        <v>1395</v>
      </c>
      <c r="E101" t="s">
        <v>20</v>
      </c>
      <c r="G101">
        <v>0</v>
      </c>
      <c r="H101">
        <v>0</v>
      </c>
      <c r="I101" s="2">
        <f>tblRentRoll[[#This Row],[Monthly_Rent_EUR]]*12</f>
        <v>0</v>
      </c>
      <c r="J101" s="2" t="str">
        <f>IF(tblRentRoll[[#This Row],[Annual_Rent_EUR]]&lt;&gt;tblRentRoll[[#This Row],[Jahresrente_EUR]], "FALSCH", "")</f>
        <v/>
      </c>
      <c r="M101">
        <v>3231.81</v>
      </c>
      <c r="N101">
        <v>1310.99</v>
      </c>
      <c r="O10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1" t="str">
        <f>IF(tblRentRoll[[#This Row],[Area_sqm]]&lt;=0,"Area&lt;=0","")</f>
        <v/>
      </c>
      <c r="Q101" t="str">
        <f>IF(tblRentRoll[[#This Row],[Monthly_Rent_EUR]]&lt;=0,"Rent&lt;=0","")</f>
        <v>Rent&lt;=0</v>
      </c>
      <c r="R101" t="str">
        <f>IF(AND(tblRentRoll[[#This Row],[Status]]="Occupied", tblRentRoll[[#This Row],[Area_sqm]]&gt;0), tblRentRoll[[#This Row],[Annual_Rent_EUR]]/tblRentRoll[[#This Row],[Area_sqm]],"")</f>
        <v/>
      </c>
      <c r="S101">
        <f>tblRentRoll[[#This Row],[Service_Charge_EUR]]+tblRentRoll[[#This Row],[Operating_Cost_EUR]]</f>
        <v>4542.8</v>
      </c>
      <c r="T101" t="str">
        <f>IF(tblRentRoll[[#This Row],[Annual_Rent_EUR]]&lt;&gt;0,tblRentRoll[[#This Row],[Annual_Rent_EUR]]-tblRentRoll[[#This Row],[Operating_Cost_EUR]], "")</f>
        <v/>
      </c>
      <c r="U101">
        <f ca="1">IF(AND(tblRentRoll[[#This Row],[Status]]="Occupied",tblRentRoll[[#This Row],[Lease_End]]&gt;=TODAY()),DATEDIF(TODAY(),tblRentRoll[[#This Row],[Lease_End]],"m"), 0)</f>
        <v>0</v>
      </c>
      <c r="V101" t="str">
        <f>IF(tblRentRoll[[#This Row],[Status]]&lt;&gt;"Occupied","", IF(tblRentRoll[[#This Row],[Month_to_Expiry]]&lt;=3, "0-3 Monaten",  IF(tblRentRoll[[#This Row],[Month_to_Expiry]]&lt;=6, "3-6 Monaten", IF(tblRentRoll[[#This Row],[Month_to_Expiry]]&lt;=12,"6-12 Monaten", IF(tblRentRoll[[#This Row],[Month_to_Expiry]]&gt;=12, "12 M+",)))))</f>
        <v/>
      </c>
      <c r="W101">
        <f>IF(tblRentRoll[[#This Row],[Status]]="Vacant", tblRentRoll[[#This Row],[Area_sqm]],0)</f>
        <v>1395</v>
      </c>
      <c r="X101" s="3">
        <f>IF(tblRentRoll[[#This Row],[Status]]="Occupied", tblRentRoll[[#This Row],[Area_sqm]],0)</f>
        <v>0</v>
      </c>
      <c r="Y101" s="3">
        <f ca="1">tblRentRoll[[#This Row],[Month_to_Expiry]]/12*tblRentRoll[[#This Row],[Annual_Rent_EUR]]</f>
        <v>0</v>
      </c>
      <c r="Z101" s="3"/>
    </row>
    <row r="102" spans="1:26" x14ac:dyDescent="0.35">
      <c r="A102" t="s">
        <v>31</v>
      </c>
      <c r="B102" t="s">
        <v>190</v>
      </c>
      <c r="C102" t="s">
        <v>14</v>
      </c>
      <c r="D102">
        <v>1065</v>
      </c>
      <c r="E102" t="s">
        <v>15</v>
      </c>
      <c r="F102" t="s">
        <v>100</v>
      </c>
      <c r="G102">
        <v>14858.32</v>
      </c>
      <c r="H102">
        <v>178299.84</v>
      </c>
      <c r="I102" s="2">
        <f>tblRentRoll[[#This Row],[Monthly_Rent_EUR]]*12</f>
        <v>178299.84</v>
      </c>
      <c r="J102" s="2" t="str">
        <f>IF(tblRentRoll[[#This Row],[Annual_Rent_EUR]]&lt;&gt;tblRentRoll[[#This Row],[Jahresrente_EUR]], "FALSCH", "")</f>
        <v/>
      </c>
      <c r="K102" s="1">
        <v>44576</v>
      </c>
      <c r="L102" s="1">
        <v>45691</v>
      </c>
      <c r="M102">
        <v>2502.0500000000002</v>
      </c>
      <c r="N102">
        <v>1156.8399999999999</v>
      </c>
      <c r="O10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2" t="str">
        <f>IF(tblRentRoll[[#This Row],[Area_sqm]]&lt;=0,"Area&lt;=0","")</f>
        <v/>
      </c>
      <c r="Q102" t="str">
        <f>IF(tblRentRoll[[#This Row],[Monthly_Rent_EUR]]&lt;=0,"Rent&lt;=0","")</f>
        <v/>
      </c>
      <c r="R102">
        <f>IF(AND(tblRentRoll[[#This Row],[Status]]="Occupied", tblRentRoll[[#This Row],[Area_sqm]]&gt;0), tblRentRoll[[#This Row],[Annual_Rent_EUR]]/tblRentRoll[[#This Row],[Area_sqm]],"")</f>
        <v>167.41769014084505</v>
      </c>
      <c r="S102">
        <f>tblRentRoll[[#This Row],[Service_Charge_EUR]]+tblRentRoll[[#This Row],[Operating_Cost_EUR]]</f>
        <v>3658.8900000000003</v>
      </c>
      <c r="T102">
        <f>IF(tblRentRoll[[#This Row],[Annual_Rent_EUR]]&lt;&gt;0,tblRentRoll[[#This Row],[Annual_Rent_EUR]]-tblRentRoll[[#This Row],[Operating_Cost_EUR]], "")</f>
        <v>177143</v>
      </c>
      <c r="U102">
        <f ca="1">IF(AND(tblRentRoll[[#This Row],[Status]]="Occupied",tblRentRoll[[#This Row],[Lease_End]]&gt;=TODAY()),DATEDIF(TODAY(),tblRentRoll[[#This Row],[Lease_End]],"m"), 0)</f>
        <v>0</v>
      </c>
      <c r="V102" t="str">
        <f ca="1">IF(tblRentRoll[[#This Row],[Status]]&lt;&gt;"Occupied","", IF(tblRentRoll[[#This Row],[Month_to_Expiry]]&lt;=3, "0-3 Monaten",  IF(tblRentRoll[[#This Row],[Month_to_Expiry]]&lt;=6, "3-6 Monaten", IF(tblRentRoll[[#This Row],[Month_to_Expiry]]&lt;=12,"6-12 Monaten", IF(tblRentRoll[[#This Row],[Month_to_Expiry]]&gt;=12, "12 M+",)))))</f>
        <v>0-3 Monaten</v>
      </c>
      <c r="W102">
        <f>IF(tblRentRoll[[#This Row],[Status]]="Vacant", tblRentRoll[[#This Row],[Area_sqm]],0)</f>
        <v>0</v>
      </c>
      <c r="X102" s="3">
        <f>IF(tblRentRoll[[#This Row],[Status]]="Occupied", tblRentRoll[[#This Row],[Area_sqm]],0)</f>
        <v>1065</v>
      </c>
      <c r="Y102" s="3">
        <f ca="1">tblRentRoll[[#This Row],[Month_to_Expiry]]/12*tblRentRoll[[#This Row],[Annual_Rent_EUR]]</f>
        <v>0</v>
      </c>
      <c r="Z102" s="3"/>
    </row>
    <row r="103" spans="1:26" x14ac:dyDescent="0.35">
      <c r="A103" t="s">
        <v>31</v>
      </c>
      <c r="B103" t="s">
        <v>191</v>
      </c>
      <c r="C103" t="s">
        <v>29</v>
      </c>
      <c r="D103">
        <v>721</v>
      </c>
      <c r="E103" t="s">
        <v>15</v>
      </c>
      <c r="F103" t="s">
        <v>192</v>
      </c>
      <c r="G103">
        <v>6681.26</v>
      </c>
      <c r="H103">
        <v>80175.12</v>
      </c>
      <c r="I103" s="2">
        <f>tblRentRoll[[#This Row],[Monthly_Rent_EUR]]*12</f>
        <v>80175.12</v>
      </c>
      <c r="J103" s="2" t="str">
        <f>IF(tblRentRoll[[#This Row],[Annual_Rent_EUR]]&lt;&gt;tblRentRoll[[#This Row],[Jahresrente_EUR]], "FALSCH", "")</f>
        <v/>
      </c>
      <c r="K103" s="1">
        <v>45098</v>
      </c>
      <c r="L103" s="1">
        <v>45695</v>
      </c>
      <c r="M103">
        <v>1724.32</v>
      </c>
      <c r="N103">
        <v>844.5</v>
      </c>
      <c r="O10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3" t="str">
        <f>IF(tblRentRoll[[#This Row],[Area_sqm]]&lt;=0,"Area&lt;=0","")</f>
        <v/>
      </c>
      <c r="Q103" t="str">
        <f>IF(tblRentRoll[[#This Row],[Monthly_Rent_EUR]]&lt;=0,"Rent&lt;=0","")</f>
        <v/>
      </c>
      <c r="R103">
        <f>IF(AND(tblRentRoll[[#This Row],[Status]]="Occupied", tblRentRoll[[#This Row],[Area_sqm]]&gt;0), tblRentRoll[[#This Row],[Annual_Rent_EUR]]/tblRentRoll[[#This Row],[Area_sqm]],"")</f>
        <v>111.19988904299584</v>
      </c>
      <c r="S103">
        <f>tblRentRoll[[#This Row],[Service_Charge_EUR]]+tblRentRoll[[#This Row],[Operating_Cost_EUR]]</f>
        <v>2568.8199999999997</v>
      </c>
      <c r="T103">
        <f>IF(tblRentRoll[[#This Row],[Annual_Rent_EUR]]&lt;&gt;0,tblRentRoll[[#This Row],[Annual_Rent_EUR]]-tblRentRoll[[#This Row],[Operating_Cost_EUR]], "")</f>
        <v>79330.62</v>
      </c>
      <c r="U103">
        <f ca="1">IF(AND(tblRentRoll[[#This Row],[Status]]="Occupied",tblRentRoll[[#This Row],[Lease_End]]&gt;=TODAY()),DATEDIF(TODAY(),tblRentRoll[[#This Row],[Lease_End]],"m"), 0)</f>
        <v>0</v>
      </c>
      <c r="V103" t="str">
        <f ca="1">IF(tblRentRoll[[#This Row],[Status]]&lt;&gt;"Occupied","", IF(tblRentRoll[[#This Row],[Month_to_Expiry]]&lt;=3, "0-3 Monaten",  IF(tblRentRoll[[#This Row],[Month_to_Expiry]]&lt;=6, "3-6 Monaten", IF(tblRentRoll[[#This Row],[Month_to_Expiry]]&lt;=12,"6-12 Monaten", IF(tblRentRoll[[#This Row],[Month_to_Expiry]]&gt;=12, "12 M+",)))))</f>
        <v>0-3 Monaten</v>
      </c>
      <c r="W103">
        <f>IF(tblRentRoll[[#This Row],[Status]]="Vacant", tblRentRoll[[#This Row],[Area_sqm]],0)</f>
        <v>0</v>
      </c>
      <c r="X103" s="3">
        <f>IF(tblRentRoll[[#This Row],[Status]]="Occupied", tblRentRoll[[#This Row],[Area_sqm]],0)</f>
        <v>721</v>
      </c>
      <c r="Y103" s="3">
        <f ca="1">tblRentRoll[[#This Row],[Month_to_Expiry]]/12*tblRentRoll[[#This Row],[Annual_Rent_EUR]]</f>
        <v>0</v>
      </c>
      <c r="Z103" s="3"/>
    </row>
    <row r="104" spans="1:26" x14ac:dyDescent="0.35">
      <c r="A104" t="s">
        <v>31</v>
      </c>
      <c r="B104" t="s">
        <v>193</v>
      </c>
      <c r="C104" t="s">
        <v>19</v>
      </c>
      <c r="D104">
        <v>1463</v>
      </c>
      <c r="E104" t="s">
        <v>15</v>
      </c>
      <c r="F104" t="s">
        <v>194</v>
      </c>
      <c r="G104">
        <v>15641.4</v>
      </c>
      <c r="H104">
        <v>187696.8</v>
      </c>
      <c r="I104" s="2">
        <f>tblRentRoll[[#This Row],[Monthly_Rent_EUR]]*12</f>
        <v>187696.8</v>
      </c>
      <c r="J104" s="2" t="str">
        <f>IF(tblRentRoll[[#This Row],[Annual_Rent_EUR]]&lt;&gt;tblRentRoll[[#This Row],[Jahresrente_EUR]], "FALSCH", "")</f>
        <v/>
      </c>
      <c r="K104" s="1">
        <v>45141</v>
      </c>
      <c r="L104" s="1">
        <v>45376</v>
      </c>
      <c r="M104">
        <v>3725.54</v>
      </c>
      <c r="N104">
        <v>2016.14</v>
      </c>
      <c r="O10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4" t="str">
        <f>IF(tblRentRoll[[#This Row],[Area_sqm]]&lt;=0,"Area&lt;=0","")</f>
        <v/>
      </c>
      <c r="Q104" t="str">
        <f>IF(tblRentRoll[[#This Row],[Monthly_Rent_EUR]]&lt;=0,"Rent&lt;=0","")</f>
        <v/>
      </c>
      <c r="R104">
        <f>IF(AND(tblRentRoll[[#This Row],[Status]]="Occupied", tblRentRoll[[#This Row],[Area_sqm]]&gt;0), tblRentRoll[[#This Row],[Annual_Rent_EUR]]/tblRentRoll[[#This Row],[Area_sqm]],"")</f>
        <v>128.29583048530415</v>
      </c>
      <c r="S104">
        <f>tblRentRoll[[#This Row],[Service_Charge_EUR]]+tblRentRoll[[#This Row],[Operating_Cost_EUR]]</f>
        <v>5741.68</v>
      </c>
      <c r="T104">
        <f>IF(tblRentRoll[[#This Row],[Annual_Rent_EUR]]&lt;&gt;0,tblRentRoll[[#This Row],[Annual_Rent_EUR]]-tblRentRoll[[#This Row],[Operating_Cost_EUR]], "")</f>
        <v>185680.65999999997</v>
      </c>
      <c r="U104">
        <f ca="1">IF(AND(tblRentRoll[[#This Row],[Status]]="Occupied",tblRentRoll[[#This Row],[Lease_End]]&gt;=TODAY()),DATEDIF(TODAY(),tblRentRoll[[#This Row],[Lease_End]],"m"), 0)</f>
        <v>0</v>
      </c>
      <c r="V104" t="str">
        <f ca="1">IF(tblRentRoll[[#This Row],[Status]]&lt;&gt;"Occupied","", IF(tblRentRoll[[#This Row],[Month_to_Expiry]]&lt;=3, "0-3 Monaten",  IF(tblRentRoll[[#This Row],[Month_to_Expiry]]&lt;=6, "3-6 Monaten", IF(tblRentRoll[[#This Row],[Month_to_Expiry]]&lt;=12,"6-12 Monaten", IF(tblRentRoll[[#This Row],[Month_to_Expiry]]&gt;=12, "12 M+",)))))</f>
        <v>0-3 Monaten</v>
      </c>
      <c r="W104">
        <f>IF(tblRentRoll[[#This Row],[Status]]="Vacant", tblRentRoll[[#This Row],[Area_sqm]],0)</f>
        <v>0</v>
      </c>
      <c r="X104" s="3">
        <f>IF(tblRentRoll[[#This Row],[Status]]="Occupied", tblRentRoll[[#This Row],[Area_sqm]],0)</f>
        <v>1463</v>
      </c>
      <c r="Y104" s="3">
        <f ca="1">tblRentRoll[[#This Row],[Month_to_Expiry]]/12*tblRentRoll[[#This Row],[Annual_Rent_EUR]]</f>
        <v>0</v>
      </c>
      <c r="Z104" s="3"/>
    </row>
    <row r="105" spans="1:26" x14ac:dyDescent="0.35">
      <c r="A105" t="s">
        <v>27</v>
      </c>
      <c r="B105" t="s">
        <v>195</v>
      </c>
      <c r="C105" t="s">
        <v>33</v>
      </c>
      <c r="D105">
        <v>1130</v>
      </c>
      <c r="E105" t="s">
        <v>15</v>
      </c>
      <c r="F105" t="s">
        <v>196</v>
      </c>
      <c r="G105">
        <v>15994.59</v>
      </c>
      <c r="H105">
        <v>191935.08</v>
      </c>
      <c r="I105" s="2">
        <f>tblRentRoll[[#This Row],[Monthly_Rent_EUR]]*12</f>
        <v>191935.08000000002</v>
      </c>
      <c r="J105" s="2" t="str">
        <f>IF(tblRentRoll[[#This Row],[Annual_Rent_EUR]]&lt;&gt;tblRentRoll[[#This Row],[Jahresrente_EUR]], "FALSCH", "")</f>
        <v/>
      </c>
      <c r="K105" s="1">
        <v>45118</v>
      </c>
      <c r="L105" s="1">
        <v>45373</v>
      </c>
      <c r="M105">
        <v>1937.67</v>
      </c>
      <c r="N105">
        <v>634.20000000000005</v>
      </c>
      <c r="O10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5" t="str">
        <f>IF(tblRentRoll[[#This Row],[Area_sqm]]&lt;=0,"Area&lt;=0","")</f>
        <v/>
      </c>
      <c r="Q105" t="str">
        <f>IF(tblRentRoll[[#This Row],[Monthly_Rent_EUR]]&lt;=0,"Rent&lt;=0","")</f>
        <v/>
      </c>
      <c r="R105">
        <f>IF(AND(tblRentRoll[[#This Row],[Status]]="Occupied", tblRentRoll[[#This Row],[Area_sqm]]&gt;0), tblRentRoll[[#This Row],[Annual_Rent_EUR]]/tblRentRoll[[#This Row],[Area_sqm]],"")</f>
        <v>169.85405309734512</v>
      </c>
      <c r="S105">
        <f>tblRentRoll[[#This Row],[Service_Charge_EUR]]+tblRentRoll[[#This Row],[Operating_Cost_EUR]]</f>
        <v>2571.87</v>
      </c>
      <c r="T105">
        <f>IF(tblRentRoll[[#This Row],[Annual_Rent_EUR]]&lt;&gt;0,tblRentRoll[[#This Row],[Annual_Rent_EUR]]-tblRentRoll[[#This Row],[Operating_Cost_EUR]], "")</f>
        <v>191300.87999999998</v>
      </c>
      <c r="U105">
        <f ca="1">IF(AND(tblRentRoll[[#This Row],[Status]]="Occupied",tblRentRoll[[#This Row],[Lease_End]]&gt;=TODAY()),DATEDIF(TODAY(),tblRentRoll[[#This Row],[Lease_End]],"m"), 0)</f>
        <v>0</v>
      </c>
      <c r="V105" t="str">
        <f ca="1">IF(tblRentRoll[[#This Row],[Status]]&lt;&gt;"Occupied","", IF(tblRentRoll[[#This Row],[Month_to_Expiry]]&lt;=3, "0-3 Monaten",  IF(tblRentRoll[[#This Row],[Month_to_Expiry]]&lt;=6, "3-6 Monaten", IF(tblRentRoll[[#This Row],[Month_to_Expiry]]&lt;=12,"6-12 Monaten", IF(tblRentRoll[[#This Row],[Month_to_Expiry]]&gt;=12, "12 M+",)))))</f>
        <v>0-3 Monaten</v>
      </c>
      <c r="W105">
        <f>IF(tblRentRoll[[#This Row],[Status]]="Vacant", tblRentRoll[[#This Row],[Area_sqm]],0)</f>
        <v>0</v>
      </c>
      <c r="X105" s="3">
        <f>IF(tblRentRoll[[#This Row],[Status]]="Occupied", tblRentRoll[[#This Row],[Area_sqm]],0)</f>
        <v>1130</v>
      </c>
      <c r="Y105" s="3">
        <f ca="1">tblRentRoll[[#This Row],[Month_to_Expiry]]/12*tblRentRoll[[#This Row],[Annual_Rent_EUR]]</f>
        <v>0</v>
      </c>
      <c r="Z105" s="3"/>
    </row>
    <row r="106" spans="1:26" x14ac:dyDescent="0.35">
      <c r="A106" t="s">
        <v>24</v>
      </c>
      <c r="B106" t="s">
        <v>197</v>
      </c>
      <c r="C106" t="s">
        <v>29</v>
      </c>
      <c r="D106">
        <v>801</v>
      </c>
      <c r="E106" t="s">
        <v>15</v>
      </c>
      <c r="F106" t="s">
        <v>192</v>
      </c>
      <c r="G106">
        <v>11553.99</v>
      </c>
      <c r="H106">
        <v>138647.88</v>
      </c>
      <c r="I106" s="2">
        <f>tblRentRoll[[#This Row],[Monthly_Rent_EUR]]*12</f>
        <v>138647.88</v>
      </c>
      <c r="J106" s="2" t="str">
        <f>IF(tblRentRoll[[#This Row],[Annual_Rent_EUR]]&lt;&gt;tblRentRoll[[#This Row],[Jahresrente_EUR]], "FALSCH", "")</f>
        <v/>
      </c>
      <c r="K106" s="1">
        <v>44869</v>
      </c>
      <c r="L106" s="1">
        <v>45167</v>
      </c>
      <c r="M106">
        <v>2135.1799999999998</v>
      </c>
      <c r="N106">
        <v>1156.3800000000001</v>
      </c>
      <c r="O10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6" t="str">
        <f>IF(tblRentRoll[[#This Row],[Area_sqm]]&lt;=0,"Area&lt;=0","")</f>
        <v/>
      </c>
      <c r="Q106" t="str">
        <f>IF(tblRentRoll[[#This Row],[Monthly_Rent_EUR]]&lt;=0,"Rent&lt;=0","")</f>
        <v/>
      </c>
      <c r="R106">
        <f>IF(AND(tblRentRoll[[#This Row],[Status]]="Occupied", tblRentRoll[[#This Row],[Area_sqm]]&gt;0), tblRentRoll[[#This Row],[Annual_Rent_EUR]]/tblRentRoll[[#This Row],[Area_sqm]],"")</f>
        <v>173.09348314606743</v>
      </c>
      <c r="S106">
        <f>tblRentRoll[[#This Row],[Service_Charge_EUR]]+tblRentRoll[[#This Row],[Operating_Cost_EUR]]</f>
        <v>3291.56</v>
      </c>
      <c r="T106">
        <f>IF(tblRentRoll[[#This Row],[Annual_Rent_EUR]]&lt;&gt;0,tblRentRoll[[#This Row],[Annual_Rent_EUR]]-tblRentRoll[[#This Row],[Operating_Cost_EUR]], "")</f>
        <v>137491.5</v>
      </c>
      <c r="U106">
        <f ca="1">IF(AND(tblRentRoll[[#This Row],[Status]]="Occupied",tblRentRoll[[#This Row],[Lease_End]]&gt;=TODAY()),DATEDIF(TODAY(),tblRentRoll[[#This Row],[Lease_End]],"m"), 0)</f>
        <v>0</v>
      </c>
      <c r="V106" t="str">
        <f ca="1">IF(tblRentRoll[[#This Row],[Status]]&lt;&gt;"Occupied","", IF(tblRentRoll[[#This Row],[Month_to_Expiry]]&lt;=3, "0-3 Monaten",  IF(tblRentRoll[[#This Row],[Month_to_Expiry]]&lt;=6, "3-6 Monaten", IF(tblRentRoll[[#This Row],[Month_to_Expiry]]&lt;=12,"6-12 Monaten", IF(tblRentRoll[[#This Row],[Month_to_Expiry]]&gt;=12, "12 M+",)))))</f>
        <v>0-3 Monaten</v>
      </c>
      <c r="W106">
        <f>IF(tblRentRoll[[#This Row],[Status]]="Vacant", tblRentRoll[[#This Row],[Area_sqm]],0)</f>
        <v>0</v>
      </c>
      <c r="X106" s="3">
        <f>IF(tblRentRoll[[#This Row],[Status]]="Occupied", tblRentRoll[[#This Row],[Area_sqm]],0)</f>
        <v>801</v>
      </c>
      <c r="Y106" s="3">
        <f ca="1">tblRentRoll[[#This Row],[Month_to_Expiry]]/12*tblRentRoll[[#This Row],[Annual_Rent_EUR]]</f>
        <v>0</v>
      </c>
      <c r="Z106" s="3"/>
    </row>
    <row r="107" spans="1:26" x14ac:dyDescent="0.35">
      <c r="A107" t="s">
        <v>24</v>
      </c>
      <c r="B107" t="s">
        <v>198</v>
      </c>
      <c r="C107" t="s">
        <v>29</v>
      </c>
      <c r="D107">
        <v>97</v>
      </c>
      <c r="E107" t="s">
        <v>15</v>
      </c>
      <c r="F107" t="s">
        <v>199</v>
      </c>
      <c r="G107">
        <v>894.59</v>
      </c>
      <c r="H107">
        <v>10735.08</v>
      </c>
      <c r="I107" s="2">
        <f>tblRentRoll[[#This Row],[Monthly_Rent_EUR]]*12</f>
        <v>10735.08</v>
      </c>
      <c r="J107" s="2" t="str">
        <f>IF(tblRentRoll[[#This Row],[Annual_Rent_EUR]]&lt;&gt;tblRentRoll[[#This Row],[Jahresrente_EUR]], "FALSCH", "")</f>
        <v/>
      </c>
      <c r="K107" s="1">
        <v>44545</v>
      </c>
      <c r="L107" s="1">
        <v>45426</v>
      </c>
      <c r="M107">
        <v>109.14</v>
      </c>
      <c r="N107">
        <v>80.010000000000005</v>
      </c>
      <c r="O10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7" t="str">
        <f>IF(tblRentRoll[[#This Row],[Area_sqm]]&lt;=0,"Area&lt;=0","")</f>
        <v/>
      </c>
      <c r="Q107" t="str">
        <f>IF(tblRentRoll[[#This Row],[Monthly_Rent_EUR]]&lt;=0,"Rent&lt;=0","")</f>
        <v/>
      </c>
      <c r="R107">
        <f>IF(AND(tblRentRoll[[#This Row],[Status]]="Occupied", tblRentRoll[[#This Row],[Area_sqm]]&gt;0), tblRentRoll[[#This Row],[Annual_Rent_EUR]]/tblRentRoll[[#This Row],[Area_sqm]],"")</f>
        <v>110.67092783505154</v>
      </c>
      <c r="S107">
        <f>tblRentRoll[[#This Row],[Service_Charge_EUR]]+tblRentRoll[[#This Row],[Operating_Cost_EUR]]</f>
        <v>189.15</v>
      </c>
      <c r="T107">
        <f>IF(tblRentRoll[[#This Row],[Annual_Rent_EUR]]&lt;&gt;0,tblRentRoll[[#This Row],[Annual_Rent_EUR]]-tblRentRoll[[#This Row],[Operating_Cost_EUR]], "")</f>
        <v>10655.07</v>
      </c>
      <c r="U107">
        <f ca="1">IF(AND(tblRentRoll[[#This Row],[Status]]="Occupied",tblRentRoll[[#This Row],[Lease_End]]&gt;=TODAY()),DATEDIF(TODAY(),tblRentRoll[[#This Row],[Lease_End]],"m"), 0)</f>
        <v>0</v>
      </c>
      <c r="V107" t="str">
        <f ca="1">IF(tblRentRoll[[#This Row],[Status]]&lt;&gt;"Occupied","", IF(tblRentRoll[[#This Row],[Month_to_Expiry]]&lt;=3, "0-3 Monaten",  IF(tblRentRoll[[#This Row],[Month_to_Expiry]]&lt;=6, "3-6 Monaten", IF(tblRentRoll[[#This Row],[Month_to_Expiry]]&lt;=12,"6-12 Monaten", IF(tblRentRoll[[#This Row],[Month_to_Expiry]]&gt;=12, "12 M+",)))))</f>
        <v>0-3 Monaten</v>
      </c>
      <c r="W107">
        <f>IF(tblRentRoll[[#This Row],[Status]]="Vacant", tblRentRoll[[#This Row],[Area_sqm]],0)</f>
        <v>0</v>
      </c>
      <c r="X107" s="3">
        <f>IF(tblRentRoll[[#This Row],[Status]]="Occupied", tblRentRoll[[#This Row],[Area_sqm]],0)</f>
        <v>97</v>
      </c>
      <c r="Y107" s="3">
        <f ca="1">tblRentRoll[[#This Row],[Month_to_Expiry]]/12*tblRentRoll[[#This Row],[Annual_Rent_EUR]]</f>
        <v>0</v>
      </c>
      <c r="Z107" s="3"/>
    </row>
    <row r="108" spans="1:26" x14ac:dyDescent="0.35">
      <c r="A108" t="s">
        <v>17</v>
      </c>
      <c r="B108" t="s">
        <v>200</v>
      </c>
      <c r="C108" t="s">
        <v>14</v>
      </c>
      <c r="D108">
        <v>386</v>
      </c>
      <c r="E108" t="s">
        <v>15</v>
      </c>
      <c r="F108" t="s">
        <v>201</v>
      </c>
      <c r="G108">
        <v>3481.61</v>
      </c>
      <c r="H108">
        <v>41779.32</v>
      </c>
      <c r="I108" s="2">
        <f>tblRentRoll[[#This Row],[Monthly_Rent_EUR]]*12</f>
        <v>41779.32</v>
      </c>
      <c r="J108" s="2" t="str">
        <f>IF(tblRentRoll[[#This Row],[Annual_Rent_EUR]]&lt;&gt;tblRentRoll[[#This Row],[Jahresrente_EUR]], "FALSCH", "")</f>
        <v/>
      </c>
      <c r="K108" s="1">
        <v>44664</v>
      </c>
      <c r="L108" s="1">
        <v>45214</v>
      </c>
      <c r="M108">
        <v>855.32</v>
      </c>
      <c r="N108">
        <v>736.23</v>
      </c>
      <c r="O10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8" t="str">
        <f>IF(tblRentRoll[[#This Row],[Area_sqm]]&lt;=0,"Area&lt;=0","")</f>
        <v/>
      </c>
      <c r="Q108" t="str">
        <f>IF(tblRentRoll[[#This Row],[Monthly_Rent_EUR]]&lt;=0,"Rent&lt;=0","")</f>
        <v/>
      </c>
      <c r="R108">
        <f>IF(AND(tblRentRoll[[#This Row],[Status]]="Occupied", tblRentRoll[[#This Row],[Area_sqm]]&gt;0), tblRentRoll[[#This Row],[Annual_Rent_EUR]]/tblRentRoll[[#This Row],[Area_sqm]],"")</f>
        <v>108.23658031088083</v>
      </c>
      <c r="S108">
        <f>tblRentRoll[[#This Row],[Service_Charge_EUR]]+tblRentRoll[[#This Row],[Operating_Cost_EUR]]</f>
        <v>1591.5500000000002</v>
      </c>
      <c r="T108">
        <f>IF(tblRentRoll[[#This Row],[Annual_Rent_EUR]]&lt;&gt;0,tblRentRoll[[#This Row],[Annual_Rent_EUR]]-tblRentRoll[[#This Row],[Operating_Cost_EUR]], "")</f>
        <v>41043.089999999997</v>
      </c>
      <c r="U108">
        <f ca="1">IF(AND(tblRentRoll[[#This Row],[Status]]="Occupied",tblRentRoll[[#This Row],[Lease_End]]&gt;=TODAY()),DATEDIF(TODAY(),tblRentRoll[[#This Row],[Lease_End]],"m"), 0)</f>
        <v>0</v>
      </c>
      <c r="V108" t="str">
        <f ca="1">IF(tblRentRoll[[#This Row],[Status]]&lt;&gt;"Occupied","", IF(tblRentRoll[[#This Row],[Month_to_Expiry]]&lt;=3, "0-3 Monaten",  IF(tblRentRoll[[#This Row],[Month_to_Expiry]]&lt;=6, "3-6 Monaten", IF(tblRentRoll[[#This Row],[Month_to_Expiry]]&lt;=12,"6-12 Monaten", IF(tblRentRoll[[#This Row],[Month_to_Expiry]]&gt;=12, "12 M+",)))))</f>
        <v>0-3 Monaten</v>
      </c>
      <c r="W108">
        <f>IF(tblRentRoll[[#This Row],[Status]]="Vacant", tblRentRoll[[#This Row],[Area_sqm]],0)</f>
        <v>0</v>
      </c>
      <c r="X108" s="3">
        <f>IF(tblRentRoll[[#This Row],[Status]]="Occupied", tblRentRoll[[#This Row],[Area_sqm]],0)</f>
        <v>386</v>
      </c>
      <c r="Y108" s="3">
        <f ca="1">tblRentRoll[[#This Row],[Month_to_Expiry]]/12*tblRentRoll[[#This Row],[Annual_Rent_EUR]]</f>
        <v>0</v>
      </c>
      <c r="Z108" s="3"/>
    </row>
    <row r="109" spans="1:26" x14ac:dyDescent="0.35">
      <c r="A109" t="s">
        <v>27</v>
      </c>
      <c r="B109" t="s">
        <v>202</v>
      </c>
      <c r="C109" t="s">
        <v>14</v>
      </c>
      <c r="D109">
        <v>345</v>
      </c>
      <c r="E109" t="s">
        <v>20</v>
      </c>
      <c r="G109">
        <v>0</v>
      </c>
      <c r="H109">
        <v>0</v>
      </c>
      <c r="I109" s="2">
        <f>tblRentRoll[[#This Row],[Monthly_Rent_EUR]]*12</f>
        <v>0</v>
      </c>
      <c r="J109" s="2" t="str">
        <f>IF(tblRentRoll[[#This Row],[Annual_Rent_EUR]]&lt;&gt;tblRentRoll[[#This Row],[Jahresrente_EUR]], "FALSCH", "")</f>
        <v/>
      </c>
      <c r="M109">
        <v>765.65</v>
      </c>
      <c r="N109">
        <v>199.2</v>
      </c>
      <c r="O10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09" t="str">
        <f>IF(tblRentRoll[[#This Row],[Area_sqm]]&lt;=0,"Area&lt;=0","")</f>
        <v/>
      </c>
      <c r="Q109" t="str">
        <f>IF(tblRentRoll[[#This Row],[Monthly_Rent_EUR]]&lt;=0,"Rent&lt;=0","")</f>
        <v>Rent&lt;=0</v>
      </c>
      <c r="R109" t="str">
        <f>IF(AND(tblRentRoll[[#This Row],[Status]]="Occupied", tblRentRoll[[#This Row],[Area_sqm]]&gt;0), tblRentRoll[[#This Row],[Annual_Rent_EUR]]/tblRentRoll[[#This Row],[Area_sqm]],"")</f>
        <v/>
      </c>
      <c r="S109">
        <f>tblRentRoll[[#This Row],[Service_Charge_EUR]]+tblRentRoll[[#This Row],[Operating_Cost_EUR]]</f>
        <v>964.84999999999991</v>
      </c>
      <c r="T109" t="str">
        <f>IF(tblRentRoll[[#This Row],[Annual_Rent_EUR]]&lt;&gt;0,tblRentRoll[[#This Row],[Annual_Rent_EUR]]-tblRentRoll[[#This Row],[Operating_Cost_EUR]], "")</f>
        <v/>
      </c>
      <c r="U109">
        <f ca="1">IF(AND(tblRentRoll[[#This Row],[Status]]="Occupied",tblRentRoll[[#This Row],[Lease_End]]&gt;=TODAY()),DATEDIF(TODAY(),tblRentRoll[[#This Row],[Lease_End]],"m"), 0)</f>
        <v>0</v>
      </c>
      <c r="V109" t="str">
        <f>IF(tblRentRoll[[#This Row],[Status]]&lt;&gt;"Occupied","", IF(tblRentRoll[[#This Row],[Month_to_Expiry]]&lt;=3, "0-3 Monaten",  IF(tblRentRoll[[#This Row],[Month_to_Expiry]]&lt;=6, "3-6 Monaten", IF(tblRentRoll[[#This Row],[Month_to_Expiry]]&lt;=12,"6-12 Monaten", IF(tblRentRoll[[#This Row],[Month_to_Expiry]]&gt;=12, "12 M+",)))))</f>
        <v/>
      </c>
      <c r="W109">
        <f>IF(tblRentRoll[[#This Row],[Status]]="Vacant", tblRentRoll[[#This Row],[Area_sqm]],0)</f>
        <v>345</v>
      </c>
      <c r="X109" s="3">
        <f>IF(tblRentRoll[[#This Row],[Status]]="Occupied", tblRentRoll[[#This Row],[Area_sqm]],0)</f>
        <v>0</v>
      </c>
      <c r="Y109" s="3">
        <f ca="1">tblRentRoll[[#This Row],[Month_to_Expiry]]/12*tblRentRoll[[#This Row],[Annual_Rent_EUR]]</f>
        <v>0</v>
      </c>
      <c r="Z109" s="3"/>
    </row>
    <row r="110" spans="1:26" x14ac:dyDescent="0.35">
      <c r="A110" t="s">
        <v>44</v>
      </c>
      <c r="B110" t="s">
        <v>203</v>
      </c>
      <c r="C110" t="s">
        <v>33</v>
      </c>
      <c r="D110">
        <v>59</v>
      </c>
      <c r="E110" t="s">
        <v>15</v>
      </c>
      <c r="F110" t="s">
        <v>204</v>
      </c>
      <c r="G110">
        <v>977.51</v>
      </c>
      <c r="H110">
        <v>11730.12</v>
      </c>
      <c r="I110" s="2">
        <f>tblRentRoll[[#This Row],[Monthly_Rent_EUR]]*12</f>
        <v>11730.119999999999</v>
      </c>
      <c r="J110" s="2" t="str">
        <f>IF(tblRentRoll[[#This Row],[Annual_Rent_EUR]]&lt;&gt;tblRentRoll[[#This Row],[Jahresrente_EUR]], "FALSCH", "")</f>
        <v/>
      </c>
      <c r="K110" s="1">
        <v>44704</v>
      </c>
      <c r="L110" s="1">
        <v>45029</v>
      </c>
      <c r="M110">
        <v>86.67</v>
      </c>
      <c r="N110">
        <v>109.31</v>
      </c>
      <c r="O11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0" t="str">
        <f>IF(tblRentRoll[[#This Row],[Area_sqm]]&lt;=0,"Area&lt;=0","")</f>
        <v/>
      </c>
      <c r="Q110" t="str">
        <f>IF(tblRentRoll[[#This Row],[Monthly_Rent_EUR]]&lt;=0,"Rent&lt;=0","")</f>
        <v/>
      </c>
      <c r="R110">
        <f>IF(AND(tblRentRoll[[#This Row],[Status]]="Occupied", tblRentRoll[[#This Row],[Area_sqm]]&gt;0), tblRentRoll[[#This Row],[Annual_Rent_EUR]]/tblRentRoll[[#This Row],[Area_sqm]],"")</f>
        <v>198.815593220339</v>
      </c>
      <c r="S110">
        <f>tblRentRoll[[#This Row],[Service_Charge_EUR]]+tblRentRoll[[#This Row],[Operating_Cost_EUR]]</f>
        <v>195.98000000000002</v>
      </c>
      <c r="T110">
        <f>IF(tblRentRoll[[#This Row],[Annual_Rent_EUR]]&lt;&gt;0,tblRentRoll[[#This Row],[Annual_Rent_EUR]]-tblRentRoll[[#This Row],[Operating_Cost_EUR]], "")</f>
        <v>11620.810000000001</v>
      </c>
      <c r="U110">
        <f ca="1">IF(AND(tblRentRoll[[#This Row],[Status]]="Occupied",tblRentRoll[[#This Row],[Lease_End]]&gt;=TODAY()),DATEDIF(TODAY(),tblRentRoll[[#This Row],[Lease_End]],"m"), 0)</f>
        <v>0</v>
      </c>
      <c r="V110" t="str">
        <f ca="1">IF(tblRentRoll[[#This Row],[Status]]&lt;&gt;"Occupied","", IF(tblRentRoll[[#This Row],[Month_to_Expiry]]&lt;=3, "0-3 Monaten",  IF(tblRentRoll[[#This Row],[Month_to_Expiry]]&lt;=6, "3-6 Monaten", IF(tblRentRoll[[#This Row],[Month_to_Expiry]]&lt;=12,"6-12 Monaten", IF(tblRentRoll[[#This Row],[Month_to_Expiry]]&gt;=12, "12 M+",)))))</f>
        <v>0-3 Monaten</v>
      </c>
      <c r="W110">
        <f>IF(tblRentRoll[[#This Row],[Status]]="Vacant", tblRentRoll[[#This Row],[Area_sqm]],0)</f>
        <v>0</v>
      </c>
      <c r="X110" s="3">
        <f>IF(tblRentRoll[[#This Row],[Status]]="Occupied", tblRentRoll[[#This Row],[Area_sqm]],0)</f>
        <v>59</v>
      </c>
      <c r="Y110" s="3">
        <f ca="1">tblRentRoll[[#This Row],[Month_to_Expiry]]/12*tblRentRoll[[#This Row],[Annual_Rent_EUR]]</f>
        <v>0</v>
      </c>
      <c r="Z110" s="3"/>
    </row>
    <row r="111" spans="1:26" x14ac:dyDescent="0.35">
      <c r="A111" t="s">
        <v>27</v>
      </c>
      <c r="B111" t="s">
        <v>205</v>
      </c>
      <c r="C111" t="s">
        <v>19</v>
      </c>
      <c r="D111">
        <v>1465</v>
      </c>
      <c r="E111" t="s">
        <v>15</v>
      </c>
      <c r="F111" t="s">
        <v>122</v>
      </c>
      <c r="G111">
        <v>16343.52</v>
      </c>
      <c r="H111">
        <v>196122.23999999999</v>
      </c>
      <c r="I111" s="2">
        <f>tblRentRoll[[#This Row],[Monthly_Rent_EUR]]*12</f>
        <v>196122.23999999999</v>
      </c>
      <c r="J111" s="2" t="str">
        <f>IF(tblRentRoll[[#This Row],[Annual_Rent_EUR]]&lt;&gt;tblRentRoll[[#This Row],[Jahresrente_EUR]], "FALSCH", "")</f>
        <v/>
      </c>
      <c r="K111" s="1">
        <v>44578</v>
      </c>
      <c r="L111" s="1">
        <v>45092</v>
      </c>
      <c r="M111">
        <v>3125.12</v>
      </c>
      <c r="N111">
        <v>1682.43</v>
      </c>
      <c r="O11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1" t="str">
        <f>IF(tblRentRoll[[#This Row],[Area_sqm]]&lt;=0,"Area&lt;=0","")</f>
        <v/>
      </c>
      <c r="Q111" t="str">
        <f>IF(tblRentRoll[[#This Row],[Monthly_Rent_EUR]]&lt;=0,"Rent&lt;=0","")</f>
        <v/>
      </c>
      <c r="R111">
        <f>IF(AND(tblRentRoll[[#This Row],[Status]]="Occupied", tblRentRoll[[#This Row],[Area_sqm]]&gt;0), tblRentRoll[[#This Row],[Annual_Rent_EUR]]/tblRentRoll[[#This Row],[Area_sqm]],"")</f>
        <v>133.87183617747439</v>
      </c>
      <c r="S111">
        <f>tblRentRoll[[#This Row],[Service_Charge_EUR]]+tblRentRoll[[#This Row],[Operating_Cost_EUR]]</f>
        <v>4807.55</v>
      </c>
      <c r="T111">
        <f>IF(tblRentRoll[[#This Row],[Annual_Rent_EUR]]&lt;&gt;0,tblRentRoll[[#This Row],[Annual_Rent_EUR]]-tblRentRoll[[#This Row],[Operating_Cost_EUR]], "")</f>
        <v>194439.81</v>
      </c>
      <c r="U111">
        <f ca="1">IF(AND(tblRentRoll[[#This Row],[Status]]="Occupied",tblRentRoll[[#This Row],[Lease_End]]&gt;=TODAY()),DATEDIF(TODAY(),tblRentRoll[[#This Row],[Lease_End]],"m"), 0)</f>
        <v>0</v>
      </c>
      <c r="V111" t="str">
        <f ca="1">IF(tblRentRoll[[#This Row],[Status]]&lt;&gt;"Occupied","", IF(tblRentRoll[[#This Row],[Month_to_Expiry]]&lt;=3, "0-3 Monaten",  IF(tblRentRoll[[#This Row],[Month_to_Expiry]]&lt;=6, "3-6 Monaten", IF(tblRentRoll[[#This Row],[Month_to_Expiry]]&lt;=12,"6-12 Monaten", IF(tblRentRoll[[#This Row],[Month_to_Expiry]]&gt;=12, "12 M+",)))))</f>
        <v>0-3 Monaten</v>
      </c>
      <c r="W111">
        <f>IF(tblRentRoll[[#This Row],[Status]]="Vacant", tblRentRoll[[#This Row],[Area_sqm]],0)</f>
        <v>0</v>
      </c>
      <c r="X111" s="3">
        <f>IF(tblRentRoll[[#This Row],[Status]]="Occupied", tblRentRoll[[#This Row],[Area_sqm]],0)</f>
        <v>1465</v>
      </c>
      <c r="Y111" s="3">
        <f ca="1">tblRentRoll[[#This Row],[Month_to_Expiry]]/12*tblRentRoll[[#This Row],[Annual_Rent_EUR]]</f>
        <v>0</v>
      </c>
      <c r="Z111" s="3"/>
    </row>
    <row r="112" spans="1:26" x14ac:dyDescent="0.35">
      <c r="A112" t="s">
        <v>27</v>
      </c>
      <c r="B112" t="s">
        <v>206</v>
      </c>
      <c r="C112" t="s">
        <v>14</v>
      </c>
      <c r="D112">
        <v>1233</v>
      </c>
      <c r="E112" t="s">
        <v>15</v>
      </c>
      <c r="F112" t="s">
        <v>100</v>
      </c>
      <c r="G112">
        <v>9133.7800000000007</v>
      </c>
      <c r="H112">
        <v>109605.36</v>
      </c>
      <c r="I112" s="2">
        <f>tblRentRoll[[#This Row],[Monthly_Rent_EUR]]*12</f>
        <v>109605.36000000002</v>
      </c>
      <c r="J112" s="2" t="str">
        <f>IF(tblRentRoll[[#This Row],[Annual_Rent_EUR]]&lt;&gt;tblRentRoll[[#This Row],[Jahresrente_EUR]], "FALSCH", "")</f>
        <v/>
      </c>
      <c r="K112" s="1">
        <v>44714</v>
      </c>
      <c r="L112" s="1">
        <v>45051</v>
      </c>
      <c r="M112">
        <v>3572.99</v>
      </c>
      <c r="N112">
        <v>2834.51</v>
      </c>
      <c r="O11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2" t="str">
        <f>IF(tblRentRoll[[#This Row],[Area_sqm]]&lt;=0,"Area&lt;=0","")</f>
        <v/>
      </c>
      <c r="Q112" t="str">
        <f>IF(tblRentRoll[[#This Row],[Monthly_Rent_EUR]]&lt;=0,"Rent&lt;=0","")</f>
        <v/>
      </c>
      <c r="R112">
        <f>IF(AND(tblRentRoll[[#This Row],[Status]]="Occupied", tblRentRoll[[#This Row],[Area_sqm]]&gt;0), tblRentRoll[[#This Row],[Annual_Rent_EUR]]/tblRentRoll[[#This Row],[Area_sqm]],"")</f>
        <v>88.893236009732362</v>
      </c>
      <c r="S112">
        <f>tblRentRoll[[#This Row],[Service_Charge_EUR]]+tblRentRoll[[#This Row],[Operating_Cost_EUR]]</f>
        <v>6407.5</v>
      </c>
      <c r="T112">
        <f>IF(tblRentRoll[[#This Row],[Annual_Rent_EUR]]&lt;&gt;0,tblRentRoll[[#This Row],[Annual_Rent_EUR]]-tblRentRoll[[#This Row],[Operating_Cost_EUR]], "")</f>
        <v>106770.85</v>
      </c>
      <c r="U112">
        <f ca="1">IF(AND(tblRentRoll[[#This Row],[Status]]="Occupied",tblRentRoll[[#This Row],[Lease_End]]&gt;=TODAY()),DATEDIF(TODAY(),tblRentRoll[[#This Row],[Lease_End]],"m"), 0)</f>
        <v>0</v>
      </c>
      <c r="V112" t="str">
        <f ca="1">IF(tblRentRoll[[#This Row],[Status]]&lt;&gt;"Occupied","", IF(tblRentRoll[[#This Row],[Month_to_Expiry]]&lt;=3, "0-3 Monaten",  IF(tblRentRoll[[#This Row],[Month_to_Expiry]]&lt;=6, "3-6 Monaten", IF(tblRentRoll[[#This Row],[Month_to_Expiry]]&lt;=12,"6-12 Monaten", IF(tblRentRoll[[#This Row],[Month_to_Expiry]]&gt;=12, "12 M+",)))))</f>
        <v>0-3 Monaten</v>
      </c>
      <c r="W112">
        <f>IF(tblRentRoll[[#This Row],[Status]]="Vacant", tblRentRoll[[#This Row],[Area_sqm]],0)</f>
        <v>0</v>
      </c>
      <c r="X112" s="3">
        <f>IF(tblRentRoll[[#This Row],[Status]]="Occupied", tblRentRoll[[#This Row],[Area_sqm]],0)</f>
        <v>1233</v>
      </c>
      <c r="Y112" s="3">
        <f ca="1">tblRentRoll[[#This Row],[Month_to_Expiry]]/12*tblRentRoll[[#This Row],[Annual_Rent_EUR]]</f>
        <v>0</v>
      </c>
      <c r="Z112" s="3"/>
    </row>
    <row r="113" spans="1:26" x14ac:dyDescent="0.35">
      <c r="A113" t="s">
        <v>27</v>
      </c>
      <c r="B113" t="s">
        <v>207</v>
      </c>
      <c r="C113" t="s">
        <v>33</v>
      </c>
      <c r="D113">
        <v>465</v>
      </c>
      <c r="E113" t="s">
        <v>15</v>
      </c>
      <c r="F113" t="s">
        <v>208</v>
      </c>
      <c r="G113">
        <v>6922.64</v>
      </c>
      <c r="H113">
        <v>83071.679999999993</v>
      </c>
      <c r="I113" s="2">
        <f>tblRentRoll[[#This Row],[Monthly_Rent_EUR]]*12</f>
        <v>83071.680000000008</v>
      </c>
      <c r="J113" s="2" t="str">
        <f>IF(tblRentRoll[[#This Row],[Annual_Rent_EUR]]&lt;&gt;tblRentRoll[[#This Row],[Jahresrente_EUR]], "FALSCH", "")</f>
        <v/>
      </c>
      <c r="K113" s="1">
        <v>45153</v>
      </c>
      <c r="L113" s="1">
        <v>46044</v>
      </c>
      <c r="M113">
        <v>489.24</v>
      </c>
      <c r="N113">
        <v>991.64</v>
      </c>
      <c r="O11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3" t="str">
        <f>IF(tblRentRoll[[#This Row],[Area_sqm]]&lt;=0,"Area&lt;=0","")</f>
        <v/>
      </c>
      <c r="Q113" t="str">
        <f>IF(tblRentRoll[[#This Row],[Monthly_Rent_EUR]]&lt;=0,"Rent&lt;=0","")</f>
        <v/>
      </c>
      <c r="R113">
        <f>IF(AND(tblRentRoll[[#This Row],[Status]]="Occupied", tblRentRoll[[#This Row],[Area_sqm]]&gt;0), tblRentRoll[[#This Row],[Annual_Rent_EUR]]/tblRentRoll[[#This Row],[Area_sqm]],"")</f>
        <v>178.64877419354838</v>
      </c>
      <c r="S113">
        <f>tblRentRoll[[#This Row],[Service_Charge_EUR]]+tblRentRoll[[#This Row],[Operating_Cost_EUR]]</f>
        <v>1480.88</v>
      </c>
      <c r="T113">
        <f>IF(tblRentRoll[[#This Row],[Annual_Rent_EUR]]&lt;&gt;0,tblRentRoll[[#This Row],[Annual_Rent_EUR]]-tblRentRoll[[#This Row],[Operating_Cost_EUR]], "")</f>
        <v>82080.039999999994</v>
      </c>
      <c r="U113">
        <f ca="1">IF(AND(tblRentRoll[[#This Row],[Status]]="Occupied",tblRentRoll[[#This Row],[Lease_End]]&gt;=TODAY()),DATEDIF(TODAY(),tblRentRoll[[#This Row],[Lease_End]],"m"), 0)</f>
        <v>0</v>
      </c>
      <c r="V113" t="str">
        <f ca="1">IF(tblRentRoll[[#This Row],[Status]]&lt;&gt;"Occupied","", IF(tblRentRoll[[#This Row],[Month_to_Expiry]]&lt;=3, "0-3 Monaten",  IF(tblRentRoll[[#This Row],[Month_to_Expiry]]&lt;=6, "3-6 Monaten", IF(tblRentRoll[[#This Row],[Month_to_Expiry]]&lt;=12,"6-12 Monaten", IF(tblRentRoll[[#This Row],[Month_to_Expiry]]&gt;=12, "12 M+",)))))</f>
        <v>0-3 Monaten</v>
      </c>
      <c r="W113">
        <f>IF(tblRentRoll[[#This Row],[Status]]="Vacant", tblRentRoll[[#This Row],[Area_sqm]],0)</f>
        <v>0</v>
      </c>
      <c r="X113" s="3">
        <f>IF(tblRentRoll[[#This Row],[Status]]="Occupied", tblRentRoll[[#This Row],[Area_sqm]],0)</f>
        <v>465</v>
      </c>
      <c r="Y113" s="3">
        <f ca="1">tblRentRoll[[#This Row],[Month_to_Expiry]]/12*tblRentRoll[[#This Row],[Annual_Rent_EUR]]</f>
        <v>0</v>
      </c>
      <c r="Z113" s="3"/>
    </row>
    <row r="114" spans="1:26" x14ac:dyDescent="0.35">
      <c r="A114" t="s">
        <v>44</v>
      </c>
      <c r="B114" t="s">
        <v>209</v>
      </c>
      <c r="C114" t="s">
        <v>19</v>
      </c>
      <c r="D114">
        <v>630</v>
      </c>
      <c r="E114" t="s">
        <v>15</v>
      </c>
      <c r="F114" t="s">
        <v>210</v>
      </c>
      <c r="G114">
        <v>6023.15</v>
      </c>
      <c r="H114">
        <v>72277.8</v>
      </c>
      <c r="I114" s="2">
        <f>tblRentRoll[[#This Row],[Monthly_Rent_EUR]]*12</f>
        <v>72277.799999999988</v>
      </c>
      <c r="J114" s="2" t="str">
        <f>IF(tblRentRoll[[#This Row],[Annual_Rent_EUR]]&lt;&gt;tblRentRoll[[#This Row],[Jahresrente_EUR]], "FALSCH", "")</f>
        <v/>
      </c>
      <c r="K114" s="1">
        <v>44410</v>
      </c>
      <c r="L114" s="1">
        <v>44609</v>
      </c>
      <c r="M114">
        <v>1723.45</v>
      </c>
      <c r="N114">
        <v>374.59</v>
      </c>
      <c r="O11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4" t="str">
        <f>IF(tblRentRoll[[#This Row],[Area_sqm]]&lt;=0,"Area&lt;=0","")</f>
        <v/>
      </c>
      <c r="Q114" t="str">
        <f>IF(tblRentRoll[[#This Row],[Monthly_Rent_EUR]]&lt;=0,"Rent&lt;=0","")</f>
        <v/>
      </c>
      <c r="R114">
        <f>IF(AND(tblRentRoll[[#This Row],[Status]]="Occupied", tblRentRoll[[#This Row],[Area_sqm]]&gt;0), tblRentRoll[[#This Row],[Annual_Rent_EUR]]/tblRentRoll[[#This Row],[Area_sqm]],"")</f>
        <v>114.72666666666667</v>
      </c>
      <c r="S114">
        <f>tblRentRoll[[#This Row],[Service_Charge_EUR]]+tblRentRoll[[#This Row],[Operating_Cost_EUR]]</f>
        <v>2098.04</v>
      </c>
      <c r="T114">
        <f>IF(tblRentRoll[[#This Row],[Annual_Rent_EUR]]&lt;&gt;0,tblRentRoll[[#This Row],[Annual_Rent_EUR]]-tblRentRoll[[#This Row],[Operating_Cost_EUR]], "")</f>
        <v>71903.210000000006</v>
      </c>
      <c r="U114">
        <f ca="1">IF(AND(tblRentRoll[[#This Row],[Status]]="Occupied",tblRentRoll[[#This Row],[Lease_End]]&gt;=TODAY()),DATEDIF(TODAY(),tblRentRoll[[#This Row],[Lease_End]],"m"), 0)</f>
        <v>0</v>
      </c>
      <c r="V114" t="str">
        <f ca="1">IF(tblRentRoll[[#This Row],[Status]]&lt;&gt;"Occupied","", IF(tblRentRoll[[#This Row],[Month_to_Expiry]]&lt;=3, "0-3 Monaten",  IF(tblRentRoll[[#This Row],[Month_to_Expiry]]&lt;=6, "3-6 Monaten", IF(tblRentRoll[[#This Row],[Month_to_Expiry]]&lt;=12,"6-12 Monaten", IF(tblRentRoll[[#This Row],[Month_to_Expiry]]&gt;=12, "12 M+",)))))</f>
        <v>0-3 Monaten</v>
      </c>
      <c r="W114">
        <f>IF(tblRentRoll[[#This Row],[Status]]="Vacant", tblRentRoll[[#This Row],[Area_sqm]],0)</f>
        <v>0</v>
      </c>
      <c r="X114" s="3">
        <f>IF(tblRentRoll[[#This Row],[Status]]="Occupied", tblRentRoll[[#This Row],[Area_sqm]],0)</f>
        <v>630</v>
      </c>
      <c r="Y114" s="3">
        <f ca="1">tblRentRoll[[#This Row],[Month_to_Expiry]]/12*tblRentRoll[[#This Row],[Annual_Rent_EUR]]</f>
        <v>0</v>
      </c>
      <c r="Z114" s="3"/>
    </row>
    <row r="115" spans="1:26" x14ac:dyDescent="0.35">
      <c r="A115" t="s">
        <v>44</v>
      </c>
      <c r="B115" t="s">
        <v>211</v>
      </c>
      <c r="C115" t="s">
        <v>14</v>
      </c>
      <c r="D115">
        <v>87</v>
      </c>
      <c r="E115" t="s">
        <v>15</v>
      </c>
      <c r="F115" t="s">
        <v>212</v>
      </c>
      <c r="G115">
        <v>1470.37</v>
      </c>
      <c r="H115">
        <v>17644.439999999999</v>
      </c>
      <c r="I115" s="2">
        <f>tblRentRoll[[#This Row],[Monthly_Rent_EUR]]*12</f>
        <v>17644.439999999999</v>
      </c>
      <c r="J115" s="2" t="str">
        <f>IF(tblRentRoll[[#This Row],[Annual_Rent_EUR]]&lt;&gt;tblRentRoll[[#This Row],[Jahresrente_EUR]], "FALSCH", "")</f>
        <v/>
      </c>
      <c r="K115" s="1">
        <v>45152</v>
      </c>
      <c r="L115" s="1">
        <v>45678</v>
      </c>
      <c r="M115">
        <v>99.7</v>
      </c>
      <c r="N115">
        <v>100.81</v>
      </c>
      <c r="O11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5" t="str">
        <f>IF(tblRentRoll[[#This Row],[Area_sqm]]&lt;=0,"Area&lt;=0","")</f>
        <v/>
      </c>
      <c r="Q115" t="str">
        <f>IF(tblRentRoll[[#This Row],[Monthly_Rent_EUR]]&lt;=0,"Rent&lt;=0","")</f>
        <v/>
      </c>
      <c r="R115">
        <f>IF(AND(tblRentRoll[[#This Row],[Status]]="Occupied", tblRentRoll[[#This Row],[Area_sqm]]&gt;0), tblRentRoll[[#This Row],[Annual_Rent_EUR]]/tblRentRoll[[#This Row],[Area_sqm]],"")</f>
        <v>202.80965517241378</v>
      </c>
      <c r="S115">
        <f>tblRentRoll[[#This Row],[Service_Charge_EUR]]+tblRentRoll[[#This Row],[Operating_Cost_EUR]]</f>
        <v>200.51</v>
      </c>
      <c r="T115">
        <f>IF(tblRentRoll[[#This Row],[Annual_Rent_EUR]]&lt;&gt;0,tblRentRoll[[#This Row],[Annual_Rent_EUR]]-tblRentRoll[[#This Row],[Operating_Cost_EUR]], "")</f>
        <v>17543.629999999997</v>
      </c>
      <c r="U115">
        <f ca="1">IF(AND(tblRentRoll[[#This Row],[Status]]="Occupied",tblRentRoll[[#This Row],[Lease_End]]&gt;=TODAY()),DATEDIF(TODAY(),tblRentRoll[[#This Row],[Lease_End]],"m"), 0)</f>
        <v>0</v>
      </c>
      <c r="V115" t="str">
        <f ca="1">IF(tblRentRoll[[#This Row],[Status]]&lt;&gt;"Occupied","", IF(tblRentRoll[[#This Row],[Month_to_Expiry]]&lt;=3, "0-3 Monaten",  IF(tblRentRoll[[#This Row],[Month_to_Expiry]]&lt;=6, "3-6 Monaten", IF(tblRentRoll[[#This Row],[Month_to_Expiry]]&lt;=12,"6-12 Monaten", IF(tblRentRoll[[#This Row],[Month_to_Expiry]]&gt;=12, "12 M+",)))))</f>
        <v>0-3 Monaten</v>
      </c>
      <c r="W115">
        <f>IF(tblRentRoll[[#This Row],[Status]]="Vacant", tblRentRoll[[#This Row],[Area_sqm]],0)</f>
        <v>0</v>
      </c>
      <c r="X115" s="3">
        <f>IF(tblRentRoll[[#This Row],[Status]]="Occupied", tblRentRoll[[#This Row],[Area_sqm]],0)</f>
        <v>87</v>
      </c>
      <c r="Y115" s="3">
        <f ca="1">tblRentRoll[[#This Row],[Month_to_Expiry]]/12*tblRentRoll[[#This Row],[Annual_Rent_EUR]]</f>
        <v>0</v>
      </c>
      <c r="Z115" s="3"/>
    </row>
    <row r="116" spans="1:26" x14ac:dyDescent="0.35">
      <c r="A116" t="s">
        <v>56</v>
      </c>
      <c r="B116" t="s">
        <v>213</v>
      </c>
      <c r="C116" t="s">
        <v>33</v>
      </c>
      <c r="D116">
        <v>1287</v>
      </c>
      <c r="E116" t="s">
        <v>15</v>
      </c>
      <c r="F116" t="s">
        <v>78</v>
      </c>
      <c r="G116">
        <v>13446.79</v>
      </c>
      <c r="H116">
        <v>161361.48000000001</v>
      </c>
      <c r="I116" s="2">
        <f>tblRentRoll[[#This Row],[Monthly_Rent_EUR]]*12</f>
        <v>161361.48000000001</v>
      </c>
      <c r="J116" s="2" t="str">
        <f>IF(tblRentRoll[[#This Row],[Annual_Rent_EUR]]&lt;&gt;tblRentRoll[[#This Row],[Jahresrente_EUR]], "FALSCH", "")</f>
        <v/>
      </c>
      <c r="K116" s="1">
        <v>45049</v>
      </c>
      <c r="L116" s="1">
        <v>45751</v>
      </c>
      <c r="M116">
        <v>1738.18</v>
      </c>
      <c r="N116">
        <v>1274.7</v>
      </c>
      <c r="O11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6" t="str">
        <f>IF(tblRentRoll[[#This Row],[Area_sqm]]&lt;=0,"Area&lt;=0","")</f>
        <v/>
      </c>
      <c r="Q116" t="str">
        <f>IF(tblRentRoll[[#This Row],[Monthly_Rent_EUR]]&lt;=0,"Rent&lt;=0","")</f>
        <v/>
      </c>
      <c r="R116">
        <f>IF(AND(tblRentRoll[[#This Row],[Status]]="Occupied", tblRentRoll[[#This Row],[Area_sqm]]&gt;0), tblRentRoll[[#This Row],[Annual_Rent_EUR]]/tblRentRoll[[#This Row],[Area_sqm]],"")</f>
        <v>125.37799533799534</v>
      </c>
      <c r="S116">
        <f>tblRentRoll[[#This Row],[Service_Charge_EUR]]+tblRentRoll[[#This Row],[Operating_Cost_EUR]]</f>
        <v>3012.88</v>
      </c>
      <c r="T116">
        <f>IF(tblRentRoll[[#This Row],[Annual_Rent_EUR]]&lt;&gt;0,tblRentRoll[[#This Row],[Annual_Rent_EUR]]-tblRentRoll[[#This Row],[Operating_Cost_EUR]], "")</f>
        <v>160086.78</v>
      </c>
      <c r="U116">
        <f ca="1">IF(AND(tblRentRoll[[#This Row],[Status]]="Occupied",tblRentRoll[[#This Row],[Lease_End]]&gt;=TODAY()),DATEDIF(TODAY(),tblRentRoll[[#This Row],[Lease_End]],"m"), 0)</f>
        <v>0</v>
      </c>
      <c r="V116" t="str">
        <f ca="1">IF(tblRentRoll[[#This Row],[Status]]&lt;&gt;"Occupied","", IF(tblRentRoll[[#This Row],[Month_to_Expiry]]&lt;=3, "0-3 Monaten",  IF(tblRentRoll[[#This Row],[Month_to_Expiry]]&lt;=6, "3-6 Monaten", IF(tblRentRoll[[#This Row],[Month_to_Expiry]]&lt;=12,"6-12 Monaten", IF(tblRentRoll[[#This Row],[Month_to_Expiry]]&gt;=12, "12 M+",)))))</f>
        <v>0-3 Monaten</v>
      </c>
      <c r="W116">
        <f>IF(tblRentRoll[[#This Row],[Status]]="Vacant", tblRentRoll[[#This Row],[Area_sqm]],0)</f>
        <v>0</v>
      </c>
      <c r="X116" s="3">
        <f>IF(tblRentRoll[[#This Row],[Status]]="Occupied", tblRentRoll[[#This Row],[Area_sqm]],0)</f>
        <v>1287</v>
      </c>
      <c r="Y116" s="3">
        <f ca="1">tblRentRoll[[#This Row],[Month_to_Expiry]]/12*tblRentRoll[[#This Row],[Annual_Rent_EUR]]</f>
        <v>0</v>
      </c>
      <c r="Z116" s="3"/>
    </row>
    <row r="117" spans="1:26" x14ac:dyDescent="0.35">
      <c r="A117" t="s">
        <v>12</v>
      </c>
      <c r="B117" t="s">
        <v>214</v>
      </c>
      <c r="C117" t="s">
        <v>19</v>
      </c>
      <c r="D117">
        <v>1093</v>
      </c>
      <c r="E117" t="s">
        <v>15</v>
      </c>
      <c r="F117" t="s">
        <v>215</v>
      </c>
      <c r="G117">
        <v>9060.3799999999992</v>
      </c>
      <c r="H117">
        <v>108724.56</v>
      </c>
      <c r="I117" s="2">
        <f>tblRentRoll[[#This Row],[Monthly_Rent_EUR]]*12</f>
        <v>108724.56</v>
      </c>
      <c r="J117" s="2" t="str">
        <f>IF(tblRentRoll[[#This Row],[Annual_Rent_EUR]]&lt;&gt;tblRentRoll[[#This Row],[Jahresrente_EUR]], "FALSCH", "")</f>
        <v/>
      </c>
      <c r="K117" s="1">
        <v>44351</v>
      </c>
      <c r="L117" s="1">
        <v>44803</v>
      </c>
      <c r="M117">
        <v>2071.89</v>
      </c>
      <c r="N117">
        <v>1149.04</v>
      </c>
      <c r="O11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7" t="str">
        <f>IF(tblRentRoll[[#This Row],[Area_sqm]]&lt;=0,"Area&lt;=0","")</f>
        <v/>
      </c>
      <c r="Q117" t="str">
        <f>IF(tblRentRoll[[#This Row],[Monthly_Rent_EUR]]&lt;=0,"Rent&lt;=0","")</f>
        <v/>
      </c>
      <c r="R117">
        <f>IF(AND(tblRentRoll[[#This Row],[Status]]="Occupied", tblRentRoll[[#This Row],[Area_sqm]]&gt;0), tblRentRoll[[#This Row],[Annual_Rent_EUR]]/tblRentRoll[[#This Row],[Area_sqm]],"")</f>
        <v>99.473522415370539</v>
      </c>
      <c r="S117">
        <f>tblRentRoll[[#This Row],[Service_Charge_EUR]]+tblRentRoll[[#This Row],[Operating_Cost_EUR]]</f>
        <v>3220.93</v>
      </c>
      <c r="T117">
        <f>IF(tblRentRoll[[#This Row],[Annual_Rent_EUR]]&lt;&gt;0,tblRentRoll[[#This Row],[Annual_Rent_EUR]]-tblRentRoll[[#This Row],[Operating_Cost_EUR]], "")</f>
        <v>107575.52</v>
      </c>
      <c r="U117">
        <f ca="1">IF(AND(tblRentRoll[[#This Row],[Status]]="Occupied",tblRentRoll[[#This Row],[Lease_End]]&gt;=TODAY()),DATEDIF(TODAY(),tblRentRoll[[#This Row],[Lease_End]],"m"), 0)</f>
        <v>0</v>
      </c>
      <c r="V117" t="str">
        <f ca="1">IF(tblRentRoll[[#This Row],[Status]]&lt;&gt;"Occupied","", IF(tblRentRoll[[#This Row],[Month_to_Expiry]]&lt;=3, "0-3 Monaten",  IF(tblRentRoll[[#This Row],[Month_to_Expiry]]&lt;=6, "3-6 Monaten", IF(tblRentRoll[[#This Row],[Month_to_Expiry]]&lt;=12,"6-12 Monaten", IF(tblRentRoll[[#This Row],[Month_to_Expiry]]&gt;=12, "12 M+",)))))</f>
        <v>0-3 Monaten</v>
      </c>
      <c r="W117">
        <f>IF(tblRentRoll[[#This Row],[Status]]="Vacant", tblRentRoll[[#This Row],[Area_sqm]],0)</f>
        <v>0</v>
      </c>
      <c r="X117" s="3">
        <f>IF(tblRentRoll[[#This Row],[Status]]="Occupied", tblRentRoll[[#This Row],[Area_sqm]],0)</f>
        <v>1093</v>
      </c>
      <c r="Y117" s="3">
        <f ca="1">tblRentRoll[[#This Row],[Month_to_Expiry]]/12*tblRentRoll[[#This Row],[Annual_Rent_EUR]]</f>
        <v>0</v>
      </c>
      <c r="Z117" s="3"/>
    </row>
    <row r="118" spans="1:26" x14ac:dyDescent="0.35">
      <c r="A118" t="s">
        <v>21</v>
      </c>
      <c r="B118" t="s">
        <v>216</v>
      </c>
      <c r="C118" t="s">
        <v>14</v>
      </c>
      <c r="D118">
        <v>933</v>
      </c>
      <c r="E118" t="s">
        <v>15</v>
      </c>
      <c r="F118" t="s">
        <v>217</v>
      </c>
      <c r="G118">
        <v>9759.31</v>
      </c>
      <c r="H118">
        <v>117111.72</v>
      </c>
      <c r="I118" s="2">
        <f>tblRentRoll[[#This Row],[Monthly_Rent_EUR]]*12</f>
        <v>117111.72</v>
      </c>
      <c r="J118" s="2" t="str">
        <f>IF(tblRentRoll[[#This Row],[Annual_Rent_EUR]]&lt;&gt;tblRentRoll[[#This Row],[Jahresrente_EUR]], "FALSCH", "")</f>
        <v/>
      </c>
      <c r="K118" s="1">
        <v>44912</v>
      </c>
      <c r="L118" s="1">
        <v>46039</v>
      </c>
      <c r="M118">
        <v>1922.44</v>
      </c>
      <c r="N118">
        <v>2006.19</v>
      </c>
      <c r="O11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8" t="str">
        <f>IF(tblRentRoll[[#This Row],[Area_sqm]]&lt;=0,"Area&lt;=0","")</f>
        <v/>
      </c>
      <c r="Q118" t="str">
        <f>IF(tblRentRoll[[#This Row],[Monthly_Rent_EUR]]&lt;=0,"Rent&lt;=0","")</f>
        <v/>
      </c>
      <c r="R118">
        <f>IF(AND(tblRentRoll[[#This Row],[Status]]="Occupied", tblRentRoll[[#This Row],[Area_sqm]]&gt;0), tblRentRoll[[#This Row],[Annual_Rent_EUR]]/tblRentRoll[[#This Row],[Area_sqm]],"")</f>
        <v>125.52167202572348</v>
      </c>
      <c r="S118">
        <f>tblRentRoll[[#This Row],[Service_Charge_EUR]]+tblRentRoll[[#This Row],[Operating_Cost_EUR]]</f>
        <v>3928.63</v>
      </c>
      <c r="T118">
        <f>IF(tblRentRoll[[#This Row],[Annual_Rent_EUR]]&lt;&gt;0,tblRentRoll[[#This Row],[Annual_Rent_EUR]]-tblRentRoll[[#This Row],[Operating_Cost_EUR]], "")</f>
        <v>115105.53</v>
      </c>
      <c r="U118">
        <f ca="1">IF(AND(tblRentRoll[[#This Row],[Status]]="Occupied",tblRentRoll[[#This Row],[Lease_End]]&gt;=TODAY()),DATEDIF(TODAY(),tblRentRoll[[#This Row],[Lease_End]],"m"), 0)</f>
        <v>0</v>
      </c>
      <c r="V118" t="str">
        <f ca="1">IF(tblRentRoll[[#This Row],[Status]]&lt;&gt;"Occupied","", IF(tblRentRoll[[#This Row],[Month_to_Expiry]]&lt;=3, "0-3 Monaten",  IF(tblRentRoll[[#This Row],[Month_to_Expiry]]&lt;=6, "3-6 Monaten", IF(tblRentRoll[[#This Row],[Month_to_Expiry]]&lt;=12,"6-12 Monaten", IF(tblRentRoll[[#This Row],[Month_to_Expiry]]&gt;=12, "12 M+",)))))</f>
        <v>0-3 Monaten</v>
      </c>
      <c r="W118">
        <f>IF(tblRentRoll[[#This Row],[Status]]="Vacant", tblRentRoll[[#This Row],[Area_sqm]],0)</f>
        <v>0</v>
      </c>
      <c r="X118" s="3">
        <f>IF(tblRentRoll[[#This Row],[Status]]="Occupied", tblRentRoll[[#This Row],[Area_sqm]],0)</f>
        <v>933</v>
      </c>
      <c r="Y118" s="3">
        <f ca="1">tblRentRoll[[#This Row],[Month_to_Expiry]]/12*tblRentRoll[[#This Row],[Annual_Rent_EUR]]</f>
        <v>0</v>
      </c>
      <c r="Z118" s="3"/>
    </row>
    <row r="119" spans="1:26" x14ac:dyDescent="0.35">
      <c r="A119" t="s">
        <v>24</v>
      </c>
      <c r="B119" t="s">
        <v>218</v>
      </c>
      <c r="C119" t="s">
        <v>29</v>
      </c>
      <c r="D119">
        <v>888</v>
      </c>
      <c r="E119" t="s">
        <v>15</v>
      </c>
      <c r="F119" t="s">
        <v>219</v>
      </c>
      <c r="G119">
        <v>11089.95</v>
      </c>
      <c r="H119">
        <v>133079.4</v>
      </c>
      <c r="I119" s="2">
        <f>tblRentRoll[[#This Row],[Monthly_Rent_EUR]]*12</f>
        <v>133079.40000000002</v>
      </c>
      <c r="J119" s="2" t="str">
        <f>IF(tblRentRoll[[#This Row],[Annual_Rent_EUR]]&lt;&gt;tblRentRoll[[#This Row],[Jahresrente_EUR]], "FALSCH", "")</f>
        <v/>
      </c>
      <c r="K119" s="1">
        <v>45041</v>
      </c>
      <c r="L119" s="1">
        <v>46273</v>
      </c>
      <c r="M119">
        <v>1887.83</v>
      </c>
      <c r="N119">
        <v>1468.82</v>
      </c>
      <c r="O11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19" t="str">
        <f>IF(tblRentRoll[[#This Row],[Area_sqm]]&lt;=0,"Area&lt;=0","")</f>
        <v/>
      </c>
      <c r="Q119" t="str">
        <f>IF(tblRentRoll[[#This Row],[Monthly_Rent_EUR]]&lt;=0,"Rent&lt;=0","")</f>
        <v/>
      </c>
      <c r="R119">
        <f>IF(AND(tblRentRoll[[#This Row],[Status]]="Occupied", tblRentRoll[[#This Row],[Area_sqm]]&gt;0), tblRentRoll[[#This Row],[Annual_Rent_EUR]]/tblRentRoll[[#This Row],[Area_sqm]],"")</f>
        <v>149.86418918918918</v>
      </c>
      <c r="S119">
        <f>tblRentRoll[[#This Row],[Service_Charge_EUR]]+tblRentRoll[[#This Row],[Operating_Cost_EUR]]</f>
        <v>3356.6499999999996</v>
      </c>
      <c r="T119">
        <f>IF(tblRentRoll[[#This Row],[Annual_Rent_EUR]]&lt;&gt;0,tblRentRoll[[#This Row],[Annual_Rent_EUR]]-tblRentRoll[[#This Row],[Operating_Cost_EUR]], "")</f>
        <v>131610.57999999999</v>
      </c>
      <c r="U119">
        <f ca="1">IF(AND(tblRentRoll[[#This Row],[Status]]="Occupied",tblRentRoll[[#This Row],[Lease_End]]&gt;=TODAY()),DATEDIF(TODAY(),tblRentRoll[[#This Row],[Lease_End]],"m"), 0)</f>
        <v>5</v>
      </c>
      <c r="V119" t="str">
        <f ca="1">IF(tblRentRoll[[#This Row],[Status]]&lt;&gt;"Occupied","", IF(tblRentRoll[[#This Row],[Month_to_Expiry]]&lt;=3, "0-3 Monaten",  IF(tblRentRoll[[#This Row],[Month_to_Expiry]]&lt;=6, "3-6 Monaten", IF(tblRentRoll[[#This Row],[Month_to_Expiry]]&lt;=12,"6-12 Monaten", IF(tblRentRoll[[#This Row],[Month_to_Expiry]]&gt;=12, "12 M+",)))))</f>
        <v>3-6 Monaten</v>
      </c>
      <c r="W119">
        <f>IF(tblRentRoll[[#This Row],[Status]]="Vacant", tblRentRoll[[#This Row],[Area_sqm]],0)</f>
        <v>0</v>
      </c>
      <c r="X119" s="3">
        <f>IF(tblRentRoll[[#This Row],[Status]]="Occupied", tblRentRoll[[#This Row],[Area_sqm]],0)</f>
        <v>888</v>
      </c>
      <c r="Y119" s="3">
        <f ca="1">tblRentRoll[[#This Row],[Month_to_Expiry]]/12*tblRentRoll[[#This Row],[Annual_Rent_EUR]]</f>
        <v>55449.75</v>
      </c>
      <c r="Z119" s="3"/>
    </row>
    <row r="120" spans="1:26" x14ac:dyDescent="0.35">
      <c r="A120" t="s">
        <v>24</v>
      </c>
      <c r="B120" t="s">
        <v>220</v>
      </c>
      <c r="C120" t="s">
        <v>14</v>
      </c>
      <c r="D120">
        <v>169</v>
      </c>
      <c r="E120" t="s">
        <v>15</v>
      </c>
      <c r="F120" t="s">
        <v>221</v>
      </c>
      <c r="G120">
        <v>1236.1199999999999</v>
      </c>
      <c r="H120">
        <v>14833.44</v>
      </c>
      <c r="I120" s="2">
        <f>tblRentRoll[[#This Row],[Monthly_Rent_EUR]]*12</f>
        <v>14833.439999999999</v>
      </c>
      <c r="J120" s="2" t="str">
        <f>IF(tblRentRoll[[#This Row],[Annual_Rent_EUR]]&lt;&gt;tblRentRoll[[#This Row],[Jahresrente_EUR]], "FALSCH", "")</f>
        <v/>
      </c>
      <c r="K120" s="1">
        <v>44872</v>
      </c>
      <c r="L120" s="1">
        <v>46480</v>
      </c>
      <c r="M120">
        <v>468.8</v>
      </c>
      <c r="N120">
        <v>305.07</v>
      </c>
      <c r="O12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0" t="str">
        <f>IF(tblRentRoll[[#This Row],[Area_sqm]]&lt;=0,"Area&lt;=0","")</f>
        <v/>
      </c>
      <c r="Q120" t="str">
        <f>IF(tblRentRoll[[#This Row],[Monthly_Rent_EUR]]&lt;=0,"Rent&lt;=0","")</f>
        <v/>
      </c>
      <c r="R120">
        <f>IF(AND(tblRentRoll[[#This Row],[Status]]="Occupied", tblRentRoll[[#This Row],[Area_sqm]]&gt;0), tblRentRoll[[#This Row],[Annual_Rent_EUR]]/tblRentRoll[[#This Row],[Area_sqm]],"")</f>
        <v>87.771834319526633</v>
      </c>
      <c r="S120">
        <f>tblRentRoll[[#This Row],[Service_Charge_EUR]]+tblRentRoll[[#This Row],[Operating_Cost_EUR]]</f>
        <v>773.87</v>
      </c>
      <c r="T120">
        <f>IF(tblRentRoll[[#This Row],[Annual_Rent_EUR]]&lt;&gt;0,tblRentRoll[[#This Row],[Annual_Rent_EUR]]-tblRentRoll[[#This Row],[Operating_Cost_EUR]], "")</f>
        <v>14528.37</v>
      </c>
      <c r="U120">
        <f ca="1">IF(AND(tblRentRoll[[#This Row],[Status]]="Occupied",tblRentRoll[[#This Row],[Lease_End]]&gt;=TODAY()),DATEDIF(TODAY(),tblRentRoll[[#This Row],[Lease_End]],"m"), 0)</f>
        <v>12</v>
      </c>
      <c r="V120" t="str">
        <f ca="1">IF(tblRentRoll[[#This Row],[Status]]&lt;&gt;"Occupied","", IF(tblRentRoll[[#This Row],[Month_to_Expiry]]&lt;=3, "0-3 Monaten",  IF(tblRentRoll[[#This Row],[Month_to_Expiry]]&lt;=6, "3-6 Monaten", IF(tblRentRoll[[#This Row],[Month_to_Expiry]]&lt;=12,"6-12 Monaten", IF(tblRentRoll[[#This Row],[Month_to_Expiry]]&gt;=12, "12 M+",)))))</f>
        <v>6-12 Monaten</v>
      </c>
      <c r="W120">
        <f>IF(tblRentRoll[[#This Row],[Status]]="Vacant", tblRentRoll[[#This Row],[Area_sqm]],0)</f>
        <v>0</v>
      </c>
      <c r="X120" s="3">
        <f>IF(tblRentRoll[[#This Row],[Status]]="Occupied", tblRentRoll[[#This Row],[Area_sqm]],0)</f>
        <v>169</v>
      </c>
      <c r="Y120" s="3">
        <f ca="1">tblRentRoll[[#This Row],[Month_to_Expiry]]/12*tblRentRoll[[#This Row],[Annual_Rent_EUR]]</f>
        <v>14833.44</v>
      </c>
      <c r="Z120" s="3"/>
    </row>
    <row r="121" spans="1:26" x14ac:dyDescent="0.35">
      <c r="A121" t="s">
        <v>21</v>
      </c>
      <c r="B121" t="s">
        <v>222</v>
      </c>
      <c r="C121" t="s">
        <v>14</v>
      </c>
      <c r="D121">
        <v>527</v>
      </c>
      <c r="E121" t="s">
        <v>20</v>
      </c>
      <c r="G121">
        <v>0</v>
      </c>
      <c r="H121">
        <v>0</v>
      </c>
      <c r="I121" s="2">
        <f>tblRentRoll[[#This Row],[Monthly_Rent_EUR]]*12</f>
        <v>0</v>
      </c>
      <c r="J121" s="2" t="str">
        <f>IF(tblRentRoll[[#This Row],[Annual_Rent_EUR]]&lt;&gt;tblRentRoll[[#This Row],[Jahresrente_EUR]], "FALSCH", "")</f>
        <v/>
      </c>
      <c r="M121">
        <v>1506.38</v>
      </c>
      <c r="N121">
        <v>521.04</v>
      </c>
      <c r="O12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1" t="str">
        <f>IF(tblRentRoll[[#This Row],[Area_sqm]]&lt;=0,"Area&lt;=0","")</f>
        <v/>
      </c>
      <c r="Q121" t="str">
        <f>IF(tblRentRoll[[#This Row],[Monthly_Rent_EUR]]&lt;=0,"Rent&lt;=0","")</f>
        <v>Rent&lt;=0</v>
      </c>
      <c r="R121" t="str">
        <f>IF(AND(tblRentRoll[[#This Row],[Status]]="Occupied", tblRentRoll[[#This Row],[Area_sqm]]&gt;0), tblRentRoll[[#This Row],[Annual_Rent_EUR]]/tblRentRoll[[#This Row],[Area_sqm]],"")</f>
        <v/>
      </c>
      <c r="S121">
        <f>tblRentRoll[[#This Row],[Service_Charge_EUR]]+tblRentRoll[[#This Row],[Operating_Cost_EUR]]</f>
        <v>2027.42</v>
      </c>
      <c r="T121" t="str">
        <f>IF(tblRentRoll[[#This Row],[Annual_Rent_EUR]]&lt;&gt;0,tblRentRoll[[#This Row],[Annual_Rent_EUR]]-tblRentRoll[[#This Row],[Operating_Cost_EUR]], "")</f>
        <v/>
      </c>
      <c r="U121">
        <f ca="1">IF(AND(tblRentRoll[[#This Row],[Status]]="Occupied",tblRentRoll[[#This Row],[Lease_End]]&gt;=TODAY()),DATEDIF(TODAY(),tblRentRoll[[#This Row],[Lease_End]],"m"), 0)</f>
        <v>0</v>
      </c>
      <c r="V121" t="str">
        <f>IF(tblRentRoll[[#This Row],[Status]]&lt;&gt;"Occupied","", IF(tblRentRoll[[#This Row],[Month_to_Expiry]]&lt;=3, "0-3 Monaten",  IF(tblRentRoll[[#This Row],[Month_to_Expiry]]&lt;=6, "3-6 Monaten", IF(tblRentRoll[[#This Row],[Month_to_Expiry]]&lt;=12,"6-12 Monaten", IF(tblRentRoll[[#This Row],[Month_to_Expiry]]&gt;=12, "12 M+",)))))</f>
        <v/>
      </c>
      <c r="W121">
        <f>IF(tblRentRoll[[#This Row],[Status]]="Vacant", tblRentRoll[[#This Row],[Area_sqm]],0)</f>
        <v>527</v>
      </c>
      <c r="X121" s="3">
        <f>IF(tblRentRoll[[#This Row],[Status]]="Occupied", tblRentRoll[[#This Row],[Area_sqm]],0)</f>
        <v>0</v>
      </c>
      <c r="Y121" s="3">
        <f ca="1">tblRentRoll[[#This Row],[Month_to_Expiry]]/12*tblRentRoll[[#This Row],[Annual_Rent_EUR]]</f>
        <v>0</v>
      </c>
      <c r="Z121" s="3"/>
    </row>
    <row r="122" spans="1:26" x14ac:dyDescent="0.35">
      <c r="A122" t="s">
        <v>12</v>
      </c>
      <c r="B122" t="s">
        <v>223</v>
      </c>
      <c r="C122" t="s">
        <v>33</v>
      </c>
      <c r="D122">
        <v>477</v>
      </c>
      <c r="E122" t="s">
        <v>15</v>
      </c>
      <c r="F122" t="s">
        <v>224</v>
      </c>
      <c r="G122">
        <v>8416.06</v>
      </c>
      <c r="H122">
        <v>100992.72</v>
      </c>
      <c r="I122" s="2">
        <f>tblRentRoll[[#This Row],[Monthly_Rent_EUR]]*12</f>
        <v>100992.72</v>
      </c>
      <c r="J122" s="2" t="str">
        <f>IF(tblRentRoll[[#This Row],[Annual_Rent_EUR]]&lt;&gt;tblRentRoll[[#This Row],[Jahresrente_EUR]], "FALSCH", "")</f>
        <v/>
      </c>
      <c r="K122" s="1">
        <v>45201</v>
      </c>
      <c r="L122" s="1">
        <v>46560</v>
      </c>
      <c r="M122">
        <v>912.3</v>
      </c>
      <c r="N122">
        <v>585.48</v>
      </c>
      <c r="O12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2" t="str">
        <f>IF(tblRentRoll[[#This Row],[Area_sqm]]&lt;=0,"Area&lt;=0","")</f>
        <v/>
      </c>
      <c r="Q122" t="str">
        <f>IF(tblRentRoll[[#This Row],[Monthly_Rent_EUR]]&lt;=0,"Rent&lt;=0","")</f>
        <v/>
      </c>
      <c r="R122">
        <f>IF(AND(tblRentRoll[[#This Row],[Status]]="Occupied", tblRentRoll[[#This Row],[Area_sqm]]&gt;0), tblRentRoll[[#This Row],[Annual_Rent_EUR]]/tblRentRoll[[#This Row],[Area_sqm]],"")</f>
        <v>211.72477987421385</v>
      </c>
      <c r="S122">
        <f>tblRentRoll[[#This Row],[Service_Charge_EUR]]+tblRentRoll[[#This Row],[Operating_Cost_EUR]]</f>
        <v>1497.78</v>
      </c>
      <c r="T122">
        <f>IF(tblRentRoll[[#This Row],[Annual_Rent_EUR]]&lt;&gt;0,tblRentRoll[[#This Row],[Annual_Rent_EUR]]-tblRentRoll[[#This Row],[Operating_Cost_EUR]], "")</f>
        <v>100407.24</v>
      </c>
      <c r="U122">
        <f ca="1">IF(AND(tblRentRoll[[#This Row],[Status]]="Occupied",tblRentRoll[[#This Row],[Lease_End]]&gt;=TODAY()),DATEDIF(TODAY(),tblRentRoll[[#This Row],[Lease_End]],"m"), 0)</f>
        <v>15</v>
      </c>
      <c r="V122" t="str">
        <f ca="1">IF(tblRentRoll[[#This Row],[Status]]&lt;&gt;"Occupied","", IF(tblRentRoll[[#This Row],[Month_to_Expiry]]&lt;=3, "0-3 Monaten",  IF(tblRentRoll[[#This Row],[Month_to_Expiry]]&lt;=6, "3-6 Monaten", IF(tblRentRoll[[#This Row],[Month_to_Expiry]]&lt;=12,"6-12 Monaten", IF(tblRentRoll[[#This Row],[Month_to_Expiry]]&gt;=12, "12 M+",)))))</f>
        <v>12 M+</v>
      </c>
      <c r="W122">
        <f>IF(tblRentRoll[[#This Row],[Status]]="Vacant", tblRentRoll[[#This Row],[Area_sqm]],0)</f>
        <v>0</v>
      </c>
      <c r="X122" s="3">
        <f>IF(tblRentRoll[[#This Row],[Status]]="Occupied", tblRentRoll[[#This Row],[Area_sqm]],0)</f>
        <v>477</v>
      </c>
      <c r="Y122" s="3">
        <f ca="1">tblRentRoll[[#This Row],[Month_to_Expiry]]/12*tblRentRoll[[#This Row],[Annual_Rent_EUR]]</f>
        <v>126240.9</v>
      </c>
      <c r="Z122" s="3"/>
    </row>
    <row r="123" spans="1:26" x14ac:dyDescent="0.35">
      <c r="A123" t="s">
        <v>56</v>
      </c>
      <c r="B123" t="s">
        <v>225</v>
      </c>
      <c r="C123" t="s">
        <v>14</v>
      </c>
      <c r="D123">
        <v>1400</v>
      </c>
      <c r="E123" t="s">
        <v>15</v>
      </c>
      <c r="F123" t="s">
        <v>162</v>
      </c>
      <c r="G123">
        <v>16978.580000000002</v>
      </c>
      <c r="H123">
        <v>203742.96</v>
      </c>
      <c r="I123" s="2">
        <f>tblRentRoll[[#This Row],[Monthly_Rent_EUR]]*12</f>
        <v>203742.96000000002</v>
      </c>
      <c r="J123" s="2" t="str">
        <f>IF(tblRentRoll[[#This Row],[Annual_Rent_EUR]]&lt;&gt;tblRentRoll[[#This Row],[Jahresrente_EUR]], "FALSCH", "")</f>
        <v/>
      </c>
      <c r="K123" s="1">
        <v>44402</v>
      </c>
      <c r="L123" s="1">
        <v>44945</v>
      </c>
      <c r="M123">
        <v>2305.11</v>
      </c>
      <c r="N123">
        <v>1813.17</v>
      </c>
      <c r="O12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3" t="str">
        <f>IF(tblRentRoll[[#This Row],[Area_sqm]]&lt;=0,"Area&lt;=0","")</f>
        <v/>
      </c>
      <c r="Q123" t="str">
        <f>IF(tblRentRoll[[#This Row],[Monthly_Rent_EUR]]&lt;=0,"Rent&lt;=0","")</f>
        <v/>
      </c>
      <c r="R123">
        <f>IF(AND(tblRentRoll[[#This Row],[Status]]="Occupied", tblRentRoll[[#This Row],[Area_sqm]]&gt;0), tblRentRoll[[#This Row],[Annual_Rent_EUR]]/tblRentRoll[[#This Row],[Area_sqm]],"")</f>
        <v>145.53068571428571</v>
      </c>
      <c r="S123">
        <f>tblRentRoll[[#This Row],[Service_Charge_EUR]]+tblRentRoll[[#This Row],[Operating_Cost_EUR]]</f>
        <v>4118.2800000000007</v>
      </c>
      <c r="T123">
        <f>IF(tblRentRoll[[#This Row],[Annual_Rent_EUR]]&lt;&gt;0,tblRentRoll[[#This Row],[Annual_Rent_EUR]]-tblRentRoll[[#This Row],[Operating_Cost_EUR]], "")</f>
        <v>201929.78999999998</v>
      </c>
      <c r="U123">
        <f ca="1">IF(AND(tblRentRoll[[#This Row],[Status]]="Occupied",tblRentRoll[[#This Row],[Lease_End]]&gt;=TODAY()),DATEDIF(TODAY(),tblRentRoll[[#This Row],[Lease_End]],"m"), 0)</f>
        <v>0</v>
      </c>
      <c r="V123" t="str">
        <f ca="1">IF(tblRentRoll[[#This Row],[Status]]&lt;&gt;"Occupied","", IF(tblRentRoll[[#This Row],[Month_to_Expiry]]&lt;=3, "0-3 Monaten",  IF(tblRentRoll[[#This Row],[Month_to_Expiry]]&lt;=6, "3-6 Monaten", IF(tblRentRoll[[#This Row],[Month_to_Expiry]]&lt;=12,"6-12 Monaten", IF(tblRentRoll[[#This Row],[Month_to_Expiry]]&gt;=12, "12 M+",)))))</f>
        <v>0-3 Monaten</v>
      </c>
      <c r="W123">
        <f>IF(tblRentRoll[[#This Row],[Status]]="Vacant", tblRentRoll[[#This Row],[Area_sqm]],0)</f>
        <v>0</v>
      </c>
      <c r="X123" s="3">
        <f>IF(tblRentRoll[[#This Row],[Status]]="Occupied", tblRentRoll[[#This Row],[Area_sqm]],0)</f>
        <v>1400</v>
      </c>
      <c r="Y123" s="3">
        <f ca="1">tblRentRoll[[#This Row],[Month_to_Expiry]]/12*tblRentRoll[[#This Row],[Annual_Rent_EUR]]</f>
        <v>0</v>
      </c>
      <c r="Z123" s="3"/>
    </row>
    <row r="124" spans="1:26" x14ac:dyDescent="0.35">
      <c r="A124" t="s">
        <v>56</v>
      </c>
      <c r="B124" t="s">
        <v>226</v>
      </c>
      <c r="C124" t="s">
        <v>19</v>
      </c>
      <c r="D124">
        <v>150</v>
      </c>
      <c r="E124" t="s">
        <v>15</v>
      </c>
      <c r="F124" t="s">
        <v>227</v>
      </c>
      <c r="G124">
        <v>1137.44</v>
      </c>
      <c r="H124">
        <v>13649.28</v>
      </c>
      <c r="I124" s="2">
        <f>tblRentRoll[[#This Row],[Monthly_Rent_EUR]]*12</f>
        <v>13649.28</v>
      </c>
      <c r="J124" s="2" t="str">
        <f>IF(tblRentRoll[[#This Row],[Annual_Rent_EUR]]&lt;&gt;tblRentRoll[[#This Row],[Jahresrente_EUR]], "FALSCH", "")</f>
        <v/>
      </c>
      <c r="K124" s="1">
        <v>44502</v>
      </c>
      <c r="L124" s="1">
        <v>46178</v>
      </c>
      <c r="M124">
        <v>419.71</v>
      </c>
      <c r="N124">
        <v>288.17</v>
      </c>
      <c r="O12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4" t="str">
        <f>IF(tblRentRoll[[#This Row],[Area_sqm]]&lt;=0,"Area&lt;=0","")</f>
        <v/>
      </c>
      <c r="Q124" t="str">
        <f>IF(tblRentRoll[[#This Row],[Monthly_Rent_EUR]]&lt;=0,"Rent&lt;=0","")</f>
        <v/>
      </c>
      <c r="R124">
        <f>IF(AND(tblRentRoll[[#This Row],[Status]]="Occupied", tblRentRoll[[#This Row],[Area_sqm]]&gt;0), tblRentRoll[[#This Row],[Annual_Rent_EUR]]/tblRentRoll[[#This Row],[Area_sqm]],"")</f>
        <v>90.995200000000011</v>
      </c>
      <c r="S124">
        <f>tblRentRoll[[#This Row],[Service_Charge_EUR]]+tblRentRoll[[#This Row],[Operating_Cost_EUR]]</f>
        <v>707.88</v>
      </c>
      <c r="T124">
        <f>IF(tblRentRoll[[#This Row],[Annual_Rent_EUR]]&lt;&gt;0,tblRentRoll[[#This Row],[Annual_Rent_EUR]]-tblRentRoll[[#This Row],[Operating_Cost_EUR]], "")</f>
        <v>13361.11</v>
      </c>
      <c r="U124">
        <f ca="1">IF(AND(tblRentRoll[[#This Row],[Status]]="Occupied",tblRentRoll[[#This Row],[Lease_End]]&gt;=TODAY()),DATEDIF(TODAY(),tblRentRoll[[#This Row],[Lease_End]],"m"), 0)</f>
        <v>2</v>
      </c>
      <c r="V124" t="str">
        <f ca="1">IF(tblRentRoll[[#This Row],[Status]]&lt;&gt;"Occupied","", IF(tblRentRoll[[#This Row],[Month_to_Expiry]]&lt;=3, "0-3 Monaten",  IF(tblRentRoll[[#This Row],[Month_to_Expiry]]&lt;=6, "3-6 Monaten", IF(tblRentRoll[[#This Row],[Month_to_Expiry]]&lt;=12,"6-12 Monaten", IF(tblRentRoll[[#This Row],[Month_to_Expiry]]&gt;=12, "12 M+",)))))</f>
        <v>0-3 Monaten</v>
      </c>
      <c r="W124">
        <f>IF(tblRentRoll[[#This Row],[Status]]="Vacant", tblRentRoll[[#This Row],[Area_sqm]],0)</f>
        <v>0</v>
      </c>
      <c r="X124" s="3">
        <f>IF(tblRentRoll[[#This Row],[Status]]="Occupied", tblRentRoll[[#This Row],[Area_sqm]],0)</f>
        <v>150</v>
      </c>
      <c r="Y124" s="3">
        <f ca="1">tblRentRoll[[#This Row],[Month_to_Expiry]]/12*tblRentRoll[[#This Row],[Annual_Rent_EUR]]</f>
        <v>2274.88</v>
      </c>
      <c r="Z124" s="3"/>
    </row>
    <row r="125" spans="1:26" x14ac:dyDescent="0.35">
      <c r="A125" t="s">
        <v>17</v>
      </c>
      <c r="B125" t="s">
        <v>228</v>
      </c>
      <c r="C125" t="s">
        <v>19</v>
      </c>
      <c r="D125">
        <v>1370</v>
      </c>
      <c r="E125" t="s">
        <v>15</v>
      </c>
      <c r="F125" t="s">
        <v>68</v>
      </c>
      <c r="G125">
        <v>10873.29</v>
      </c>
      <c r="H125">
        <v>130479.48</v>
      </c>
      <c r="I125" s="2">
        <f>tblRentRoll[[#This Row],[Monthly_Rent_EUR]]*12</f>
        <v>130479.48000000001</v>
      </c>
      <c r="J125" s="2" t="str">
        <f>IF(tblRentRoll[[#This Row],[Annual_Rent_EUR]]&lt;&gt;tblRentRoll[[#This Row],[Jahresrente_EUR]], "FALSCH", "")</f>
        <v/>
      </c>
      <c r="K125" s="1">
        <v>44852</v>
      </c>
      <c r="L125" s="1">
        <v>46307</v>
      </c>
      <c r="M125">
        <v>4001.92</v>
      </c>
      <c r="N125">
        <v>1098.17</v>
      </c>
      <c r="O12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5" t="str">
        <f>IF(tblRentRoll[[#This Row],[Area_sqm]]&lt;=0,"Area&lt;=0","")</f>
        <v/>
      </c>
      <c r="Q125" t="str">
        <f>IF(tblRentRoll[[#This Row],[Monthly_Rent_EUR]]&lt;=0,"Rent&lt;=0","")</f>
        <v/>
      </c>
      <c r="R125">
        <f>IF(AND(tblRentRoll[[#This Row],[Status]]="Occupied", tblRentRoll[[#This Row],[Area_sqm]]&gt;0), tblRentRoll[[#This Row],[Annual_Rent_EUR]]/tblRentRoll[[#This Row],[Area_sqm]],"")</f>
        <v>95.240496350364964</v>
      </c>
      <c r="S125">
        <f>tblRentRoll[[#This Row],[Service_Charge_EUR]]+tblRentRoll[[#This Row],[Operating_Cost_EUR]]</f>
        <v>5100.09</v>
      </c>
      <c r="T125">
        <f>IF(tblRentRoll[[#This Row],[Annual_Rent_EUR]]&lt;&gt;0,tblRentRoll[[#This Row],[Annual_Rent_EUR]]-tblRentRoll[[#This Row],[Operating_Cost_EUR]], "")</f>
        <v>129381.31</v>
      </c>
      <c r="U125">
        <f ca="1">IF(AND(tblRentRoll[[#This Row],[Status]]="Occupied",tblRentRoll[[#This Row],[Lease_End]]&gt;=TODAY()),DATEDIF(TODAY(),tblRentRoll[[#This Row],[Lease_End]],"m"), 0)</f>
        <v>7</v>
      </c>
      <c r="V125" t="str">
        <f ca="1">IF(tblRentRoll[[#This Row],[Status]]&lt;&gt;"Occupied","", IF(tblRentRoll[[#This Row],[Month_to_Expiry]]&lt;=3, "0-3 Monaten",  IF(tblRentRoll[[#This Row],[Month_to_Expiry]]&lt;=6, "3-6 Monaten", IF(tblRentRoll[[#This Row],[Month_to_Expiry]]&lt;=12,"6-12 Monaten", IF(tblRentRoll[[#This Row],[Month_to_Expiry]]&gt;=12, "12 M+",)))))</f>
        <v>6-12 Monaten</v>
      </c>
      <c r="W125">
        <f>IF(tblRentRoll[[#This Row],[Status]]="Vacant", tblRentRoll[[#This Row],[Area_sqm]],0)</f>
        <v>0</v>
      </c>
      <c r="X125" s="3">
        <f>IF(tblRentRoll[[#This Row],[Status]]="Occupied", tblRentRoll[[#This Row],[Area_sqm]],0)</f>
        <v>1370</v>
      </c>
      <c r="Y125" s="3">
        <f ca="1">tblRentRoll[[#This Row],[Month_to_Expiry]]/12*tblRentRoll[[#This Row],[Annual_Rent_EUR]]</f>
        <v>76113.03</v>
      </c>
      <c r="Z125" s="3"/>
    </row>
    <row r="126" spans="1:26" x14ac:dyDescent="0.35">
      <c r="A126" t="s">
        <v>12</v>
      </c>
      <c r="B126" t="s">
        <v>229</v>
      </c>
      <c r="C126" t="s">
        <v>14</v>
      </c>
      <c r="D126">
        <v>1413</v>
      </c>
      <c r="E126" t="s">
        <v>15</v>
      </c>
      <c r="F126" t="s">
        <v>108</v>
      </c>
      <c r="G126">
        <v>20651.169999999998</v>
      </c>
      <c r="H126">
        <v>247814.04</v>
      </c>
      <c r="I126" s="2">
        <f>tblRentRoll[[#This Row],[Monthly_Rent_EUR]]*12</f>
        <v>247814.03999999998</v>
      </c>
      <c r="J126" s="2" t="str">
        <f>IF(tblRentRoll[[#This Row],[Annual_Rent_EUR]]&lt;&gt;tblRentRoll[[#This Row],[Jahresrente_EUR]], "FALSCH", "")</f>
        <v/>
      </c>
      <c r="K126" s="1">
        <v>44633</v>
      </c>
      <c r="L126" s="1">
        <v>45730</v>
      </c>
      <c r="M126">
        <v>2830.58</v>
      </c>
      <c r="N126">
        <v>2820.6</v>
      </c>
      <c r="O12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6" t="str">
        <f>IF(tblRentRoll[[#This Row],[Area_sqm]]&lt;=0,"Area&lt;=0","")</f>
        <v/>
      </c>
      <c r="Q126" t="str">
        <f>IF(tblRentRoll[[#This Row],[Monthly_Rent_EUR]]&lt;=0,"Rent&lt;=0","")</f>
        <v/>
      </c>
      <c r="R126">
        <f>IF(AND(tblRentRoll[[#This Row],[Status]]="Occupied", tblRentRoll[[#This Row],[Area_sqm]]&gt;0), tblRentRoll[[#This Row],[Annual_Rent_EUR]]/tblRentRoll[[#This Row],[Area_sqm]],"")</f>
        <v>175.38148619957536</v>
      </c>
      <c r="S126">
        <f>tblRentRoll[[#This Row],[Service_Charge_EUR]]+tblRentRoll[[#This Row],[Operating_Cost_EUR]]</f>
        <v>5651.18</v>
      </c>
      <c r="T126">
        <f>IF(tblRentRoll[[#This Row],[Annual_Rent_EUR]]&lt;&gt;0,tblRentRoll[[#This Row],[Annual_Rent_EUR]]-tblRentRoll[[#This Row],[Operating_Cost_EUR]], "")</f>
        <v>244993.44</v>
      </c>
      <c r="U126">
        <f ca="1">IF(AND(tblRentRoll[[#This Row],[Status]]="Occupied",tblRentRoll[[#This Row],[Lease_End]]&gt;=TODAY()),DATEDIF(TODAY(),tblRentRoll[[#This Row],[Lease_End]],"m"), 0)</f>
        <v>0</v>
      </c>
      <c r="V126" t="str">
        <f ca="1">IF(tblRentRoll[[#This Row],[Status]]&lt;&gt;"Occupied","", IF(tblRentRoll[[#This Row],[Month_to_Expiry]]&lt;=3, "0-3 Monaten",  IF(tblRentRoll[[#This Row],[Month_to_Expiry]]&lt;=6, "3-6 Monaten", IF(tblRentRoll[[#This Row],[Month_to_Expiry]]&lt;=12,"6-12 Monaten", IF(tblRentRoll[[#This Row],[Month_to_Expiry]]&gt;=12, "12 M+",)))))</f>
        <v>0-3 Monaten</v>
      </c>
      <c r="W126">
        <f>IF(tblRentRoll[[#This Row],[Status]]="Vacant", tblRentRoll[[#This Row],[Area_sqm]],0)</f>
        <v>0</v>
      </c>
      <c r="X126" s="3">
        <f>IF(tblRentRoll[[#This Row],[Status]]="Occupied", tblRentRoll[[#This Row],[Area_sqm]],0)</f>
        <v>1413</v>
      </c>
      <c r="Y126" s="3">
        <f ca="1">tblRentRoll[[#This Row],[Month_to_Expiry]]/12*tblRentRoll[[#This Row],[Annual_Rent_EUR]]</f>
        <v>0</v>
      </c>
      <c r="Z126" s="3"/>
    </row>
    <row r="127" spans="1:26" x14ac:dyDescent="0.35">
      <c r="A127" t="s">
        <v>24</v>
      </c>
      <c r="B127" t="s">
        <v>230</v>
      </c>
      <c r="C127" t="s">
        <v>33</v>
      </c>
      <c r="D127">
        <v>1292</v>
      </c>
      <c r="E127" t="s">
        <v>15</v>
      </c>
      <c r="F127" t="s">
        <v>231</v>
      </c>
      <c r="G127">
        <v>18273.009999999998</v>
      </c>
      <c r="H127">
        <v>219276.12</v>
      </c>
      <c r="I127" s="2">
        <f>tblRentRoll[[#This Row],[Monthly_Rent_EUR]]*12</f>
        <v>219276.12</v>
      </c>
      <c r="J127" s="2" t="str">
        <f>IF(tblRentRoll[[#This Row],[Annual_Rent_EUR]]&lt;&gt;tblRentRoll[[#This Row],[Jahresrente_EUR]], "FALSCH", "")</f>
        <v/>
      </c>
      <c r="K127" s="1">
        <v>45071</v>
      </c>
      <c r="L127" s="1">
        <v>45936</v>
      </c>
      <c r="M127">
        <v>2717.01</v>
      </c>
      <c r="N127">
        <v>2641.22</v>
      </c>
      <c r="O12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7" t="str">
        <f>IF(tblRentRoll[[#This Row],[Area_sqm]]&lt;=0,"Area&lt;=0","")</f>
        <v/>
      </c>
      <c r="Q127" t="str">
        <f>IF(tblRentRoll[[#This Row],[Monthly_Rent_EUR]]&lt;=0,"Rent&lt;=0","")</f>
        <v/>
      </c>
      <c r="R127">
        <f>IF(AND(tblRentRoll[[#This Row],[Status]]="Occupied", tblRentRoll[[#This Row],[Area_sqm]]&gt;0), tblRentRoll[[#This Row],[Annual_Rent_EUR]]/tblRentRoll[[#This Row],[Area_sqm]],"")</f>
        <v>169.71835913312694</v>
      </c>
      <c r="S127">
        <f>tblRentRoll[[#This Row],[Service_Charge_EUR]]+tblRentRoll[[#This Row],[Operating_Cost_EUR]]</f>
        <v>5358.23</v>
      </c>
      <c r="T127">
        <f>IF(tblRentRoll[[#This Row],[Annual_Rent_EUR]]&lt;&gt;0,tblRentRoll[[#This Row],[Annual_Rent_EUR]]-tblRentRoll[[#This Row],[Operating_Cost_EUR]], "")</f>
        <v>216634.9</v>
      </c>
      <c r="U127">
        <f ca="1">IF(AND(tblRentRoll[[#This Row],[Status]]="Occupied",tblRentRoll[[#This Row],[Lease_End]]&gt;=TODAY()),DATEDIF(TODAY(),tblRentRoll[[#This Row],[Lease_End]],"m"), 0)</f>
        <v>0</v>
      </c>
      <c r="V127" t="str">
        <f ca="1">IF(tblRentRoll[[#This Row],[Status]]&lt;&gt;"Occupied","", IF(tblRentRoll[[#This Row],[Month_to_Expiry]]&lt;=3, "0-3 Monaten",  IF(tblRentRoll[[#This Row],[Month_to_Expiry]]&lt;=6, "3-6 Monaten", IF(tblRentRoll[[#This Row],[Month_to_Expiry]]&lt;=12,"6-12 Monaten", IF(tblRentRoll[[#This Row],[Month_to_Expiry]]&gt;=12, "12 M+",)))))</f>
        <v>0-3 Monaten</v>
      </c>
      <c r="W127">
        <f>IF(tblRentRoll[[#This Row],[Status]]="Vacant", tblRentRoll[[#This Row],[Area_sqm]],0)</f>
        <v>0</v>
      </c>
      <c r="X127" s="3">
        <f>IF(tblRentRoll[[#This Row],[Status]]="Occupied", tblRentRoll[[#This Row],[Area_sqm]],0)</f>
        <v>1292</v>
      </c>
      <c r="Y127" s="3">
        <f ca="1">tblRentRoll[[#This Row],[Month_to_Expiry]]/12*tblRentRoll[[#This Row],[Annual_Rent_EUR]]</f>
        <v>0</v>
      </c>
      <c r="Z127" s="3"/>
    </row>
    <row r="128" spans="1:26" x14ac:dyDescent="0.35">
      <c r="A128" t="s">
        <v>56</v>
      </c>
      <c r="B128" t="s">
        <v>232</v>
      </c>
      <c r="C128" t="s">
        <v>33</v>
      </c>
      <c r="D128">
        <v>1474</v>
      </c>
      <c r="E128" t="s">
        <v>15</v>
      </c>
      <c r="F128" t="s">
        <v>233</v>
      </c>
      <c r="G128">
        <v>12489.04</v>
      </c>
      <c r="H128">
        <v>149868.48000000001</v>
      </c>
      <c r="I128" s="2">
        <f>tblRentRoll[[#This Row],[Monthly_Rent_EUR]]*12</f>
        <v>149868.48000000001</v>
      </c>
      <c r="J128" s="2" t="str">
        <f>IF(tblRentRoll[[#This Row],[Annual_Rent_EUR]]&lt;&gt;tblRentRoll[[#This Row],[Jahresrente_EUR]], "FALSCH", "")</f>
        <v/>
      </c>
      <c r="K128" s="1">
        <v>44482</v>
      </c>
      <c r="L128" s="1">
        <v>45990</v>
      </c>
      <c r="M128">
        <v>2508.23</v>
      </c>
      <c r="N128">
        <v>2535.34</v>
      </c>
      <c r="O12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8" t="str">
        <f>IF(tblRentRoll[[#This Row],[Area_sqm]]&lt;=0,"Area&lt;=0","")</f>
        <v/>
      </c>
      <c r="Q128" t="str">
        <f>IF(tblRentRoll[[#This Row],[Monthly_Rent_EUR]]&lt;=0,"Rent&lt;=0","")</f>
        <v/>
      </c>
      <c r="R128">
        <f>IF(AND(tblRentRoll[[#This Row],[Status]]="Occupied", tblRentRoll[[#This Row],[Area_sqm]]&gt;0), tblRentRoll[[#This Row],[Annual_Rent_EUR]]/tblRentRoll[[#This Row],[Area_sqm]],"")</f>
        <v>101.67468113975578</v>
      </c>
      <c r="S128">
        <f>tblRentRoll[[#This Row],[Service_Charge_EUR]]+tblRentRoll[[#This Row],[Operating_Cost_EUR]]</f>
        <v>5043.57</v>
      </c>
      <c r="T128">
        <f>IF(tblRentRoll[[#This Row],[Annual_Rent_EUR]]&lt;&gt;0,tblRentRoll[[#This Row],[Annual_Rent_EUR]]-tblRentRoll[[#This Row],[Operating_Cost_EUR]], "")</f>
        <v>147333.14000000001</v>
      </c>
      <c r="U128">
        <f ca="1">IF(AND(tblRentRoll[[#This Row],[Status]]="Occupied",tblRentRoll[[#This Row],[Lease_End]]&gt;=TODAY()),DATEDIF(TODAY(),tblRentRoll[[#This Row],[Lease_End]],"m"), 0)</f>
        <v>0</v>
      </c>
      <c r="V128" t="str">
        <f ca="1">IF(tblRentRoll[[#This Row],[Status]]&lt;&gt;"Occupied","", IF(tblRentRoll[[#This Row],[Month_to_Expiry]]&lt;=3, "0-3 Monaten",  IF(tblRentRoll[[#This Row],[Month_to_Expiry]]&lt;=6, "3-6 Monaten", IF(tblRentRoll[[#This Row],[Month_to_Expiry]]&lt;=12,"6-12 Monaten", IF(tblRentRoll[[#This Row],[Month_to_Expiry]]&gt;=12, "12 M+",)))))</f>
        <v>0-3 Monaten</v>
      </c>
      <c r="W128">
        <f>IF(tblRentRoll[[#This Row],[Status]]="Vacant", tblRentRoll[[#This Row],[Area_sqm]],0)</f>
        <v>0</v>
      </c>
      <c r="X128" s="3">
        <f>IF(tblRentRoll[[#This Row],[Status]]="Occupied", tblRentRoll[[#This Row],[Area_sqm]],0)</f>
        <v>1474</v>
      </c>
      <c r="Y128" s="3">
        <f ca="1">tblRentRoll[[#This Row],[Month_to_Expiry]]/12*tblRentRoll[[#This Row],[Annual_Rent_EUR]]</f>
        <v>0</v>
      </c>
      <c r="Z128" s="3"/>
    </row>
    <row r="129" spans="1:26" x14ac:dyDescent="0.35">
      <c r="A129" t="s">
        <v>27</v>
      </c>
      <c r="B129" t="s">
        <v>234</v>
      </c>
      <c r="C129" t="s">
        <v>33</v>
      </c>
      <c r="D129">
        <v>1225</v>
      </c>
      <c r="E129" t="s">
        <v>15</v>
      </c>
      <c r="F129" t="s">
        <v>235</v>
      </c>
      <c r="G129">
        <v>14304.18</v>
      </c>
      <c r="H129">
        <v>171650.16</v>
      </c>
      <c r="I129" s="2">
        <f>tblRentRoll[[#This Row],[Monthly_Rent_EUR]]*12</f>
        <v>171650.16</v>
      </c>
      <c r="J129" s="2" t="str">
        <f>IF(tblRentRoll[[#This Row],[Annual_Rent_EUR]]&lt;&gt;tblRentRoll[[#This Row],[Jahresrente_EUR]], "FALSCH", "")</f>
        <v/>
      </c>
      <c r="K129" s="1">
        <v>44833</v>
      </c>
      <c r="L129" s="1">
        <v>45509</v>
      </c>
      <c r="M129">
        <v>3609.61</v>
      </c>
      <c r="N129">
        <v>918.32</v>
      </c>
      <c r="O12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29" t="str">
        <f>IF(tblRentRoll[[#This Row],[Area_sqm]]&lt;=0,"Area&lt;=0","")</f>
        <v/>
      </c>
      <c r="Q129" t="str">
        <f>IF(tblRentRoll[[#This Row],[Monthly_Rent_EUR]]&lt;=0,"Rent&lt;=0","")</f>
        <v/>
      </c>
      <c r="R129">
        <f>IF(AND(tblRentRoll[[#This Row],[Status]]="Occupied", tblRentRoll[[#This Row],[Area_sqm]]&gt;0), tblRentRoll[[#This Row],[Annual_Rent_EUR]]/tblRentRoll[[#This Row],[Area_sqm]],"")</f>
        <v>140.12257959183674</v>
      </c>
      <c r="S129">
        <f>tblRentRoll[[#This Row],[Service_Charge_EUR]]+tblRentRoll[[#This Row],[Operating_Cost_EUR]]</f>
        <v>4527.93</v>
      </c>
      <c r="T129">
        <f>IF(tblRentRoll[[#This Row],[Annual_Rent_EUR]]&lt;&gt;0,tblRentRoll[[#This Row],[Annual_Rent_EUR]]-tblRentRoll[[#This Row],[Operating_Cost_EUR]], "")</f>
        <v>170731.84</v>
      </c>
      <c r="U129">
        <f ca="1">IF(AND(tblRentRoll[[#This Row],[Status]]="Occupied",tblRentRoll[[#This Row],[Lease_End]]&gt;=TODAY()),DATEDIF(TODAY(),tblRentRoll[[#This Row],[Lease_End]],"m"), 0)</f>
        <v>0</v>
      </c>
      <c r="V129" t="str">
        <f ca="1">IF(tblRentRoll[[#This Row],[Status]]&lt;&gt;"Occupied","", IF(tblRentRoll[[#This Row],[Month_to_Expiry]]&lt;=3, "0-3 Monaten",  IF(tblRentRoll[[#This Row],[Month_to_Expiry]]&lt;=6, "3-6 Monaten", IF(tblRentRoll[[#This Row],[Month_to_Expiry]]&lt;=12,"6-12 Monaten", IF(tblRentRoll[[#This Row],[Month_to_Expiry]]&gt;=12, "12 M+",)))))</f>
        <v>0-3 Monaten</v>
      </c>
      <c r="W129">
        <f>IF(tblRentRoll[[#This Row],[Status]]="Vacant", tblRentRoll[[#This Row],[Area_sqm]],0)</f>
        <v>0</v>
      </c>
      <c r="X129" s="3">
        <f>IF(tblRentRoll[[#This Row],[Status]]="Occupied", tblRentRoll[[#This Row],[Area_sqm]],0)</f>
        <v>1225</v>
      </c>
      <c r="Y129" s="3">
        <f ca="1">tblRentRoll[[#This Row],[Month_to_Expiry]]/12*tblRentRoll[[#This Row],[Annual_Rent_EUR]]</f>
        <v>0</v>
      </c>
      <c r="Z129" s="3"/>
    </row>
    <row r="130" spans="1:26" x14ac:dyDescent="0.35">
      <c r="A130" t="s">
        <v>31</v>
      </c>
      <c r="B130" t="s">
        <v>236</v>
      </c>
      <c r="C130" t="s">
        <v>19</v>
      </c>
      <c r="D130">
        <v>1378</v>
      </c>
      <c r="E130" t="s">
        <v>15</v>
      </c>
      <c r="F130" t="s">
        <v>237</v>
      </c>
      <c r="G130">
        <v>15987.33</v>
      </c>
      <c r="H130">
        <v>191847.96</v>
      </c>
      <c r="I130" s="2">
        <f>tblRentRoll[[#This Row],[Monthly_Rent_EUR]]*12</f>
        <v>191847.96</v>
      </c>
      <c r="J130" s="2" t="str">
        <f>IF(tblRentRoll[[#This Row],[Annual_Rent_EUR]]&lt;&gt;tblRentRoll[[#This Row],[Jahresrente_EUR]], "FALSCH", "")</f>
        <v/>
      </c>
      <c r="K130" s="1">
        <v>44383</v>
      </c>
      <c r="L130" s="1">
        <v>45683</v>
      </c>
      <c r="M130">
        <v>3719.22</v>
      </c>
      <c r="N130">
        <v>811.41</v>
      </c>
      <c r="O13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0" t="str">
        <f>IF(tblRentRoll[[#This Row],[Area_sqm]]&lt;=0,"Area&lt;=0","")</f>
        <v/>
      </c>
      <c r="Q130" t="str">
        <f>IF(tblRentRoll[[#This Row],[Monthly_Rent_EUR]]&lt;=0,"Rent&lt;=0","")</f>
        <v/>
      </c>
      <c r="R130">
        <f>IF(AND(tblRentRoll[[#This Row],[Status]]="Occupied", tblRentRoll[[#This Row],[Area_sqm]]&gt;0), tblRentRoll[[#This Row],[Annual_Rent_EUR]]/tblRentRoll[[#This Row],[Area_sqm]],"")</f>
        <v>139.2220319303338</v>
      </c>
      <c r="S130">
        <f>tblRentRoll[[#This Row],[Service_Charge_EUR]]+tblRentRoll[[#This Row],[Operating_Cost_EUR]]</f>
        <v>4530.63</v>
      </c>
      <c r="T130">
        <f>IF(tblRentRoll[[#This Row],[Annual_Rent_EUR]]&lt;&gt;0,tblRentRoll[[#This Row],[Annual_Rent_EUR]]-tblRentRoll[[#This Row],[Operating_Cost_EUR]], "")</f>
        <v>191036.55</v>
      </c>
      <c r="U130">
        <f ca="1">IF(AND(tblRentRoll[[#This Row],[Status]]="Occupied",tblRentRoll[[#This Row],[Lease_End]]&gt;=TODAY()),DATEDIF(TODAY(),tblRentRoll[[#This Row],[Lease_End]],"m"), 0)</f>
        <v>0</v>
      </c>
      <c r="V130" t="str">
        <f ca="1">IF(tblRentRoll[[#This Row],[Status]]&lt;&gt;"Occupied","", IF(tblRentRoll[[#This Row],[Month_to_Expiry]]&lt;=3, "0-3 Monaten",  IF(tblRentRoll[[#This Row],[Month_to_Expiry]]&lt;=6, "3-6 Monaten", IF(tblRentRoll[[#This Row],[Month_to_Expiry]]&lt;=12,"6-12 Monaten", IF(tblRentRoll[[#This Row],[Month_to_Expiry]]&gt;=12, "12 M+",)))))</f>
        <v>0-3 Monaten</v>
      </c>
      <c r="W130">
        <f>IF(tblRentRoll[[#This Row],[Status]]="Vacant", tblRentRoll[[#This Row],[Area_sqm]],0)</f>
        <v>0</v>
      </c>
      <c r="X130" s="3">
        <f>IF(tblRentRoll[[#This Row],[Status]]="Occupied", tblRentRoll[[#This Row],[Area_sqm]],0)</f>
        <v>1378</v>
      </c>
      <c r="Y130" s="3">
        <f ca="1">tblRentRoll[[#This Row],[Month_to_Expiry]]/12*tblRentRoll[[#This Row],[Annual_Rent_EUR]]</f>
        <v>0</v>
      </c>
      <c r="Z130" s="3"/>
    </row>
    <row r="131" spans="1:26" x14ac:dyDescent="0.35">
      <c r="A131" t="s">
        <v>17</v>
      </c>
      <c r="B131" t="s">
        <v>238</v>
      </c>
      <c r="C131" t="s">
        <v>19</v>
      </c>
      <c r="D131">
        <v>621</v>
      </c>
      <c r="E131" t="s">
        <v>20</v>
      </c>
      <c r="G131">
        <v>0</v>
      </c>
      <c r="H131">
        <v>0</v>
      </c>
      <c r="I131" s="2">
        <f>tblRentRoll[[#This Row],[Monthly_Rent_EUR]]*12</f>
        <v>0</v>
      </c>
      <c r="J131" s="2" t="str">
        <f>IF(tblRentRoll[[#This Row],[Annual_Rent_EUR]]&lt;&gt;tblRentRoll[[#This Row],[Jahresrente_EUR]], "FALSCH", "")</f>
        <v/>
      </c>
      <c r="M131">
        <v>1530.41</v>
      </c>
      <c r="N131">
        <v>963.88</v>
      </c>
      <c r="O13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1" t="str">
        <f>IF(tblRentRoll[[#This Row],[Area_sqm]]&lt;=0,"Area&lt;=0","")</f>
        <v/>
      </c>
      <c r="Q131" t="str">
        <f>IF(tblRentRoll[[#This Row],[Monthly_Rent_EUR]]&lt;=0,"Rent&lt;=0","")</f>
        <v>Rent&lt;=0</v>
      </c>
      <c r="R131" t="str">
        <f>IF(AND(tblRentRoll[[#This Row],[Status]]="Occupied", tblRentRoll[[#This Row],[Area_sqm]]&gt;0), tblRentRoll[[#This Row],[Annual_Rent_EUR]]/tblRentRoll[[#This Row],[Area_sqm]],"")</f>
        <v/>
      </c>
      <c r="S131">
        <f>tblRentRoll[[#This Row],[Service_Charge_EUR]]+tblRentRoll[[#This Row],[Operating_Cost_EUR]]</f>
        <v>2494.29</v>
      </c>
      <c r="T131" t="str">
        <f>IF(tblRentRoll[[#This Row],[Annual_Rent_EUR]]&lt;&gt;0,tblRentRoll[[#This Row],[Annual_Rent_EUR]]-tblRentRoll[[#This Row],[Operating_Cost_EUR]], "")</f>
        <v/>
      </c>
      <c r="U131">
        <f ca="1">IF(AND(tblRentRoll[[#This Row],[Status]]="Occupied",tblRentRoll[[#This Row],[Lease_End]]&gt;=TODAY()),DATEDIF(TODAY(),tblRentRoll[[#This Row],[Lease_End]],"m"), 0)</f>
        <v>0</v>
      </c>
      <c r="V131" t="str">
        <f>IF(tblRentRoll[[#This Row],[Status]]&lt;&gt;"Occupied","", IF(tblRentRoll[[#This Row],[Month_to_Expiry]]&lt;=3, "0-3 Monaten",  IF(tblRentRoll[[#This Row],[Month_to_Expiry]]&lt;=6, "3-6 Monaten", IF(tblRentRoll[[#This Row],[Month_to_Expiry]]&lt;=12,"6-12 Monaten", IF(tblRentRoll[[#This Row],[Month_to_Expiry]]&gt;=12, "12 M+",)))))</f>
        <v/>
      </c>
      <c r="W131">
        <f>IF(tblRentRoll[[#This Row],[Status]]="Vacant", tblRentRoll[[#This Row],[Area_sqm]],0)</f>
        <v>621</v>
      </c>
      <c r="X131" s="3">
        <f>IF(tblRentRoll[[#This Row],[Status]]="Occupied", tblRentRoll[[#This Row],[Area_sqm]],0)</f>
        <v>0</v>
      </c>
      <c r="Y131" s="3">
        <f ca="1">tblRentRoll[[#This Row],[Month_to_Expiry]]/12*tblRentRoll[[#This Row],[Annual_Rent_EUR]]</f>
        <v>0</v>
      </c>
      <c r="Z131" s="3"/>
    </row>
    <row r="132" spans="1:26" x14ac:dyDescent="0.35">
      <c r="A132" t="s">
        <v>31</v>
      </c>
      <c r="B132" t="s">
        <v>239</v>
      </c>
      <c r="C132" t="s">
        <v>19</v>
      </c>
      <c r="D132">
        <v>265</v>
      </c>
      <c r="E132" t="s">
        <v>15</v>
      </c>
      <c r="F132" t="s">
        <v>70</v>
      </c>
      <c r="G132">
        <v>4558.95</v>
      </c>
      <c r="H132">
        <v>54707.4</v>
      </c>
      <c r="I132" s="2">
        <f>tblRentRoll[[#This Row],[Monthly_Rent_EUR]]*12</f>
        <v>54707.399999999994</v>
      </c>
      <c r="J132" s="2" t="str">
        <f>IF(tblRentRoll[[#This Row],[Annual_Rent_EUR]]&lt;&gt;tblRentRoll[[#This Row],[Jahresrente_EUR]], "FALSCH", "")</f>
        <v/>
      </c>
      <c r="K132" s="1">
        <v>44424</v>
      </c>
      <c r="L132" s="1">
        <v>45647</v>
      </c>
      <c r="M132">
        <v>510.13</v>
      </c>
      <c r="N132">
        <v>327.23</v>
      </c>
      <c r="O13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2" t="str">
        <f>IF(tblRentRoll[[#This Row],[Area_sqm]]&lt;=0,"Area&lt;=0","")</f>
        <v/>
      </c>
      <c r="Q132" t="str">
        <f>IF(tblRentRoll[[#This Row],[Monthly_Rent_EUR]]&lt;=0,"Rent&lt;=0","")</f>
        <v/>
      </c>
      <c r="R132">
        <f>IF(AND(tblRentRoll[[#This Row],[Status]]="Occupied", tblRentRoll[[#This Row],[Area_sqm]]&gt;0), tblRentRoll[[#This Row],[Annual_Rent_EUR]]/tblRentRoll[[#This Row],[Area_sqm]],"")</f>
        <v>206.44301886792454</v>
      </c>
      <c r="S132">
        <f>tblRentRoll[[#This Row],[Service_Charge_EUR]]+tblRentRoll[[#This Row],[Operating_Cost_EUR]]</f>
        <v>837.36</v>
      </c>
      <c r="T132">
        <f>IF(tblRentRoll[[#This Row],[Annual_Rent_EUR]]&lt;&gt;0,tblRentRoll[[#This Row],[Annual_Rent_EUR]]-tblRentRoll[[#This Row],[Operating_Cost_EUR]], "")</f>
        <v>54380.17</v>
      </c>
      <c r="U132">
        <f ca="1">IF(AND(tblRentRoll[[#This Row],[Status]]="Occupied",tblRentRoll[[#This Row],[Lease_End]]&gt;=TODAY()),DATEDIF(TODAY(),tblRentRoll[[#This Row],[Lease_End]],"m"), 0)</f>
        <v>0</v>
      </c>
      <c r="V132" t="str">
        <f ca="1">IF(tblRentRoll[[#This Row],[Status]]&lt;&gt;"Occupied","", IF(tblRentRoll[[#This Row],[Month_to_Expiry]]&lt;=3, "0-3 Monaten",  IF(tblRentRoll[[#This Row],[Month_to_Expiry]]&lt;=6, "3-6 Monaten", IF(tblRentRoll[[#This Row],[Month_to_Expiry]]&lt;=12,"6-12 Monaten", IF(tblRentRoll[[#This Row],[Month_to_Expiry]]&gt;=12, "12 M+",)))))</f>
        <v>0-3 Monaten</v>
      </c>
      <c r="W132">
        <f>IF(tblRentRoll[[#This Row],[Status]]="Vacant", tblRentRoll[[#This Row],[Area_sqm]],0)</f>
        <v>0</v>
      </c>
      <c r="X132" s="3">
        <f>IF(tblRentRoll[[#This Row],[Status]]="Occupied", tblRentRoll[[#This Row],[Area_sqm]],0)</f>
        <v>265</v>
      </c>
      <c r="Y132" s="3">
        <f ca="1">tblRentRoll[[#This Row],[Month_to_Expiry]]/12*tblRentRoll[[#This Row],[Annual_Rent_EUR]]</f>
        <v>0</v>
      </c>
      <c r="Z132" s="3"/>
    </row>
    <row r="133" spans="1:26" x14ac:dyDescent="0.35">
      <c r="A133" t="s">
        <v>44</v>
      </c>
      <c r="B133" t="s">
        <v>240</v>
      </c>
      <c r="C133" t="s">
        <v>29</v>
      </c>
      <c r="D133">
        <v>1329</v>
      </c>
      <c r="E133" t="s">
        <v>15</v>
      </c>
      <c r="F133" t="s">
        <v>241</v>
      </c>
      <c r="G133">
        <v>21552</v>
      </c>
      <c r="H133">
        <v>258624</v>
      </c>
      <c r="I133" s="2">
        <f>tblRentRoll[[#This Row],[Monthly_Rent_EUR]]*12</f>
        <v>258624</v>
      </c>
      <c r="J133" s="2" t="str">
        <f>IF(tblRentRoll[[#This Row],[Annual_Rent_EUR]]&lt;&gt;tblRentRoll[[#This Row],[Jahresrente_EUR]], "FALSCH", "")</f>
        <v/>
      </c>
      <c r="K133" s="1">
        <v>45046</v>
      </c>
      <c r="L133" s="1">
        <v>45768</v>
      </c>
      <c r="M133">
        <v>2758</v>
      </c>
      <c r="N133">
        <v>1530.66</v>
      </c>
      <c r="O13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3" t="str">
        <f>IF(tblRentRoll[[#This Row],[Area_sqm]]&lt;=0,"Area&lt;=0","")</f>
        <v/>
      </c>
      <c r="Q133" t="str">
        <f>IF(tblRentRoll[[#This Row],[Monthly_Rent_EUR]]&lt;=0,"Rent&lt;=0","")</f>
        <v/>
      </c>
      <c r="R133">
        <f>IF(AND(tblRentRoll[[#This Row],[Status]]="Occupied", tblRentRoll[[#This Row],[Area_sqm]]&gt;0), tblRentRoll[[#This Row],[Annual_Rent_EUR]]/tblRentRoll[[#This Row],[Area_sqm]],"")</f>
        <v>194.60045146726861</v>
      </c>
      <c r="S133">
        <f>tblRentRoll[[#This Row],[Service_Charge_EUR]]+tblRentRoll[[#This Row],[Operating_Cost_EUR]]</f>
        <v>4288.66</v>
      </c>
      <c r="T133">
        <f>IF(tblRentRoll[[#This Row],[Annual_Rent_EUR]]&lt;&gt;0,tblRentRoll[[#This Row],[Annual_Rent_EUR]]-tblRentRoll[[#This Row],[Operating_Cost_EUR]], "")</f>
        <v>257093.34</v>
      </c>
      <c r="U133">
        <f ca="1">IF(AND(tblRentRoll[[#This Row],[Status]]="Occupied",tblRentRoll[[#This Row],[Lease_End]]&gt;=TODAY()),DATEDIF(TODAY(),tblRentRoll[[#This Row],[Lease_End]],"m"), 0)</f>
        <v>0</v>
      </c>
      <c r="V133" t="str">
        <f ca="1">IF(tblRentRoll[[#This Row],[Status]]&lt;&gt;"Occupied","", IF(tblRentRoll[[#This Row],[Month_to_Expiry]]&lt;=3, "0-3 Monaten",  IF(tblRentRoll[[#This Row],[Month_to_Expiry]]&lt;=6, "3-6 Monaten", IF(tblRentRoll[[#This Row],[Month_to_Expiry]]&lt;=12,"6-12 Monaten", IF(tblRentRoll[[#This Row],[Month_to_Expiry]]&gt;=12, "12 M+",)))))</f>
        <v>0-3 Monaten</v>
      </c>
      <c r="W133">
        <f>IF(tblRentRoll[[#This Row],[Status]]="Vacant", tblRentRoll[[#This Row],[Area_sqm]],0)</f>
        <v>0</v>
      </c>
      <c r="X133" s="3">
        <f>IF(tblRentRoll[[#This Row],[Status]]="Occupied", tblRentRoll[[#This Row],[Area_sqm]],0)</f>
        <v>1329</v>
      </c>
      <c r="Y133" s="3">
        <f ca="1">tblRentRoll[[#This Row],[Month_to_Expiry]]/12*tblRentRoll[[#This Row],[Annual_Rent_EUR]]</f>
        <v>0</v>
      </c>
      <c r="Z133" s="3"/>
    </row>
    <row r="134" spans="1:26" x14ac:dyDescent="0.35">
      <c r="A134" t="s">
        <v>44</v>
      </c>
      <c r="B134" t="s">
        <v>242</v>
      </c>
      <c r="C134" t="s">
        <v>29</v>
      </c>
      <c r="D134">
        <v>720</v>
      </c>
      <c r="E134" t="s">
        <v>15</v>
      </c>
      <c r="F134" t="s">
        <v>243</v>
      </c>
      <c r="G134">
        <v>8217.56</v>
      </c>
      <c r="H134">
        <v>98610.72</v>
      </c>
      <c r="I134" s="2">
        <f>tblRentRoll[[#This Row],[Monthly_Rent_EUR]]*12</f>
        <v>98610.72</v>
      </c>
      <c r="J134" s="2" t="str">
        <f>IF(tblRentRoll[[#This Row],[Annual_Rent_EUR]]&lt;&gt;tblRentRoll[[#This Row],[Jahresrente_EUR]], "FALSCH", "")</f>
        <v/>
      </c>
      <c r="K134" s="1">
        <v>44962</v>
      </c>
      <c r="L134" s="1">
        <v>45891</v>
      </c>
      <c r="M134">
        <v>951.34</v>
      </c>
      <c r="N134">
        <v>1092.56</v>
      </c>
      <c r="O13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4" t="str">
        <f>IF(tblRentRoll[[#This Row],[Area_sqm]]&lt;=0,"Area&lt;=0","")</f>
        <v/>
      </c>
      <c r="Q134" t="str">
        <f>IF(tblRentRoll[[#This Row],[Monthly_Rent_EUR]]&lt;=0,"Rent&lt;=0","")</f>
        <v/>
      </c>
      <c r="R134">
        <f>IF(AND(tblRentRoll[[#This Row],[Status]]="Occupied", tblRentRoll[[#This Row],[Area_sqm]]&gt;0), tblRentRoll[[#This Row],[Annual_Rent_EUR]]/tblRentRoll[[#This Row],[Area_sqm]],"")</f>
        <v>136.95933333333335</v>
      </c>
      <c r="S134">
        <f>tblRentRoll[[#This Row],[Service_Charge_EUR]]+tblRentRoll[[#This Row],[Operating_Cost_EUR]]</f>
        <v>2043.9</v>
      </c>
      <c r="T134">
        <f>IF(tblRentRoll[[#This Row],[Annual_Rent_EUR]]&lt;&gt;0,tblRentRoll[[#This Row],[Annual_Rent_EUR]]-tblRentRoll[[#This Row],[Operating_Cost_EUR]], "")</f>
        <v>97518.16</v>
      </c>
      <c r="U134">
        <f ca="1">IF(AND(tblRentRoll[[#This Row],[Status]]="Occupied",tblRentRoll[[#This Row],[Lease_End]]&gt;=TODAY()),DATEDIF(TODAY(),tblRentRoll[[#This Row],[Lease_End]],"m"), 0)</f>
        <v>0</v>
      </c>
      <c r="V134" t="str">
        <f ca="1">IF(tblRentRoll[[#This Row],[Status]]&lt;&gt;"Occupied","", IF(tblRentRoll[[#This Row],[Month_to_Expiry]]&lt;=3, "0-3 Monaten",  IF(tblRentRoll[[#This Row],[Month_to_Expiry]]&lt;=6, "3-6 Monaten", IF(tblRentRoll[[#This Row],[Month_to_Expiry]]&lt;=12,"6-12 Monaten", IF(tblRentRoll[[#This Row],[Month_to_Expiry]]&gt;=12, "12 M+",)))))</f>
        <v>0-3 Monaten</v>
      </c>
      <c r="W134">
        <f>IF(tblRentRoll[[#This Row],[Status]]="Vacant", tblRentRoll[[#This Row],[Area_sqm]],0)</f>
        <v>0</v>
      </c>
      <c r="X134" s="3">
        <f>IF(tblRentRoll[[#This Row],[Status]]="Occupied", tblRentRoll[[#This Row],[Area_sqm]],0)</f>
        <v>720</v>
      </c>
      <c r="Y134" s="3">
        <f ca="1">tblRentRoll[[#This Row],[Month_to_Expiry]]/12*tblRentRoll[[#This Row],[Annual_Rent_EUR]]</f>
        <v>0</v>
      </c>
      <c r="Z134" s="3"/>
    </row>
    <row r="135" spans="1:26" x14ac:dyDescent="0.35">
      <c r="A135" t="s">
        <v>17</v>
      </c>
      <c r="B135" t="s">
        <v>244</v>
      </c>
      <c r="C135" t="s">
        <v>19</v>
      </c>
      <c r="D135">
        <v>717</v>
      </c>
      <c r="E135" t="s">
        <v>15</v>
      </c>
      <c r="F135" t="s">
        <v>237</v>
      </c>
      <c r="G135">
        <v>7969.82</v>
      </c>
      <c r="H135">
        <v>95637.84</v>
      </c>
      <c r="I135" s="2">
        <f>tblRentRoll[[#This Row],[Monthly_Rent_EUR]]*12</f>
        <v>95637.84</v>
      </c>
      <c r="J135" s="2" t="str">
        <f>IF(tblRentRoll[[#This Row],[Annual_Rent_EUR]]&lt;&gt;tblRentRoll[[#This Row],[Jahresrente_EUR]], "FALSCH", "")</f>
        <v/>
      </c>
      <c r="K135" s="1">
        <v>44737</v>
      </c>
      <c r="L135" s="1">
        <v>46519</v>
      </c>
      <c r="M135">
        <v>1312.69</v>
      </c>
      <c r="N135">
        <v>1207.94</v>
      </c>
      <c r="O13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5" t="str">
        <f>IF(tblRentRoll[[#This Row],[Area_sqm]]&lt;=0,"Area&lt;=0","")</f>
        <v/>
      </c>
      <c r="Q135" t="str">
        <f>IF(tblRentRoll[[#This Row],[Monthly_Rent_EUR]]&lt;=0,"Rent&lt;=0","")</f>
        <v/>
      </c>
      <c r="R135">
        <f>IF(AND(tblRentRoll[[#This Row],[Status]]="Occupied", tblRentRoll[[#This Row],[Area_sqm]]&gt;0), tblRentRoll[[#This Row],[Annual_Rent_EUR]]/tblRentRoll[[#This Row],[Area_sqm]],"")</f>
        <v>133.38610878661086</v>
      </c>
      <c r="S135">
        <f>tblRentRoll[[#This Row],[Service_Charge_EUR]]+tblRentRoll[[#This Row],[Operating_Cost_EUR]]</f>
        <v>2520.63</v>
      </c>
      <c r="T135">
        <f>IF(tblRentRoll[[#This Row],[Annual_Rent_EUR]]&lt;&gt;0,tblRentRoll[[#This Row],[Annual_Rent_EUR]]-tblRentRoll[[#This Row],[Operating_Cost_EUR]], "")</f>
        <v>94429.9</v>
      </c>
      <c r="U135">
        <f ca="1">IF(AND(tblRentRoll[[#This Row],[Status]]="Occupied",tblRentRoll[[#This Row],[Lease_End]]&gt;=TODAY()),DATEDIF(TODAY(),tblRentRoll[[#This Row],[Lease_End]],"m"), 0)</f>
        <v>14</v>
      </c>
      <c r="V135" t="str">
        <f ca="1">IF(tblRentRoll[[#This Row],[Status]]&lt;&gt;"Occupied","", IF(tblRentRoll[[#This Row],[Month_to_Expiry]]&lt;=3, "0-3 Monaten",  IF(tblRentRoll[[#This Row],[Month_to_Expiry]]&lt;=6, "3-6 Monaten", IF(tblRentRoll[[#This Row],[Month_to_Expiry]]&lt;=12,"6-12 Monaten", IF(tblRentRoll[[#This Row],[Month_to_Expiry]]&gt;=12, "12 M+",)))))</f>
        <v>12 M+</v>
      </c>
      <c r="W135">
        <f>IF(tblRentRoll[[#This Row],[Status]]="Vacant", tblRentRoll[[#This Row],[Area_sqm]],0)</f>
        <v>0</v>
      </c>
      <c r="X135" s="3">
        <f>IF(tblRentRoll[[#This Row],[Status]]="Occupied", tblRentRoll[[#This Row],[Area_sqm]],0)</f>
        <v>717</v>
      </c>
      <c r="Y135" s="3">
        <f ca="1">tblRentRoll[[#This Row],[Month_to_Expiry]]/12*tblRentRoll[[#This Row],[Annual_Rent_EUR]]</f>
        <v>111577.48</v>
      </c>
      <c r="Z135" s="3"/>
    </row>
    <row r="136" spans="1:26" x14ac:dyDescent="0.35">
      <c r="A136" t="s">
        <v>56</v>
      </c>
      <c r="B136" t="s">
        <v>245</v>
      </c>
      <c r="C136" t="s">
        <v>14</v>
      </c>
      <c r="D136">
        <v>794</v>
      </c>
      <c r="E136" t="s">
        <v>20</v>
      </c>
      <c r="G136">
        <v>0</v>
      </c>
      <c r="H136">
        <v>0</v>
      </c>
      <c r="I136" s="2">
        <f>tblRentRoll[[#This Row],[Monthly_Rent_EUR]]*12</f>
        <v>0</v>
      </c>
      <c r="J136" s="2" t="str">
        <f>IF(tblRentRoll[[#This Row],[Annual_Rent_EUR]]&lt;&gt;tblRentRoll[[#This Row],[Jahresrente_EUR]], "FALSCH", "")</f>
        <v/>
      </c>
      <c r="M136">
        <v>1195.74</v>
      </c>
      <c r="N136">
        <v>1212.1400000000001</v>
      </c>
      <c r="O13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6" t="str">
        <f>IF(tblRentRoll[[#This Row],[Area_sqm]]&lt;=0,"Area&lt;=0","")</f>
        <v/>
      </c>
      <c r="Q136" t="str">
        <f>IF(tblRentRoll[[#This Row],[Monthly_Rent_EUR]]&lt;=0,"Rent&lt;=0","")</f>
        <v>Rent&lt;=0</v>
      </c>
      <c r="R136" t="str">
        <f>IF(AND(tblRentRoll[[#This Row],[Status]]="Occupied", tblRentRoll[[#This Row],[Area_sqm]]&gt;0), tblRentRoll[[#This Row],[Annual_Rent_EUR]]/tblRentRoll[[#This Row],[Area_sqm]],"")</f>
        <v/>
      </c>
      <c r="S136">
        <f>tblRentRoll[[#This Row],[Service_Charge_EUR]]+tblRentRoll[[#This Row],[Operating_Cost_EUR]]</f>
        <v>2407.88</v>
      </c>
      <c r="T136" t="str">
        <f>IF(tblRentRoll[[#This Row],[Annual_Rent_EUR]]&lt;&gt;0,tblRentRoll[[#This Row],[Annual_Rent_EUR]]-tblRentRoll[[#This Row],[Operating_Cost_EUR]], "")</f>
        <v/>
      </c>
      <c r="U136">
        <f ca="1">IF(AND(tblRentRoll[[#This Row],[Status]]="Occupied",tblRentRoll[[#This Row],[Lease_End]]&gt;=TODAY()),DATEDIF(TODAY(),tblRentRoll[[#This Row],[Lease_End]],"m"), 0)</f>
        <v>0</v>
      </c>
      <c r="V136" t="str">
        <f>IF(tblRentRoll[[#This Row],[Status]]&lt;&gt;"Occupied","", IF(tblRentRoll[[#This Row],[Month_to_Expiry]]&lt;=3, "0-3 Monaten",  IF(tblRentRoll[[#This Row],[Month_to_Expiry]]&lt;=6, "3-6 Monaten", IF(tblRentRoll[[#This Row],[Month_to_Expiry]]&lt;=12,"6-12 Monaten", IF(tblRentRoll[[#This Row],[Month_to_Expiry]]&gt;=12, "12 M+",)))))</f>
        <v/>
      </c>
      <c r="W136">
        <f>IF(tblRentRoll[[#This Row],[Status]]="Vacant", tblRentRoll[[#This Row],[Area_sqm]],0)</f>
        <v>794</v>
      </c>
      <c r="X136" s="3">
        <f>IF(tblRentRoll[[#This Row],[Status]]="Occupied", tblRentRoll[[#This Row],[Area_sqm]],0)</f>
        <v>0</v>
      </c>
      <c r="Y136" s="3">
        <f ca="1">tblRentRoll[[#This Row],[Month_to_Expiry]]/12*tblRentRoll[[#This Row],[Annual_Rent_EUR]]</f>
        <v>0</v>
      </c>
      <c r="Z136" s="3"/>
    </row>
    <row r="137" spans="1:26" x14ac:dyDescent="0.35">
      <c r="A137" t="s">
        <v>31</v>
      </c>
      <c r="B137" t="s">
        <v>246</v>
      </c>
      <c r="C137" t="s">
        <v>29</v>
      </c>
      <c r="D137">
        <v>484</v>
      </c>
      <c r="E137" t="s">
        <v>15</v>
      </c>
      <c r="F137" t="s">
        <v>247</v>
      </c>
      <c r="G137">
        <v>2978.34</v>
      </c>
      <c r="H137">
        <v>35740.080000000002</v>
      </c>
      <c r="I137" s="2">
        <f>tblRentRoll[[#This Row],[Monthly_Rent_EUR]]*12</f>
        <v>35740.080000000002</v>
      </c>
      <c r="J137" s="2" t="str">
        <f>IF(tblRentRoll[[#This Row],[Annual_Rent_EUR]]&lt;&gt;tblRentRoll[[#This Row],[Jahresrente_EUR]], "FALSCH", "")</f>
        <v/>
      </c>
      <c r="K137" s="1">
        <v>45012</v>
      </c>
      <c r="L137" s="1">
        <v>46693</v>
      </c>
      <c r="M137">
        <v>1150.81</v>
      </c>
      <c r="N137">
        <v>471.75</v>
      </c>
      <c r="O13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7" t="str">
        <f>IF(tblRentRoll[[#This Row],[Area_sqm]]&lt;=0,"Area&lt;=0","")</f>
        <v/>
      </c>
      <c r="Q137" t="str">
        <f>IF(tblRentRoll[[#This Row],[Monthly_Rent_EUR]]&lt;=0,"Rent&lt;=0","")</f>
        <v/>
      </c>
      <c r="R137">
        <f>IF(AND(tblRentRoll[[#This Row],[Status]]="Occupied", tblRentRoll[[#This Row],[Area_sqm]]&gt;0), tblRentRoll[[#This Row],[Annual_Rent_EUR]]/tblRentRoll[[#This Row],[Area_sqm]],"")</f>
        <v>73.843140495867772</v>
      </c>
      <c r="S137">
        <f>tblRentRoll[[#This Row],[Service_Charge_EUR]]+tblRentRoll[[#This Row],[Operating_Cost_EUR]]</f>
        <v>1622.56</v>
      </c>
      <c r="T137">
        <f>IF(tblRentRoll[[#This Row],[Annual_Rent_EUR]]&lt;&gt;0,tblRentRoll[[#This Row],[Annual_Rent_EUR]]-tblRentRoll[[#This Row],[Operating_Cost_EUR]], "")</f>
        <v>35268.33</v>
      </c>
      <c r="U137">
        <f ca="1">IF(AND(tblRentRoll[[#This Row],[Status]]="Occupied",tblRentRoll[[#This Row],[Lease_End]]&gt;=TODAY()),DATEDIF(TODAY(),tblRentRoll[[#This Row],[Lease_End]],"m"), 0)</f>
        <v>19</v>
      </c>
      <c r="V137" t="str">
        <f ca="1">IF(tblRentRoll[[#This Row],[Status]]&lt;&gt;"Occupied","", IF(tblRentRoll[[#This Row],[Month_to_Expiry]]&lt;=3, "0-3 Monaten",  IF(tblRentRoll[[#This Row],[Month_to_Expiry]]&lt;=6, "3-6 Monaten", IF(tblRentRoll[[#This Row],[Month_to_Expiry]]&lt;=12,"6-12 Monaten", IF(tblRentRoll[[#This Row],[Month_to_Expiry]]&gt;=12, "12 M+",)))))</f>
        <v>12 M+</v>
      </c>
      <c r="W137">
        <f>IF(tblRentRoll[[#This Row],[Status]]="Vacant", tblRentRoll[[#This Row],[Area_sqm]],0)</f>
        <v>0</v>
      </c>
      <c r="X137" s="3">
        <f>IF(tblRentRoll[[#This Row],[Status]]="Occupied", tblRentRoll[[#This Row],[Area_sqm]],0)</f>
        <v>484</v>
      </c>
      <c r="Y137" s="3">
        <f ca="1">tblRentRoll[[#This Row],[Month_to_Expiry]]/12*tblRentRoll[[#This Row],[Annual_Rent_EUR]]</f>
        <v>56588.46</v>
      </c>
      <c r="Z137" s="3"/>
    </row>
    <row r="138" spans="1:26" x14ac:dyDescent="0.35">
      <c r="A138" t="s">
        <v>56</v>
      </c>
      <c r="B138" t="s">
        <v>248</v>
      </c>
      <c r="C138" t="s">
        <v>19</v>
      </c>
      <c r="D138">
        <v>1024</v>
      </c>
      <c r="E138" t="s">
        <v>15</v>
      </c>
      <c r="F138" t="s">
        <v>249</v>
      </c>
      <c r="G138">
        <v>8410.08</v>
      </c>
      <c r="H138">
        <v>100920.96000000001</v>
      </c>
      <c r="I138" s="2">
        <f>tblRentRoll[[#This Row],[Monthly_Rent_EUR]]*12</f>
        <v>100920.95999999999</v>
      </c>
      <c r="J138" s="2" t="str">
        <f>IF(tblRentRoll[[#This Row],[Annual_Rent_EUR]]&lt;&gt;tblRentRoll[[#This Row],[Jahresrente_EUR]], "FALSCH", "")</f>
        <v/>
      </c>
      <c r="K138" s="1">
        <v>44984</v>
      </c>
      <c r="L138" s="1">
        <v>46413</v>
      </c>
      <c r="M138">
        <v>1260.0999999999999</v>
      </c>
      <c r="N138">
        <v>1157.5999999999999</v>
      </c>
      <c r="O13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8" t="str">
        <f>IF(tblRentRoll[[#This Row],[Area_sqm]]&lt;=0,"Area&lt;=0","")</f>
        <v/>
      </c>
      <c r="Q138" t="str">
        <f>IF(tblRentRoll[[#This Row],[Monthly_Rent_EUR]]&lt;=0,"Rent&lt;=0","")</f>
        <v/>
      </c>
      <c r="R138">
        <f>IF(AND(tblRentRoll[[#This Row],[Status]]="Occupied", tblRentRoll[[#This Row],[Area_sqm]]&gt;0), tblRentRoll[[#This Row],[Annual_Rent_EUR]]/tblRentRoll[[#This Row],[Area_sqm]],"")</f>
        <v>98.555625000000006</v>
      </c>
      <c r="S138">
        <f>tblRentRoll[[#This Row],[Service_Charge_EUR]]+tblRentRoll[[#This Row],[Operating_Cost_EUR]]</f>
        <v>2417.6999999999998</v>
      </c>
      <c r="T138">
        <f>IF(tblRentRoll[[#This Row],[Annual_Rent_EUR]]&lt;&gt;0,tblRentRoll[[#This Row],[Annual_Rent_EUR]]-tblRentRoll[[#This Row],[Operating_Cost_EUR]], "")</f>
        <v>99763.36</v>
      </c>
      <c r="U138">
        <f ca="1">IF(AND(tblRentRoll[[#This Row],[Status]]="Occupied",tblRentRoll[[#This Row],[Lease_End]]&gt;=TODAY()),DATEDIF(TODAY(),tblRentRoll[[#This Row],[Lease_End]],"m"), 0)</f>
        <v>10</v>
      </c>
      <c r="V138" t="str">
        <f ca="1">IF(tblRentRoll[[#This Row],[Status]]&lt;&gt;"Occupied","", IF(tblRentRoll[[#This Row],[Month_to_Expiry]]&lt;=3, "0-3 Monaten",  IF(tblRentRoll[[#This Row],[Month_to_Expiry]]&lt;=6, "3-6 Monaten", IF(tblRentRoll[[#This Row],[Month_to_Expiry]]&lt;=12,"6-12 Monaten", IF(tblRentRoll[[#This Row],[Month_to_Expiry]]&gt;=12, "12 M+",)))))</f>
        <v>6-12 Monaten</v>
      </c>
      <c r="W138">
        <f>IF(tblRentRoll[[#This Row],[Status]]="Vacant", tblRentRoll[[#This Row],[Area_sqm]],0)</f>
        <v>0</v>
      </c>
      <c r="X138" s="3">
        <f>IF(tblRentRoll[[#This Row],[Status]]="Occupied", tblRentRoll[[#This Row],[Area_sqm]],0)</f>
        <v>1024</v>
      </c>
      <c r="Y138" s="3">
        <f ca="1">tblRentRoll[[#This Row],[Month_to_Expiry]]/12*tblRentRoll[[#This Row],[Annual_Rent_EUR]]</f>
        <v>84100.800000000003</v>
      </c>
      <c r="Z138" s="3"/>
    </row>
    <row r="139" spans="1:26" x14ac:dyDescent="0.35">
      <c r="A139" t="s">
        <v>56</v>
      </c>
      <c r="B139" t="s">
        <v>250</v>
      </c>
      <c r="C139" t="s">
        <v>14</v>
      </c>
      <c r="D139">
        <v>999</v>
      </c>
      <c r="E139" t="s">
        <v>15</v>
      </c>
      <c r="F139" t="s">
        <v>251</v>
      </c>
      <c r="G139">
        <v>6966.64</v>
      </c>
      <c r="H139">
        <v>83599.679999999993</v>
      </c>
      <c r="I139" s="2">
        <f>tblRentRoll[[#This Row],[Monthly_Rent_EUR]]*12</f>
        <v>83599.680000000008</v>
      </c>
      <c r="J139" s="2" t="str">
        <f>IF(tblRentRoll[[#This Row],[Annual_Rent_EUR]]&lt;&gt;tblRentRoll[[#This Row],[Jahresrente_EUR]], "FALSCH", "")</f>
        <v/>
      </c>
      <c r="K139" s="1">
        <v>44455</v>
      </c>
      <c r="L139" s="1">
        <v>46199</v>
      </c>
      <c r="M139">
        <v>1310.47</v>
      </c>
      <c r="N139">
        <v>595.6</v>
      </c>
      <c r="O13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39" t="str">
        <f>IF(tblRentRoll[[#This Row],[Area_sqm]]&lt;=0,"Area&lt;=0","")</f>
        <v/>
      </c>
      <c r="Q139" t="str">
        <f>IF(tblRentRoll[[#This Row],[Monthly_Rent_EUR]]&lt;=0,"Rent&lt;=0","")</f>
        <v/>
      </c>
      <c r="R139">
        <f>IF(AND(tblRentRoll[[#This Row],[Status]]="Occupied", tblRentRoll[[#This Row],[Area_sqm]]&gt;0), tblRentRoll[[#This Row],[Annual_Rent_EUR]]/tblRentRoll[[#This Row],[Area_sqm]],"")</f>
        <v>83.683363363363355</v>
      </c>
      <c r="S139">
        <f>tblRentRoll[[#This Row],[Service_Charge_EUR]]+tblRentRoll[[#This Row],[Operating_Cost_EUR]]</f>
        <v>1906.0700000000002</v>
      </c>
      <c r="T139">
        <f>IF(tblRentRoll[[#This Row],[Annual_Rent_EUR]]&lt;&gt;0,tblRentRoll[[#This Row],[Annual_Rent_EUR]]-tblRentRoll[[#This Row],[Operating_Cost_EUR]], "")</f>
        <v>83004.079999999987</v>
      </c>
      <c r="U139">
        <f ca="1">IF(AND(tblRentRoll[[#This Row],[Status]]="Occupied",tblRentRoll[[#This Row],[Lease_End]]&gt;=TODAY()),DATEDIF(TODAY(),tblRentRoll[[#This Row],[Lease_End]],"m"), 0)</f>
        <v>3</v>
      </c>
      <c r="V139" t="str">
        <f ca="1">IF(tblRentRoll[[#This Row],[Status]]&lt;&gt;"Occupied","", IF(tblRentRoll[[#This Row],[Month_to_Expiry]]&lt;=3, "0-3 Monaten",  IF(tblRentRoll[[#This Row],[Month_to_Expiry]]&lt;=6, "3-6 Monaten", IF(tblRentRoll[[#This Row],[Month_to_Expiry]]&lt;=12,"6-12 Monaten", IF(tblRentRoll[[#This Row],[Month_to_Expiry]]&gt;=12, "12 M+",)))))</f>
        <v>0-3 Monaten</v>
      </c>
      <c r="W139">
        <f>IF(tblRentRoll[[#This Row],[Status]]="Vacant", tblRentRoll[[#This Row],[Area_sqm]],0)</f>
        <v>0</v>
      </c>
      <c r="X139" s="3">
        <f>IF(tblRentRoll[[#This Row],[Status]]="Occupied", tblRentRoll[[#This Row],[Area_sqm]],0)</f>
        <v>999</v>
      </c>
      <c r="Y139" s="3">
        <f ca="1">tblRentRoll[[#This Row],[Month_to_Expiry]]/12*tblRentRoll[[#This Row],[Annual_Rent_EUR]]</f>
        <v>20899.919999999998</v>
      </c>
      <c r="Z139" s="3"/>
    </row>
    <row r="140" spans="1:26" x14ac:dyDescent="0.35">
      <c r="A140" t="s">
        <v>21</v>
      </c>
      <c r="B140" t="s">
        <v>252</v>
      </c>
      <c r="C140" t="s">
        <v>33</v>
      </c>
      <c r="D140">
        <v>1024</v>
      </c>
      <c r="E140" t="s">
        <v>20</v>
      </c>
      <c r="G140">
        <v>0</v>
      </c>
      <c r="H140">
        <v>0</v>
      </c>
      <c r="I140" s="2">
        <f>tblRentRoll[[#This Row],[Monthly_Rent_EUR]]*12</f>
        <v>0</v>
      </c>
      <c r="J140" s="2" t="str">
        <f>IF(tblRentRoll[[#This Row],[Annual_Rent_EUR]]&lt;&gt;tblRentRoll[[#This Row],[Jahresrente_EUR]], "FALSCH", "")</f>
        <v/>
      </c>
      <c r="M140">
        <v>2609.42</v>
      </c>
      <c r="N140">
        <v>946.26</v>
      </c>
      <c r="O14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0" t="str">
        <f>IF(tblRentRoll[[#This Row],[Area_sqm]]&lt;=0,"Area&lt;=0","")</f>
        <v/>
      </c>
      <c r="Q140" t="str">
        <f>IF(tblRentRoll[[#This Row],[Monthly_Rent_EUR]]&lt;=0,"Rent&lt;=0","")</f>
        <v>Rent&lt;=0</v>
      </c>
      <c r="R140" t="str">
        <f>IF(AND(tblRentRoll[[#This Row],[Status]]="Occupied", tblRentRoll[[#This Row],[Area_sqm]]&gt;0), tblRentRoll[[#This Row],[Annual_Rent_EUR]]/tblRentRoll[[#This Row],[Area_sqm]],"")</f>
        <v/>
      </c>
      <c r="S140">
        <f>tblRentRoll[[#This Row],[Service_Charge_EUR]]+tblRentRoll[[#This Row],[Operating_Cost_EUR]]</f>
        <v>3555.6800000000003</v>
      </c>
      <c r="T140" t="str">
        <f>IF(tblRentRoll[[#This Row],[Annual_Rent_EUR]]&lt;&gt;0,tblRentRoll[[#This Row],[Annual_Rent_EUR]]-tblRentRoll[[#This Row],[Operating_Cost_EUR]], "")</f>
        <v/>
      </c>
      <c r="U140">
        <f ca="1">IF(AND(tblRentRoll[[#This Row],[Status]]="Occupied",tblRentRoll[[#This Row],[Lease_End]]&gt;=TODAY()),DATEDIF(TODAY(),tblRentRoll[[#This Row],[Lease_End]],"m"), 0)</f>
        <v>0</v>
      </c>
      <c r="V140" t="str">
        <f>IF(tblRentRoll[[#This Row],[Status]]&lt;&gt;"Occupied","", IF(tblRentRoll[[#This Row],[Month_to_Expiry]]&lt;=3, "0-3 Monaten",  IF(tblRentRoll[[#This Row],[Month_to_Expiry]]&lt;=6, "3-6 Monaten", IF(tblRentRoll[[#This Row],[Month_to_Expiry]]&lt;=12,"6-12 Monaten", IF(tblRentRoll[[#This Row],[Month_to_Expiry]]&gt;=12, "12 M+",)))))</f>
        <v/>
      </c>
      <c r="W140">
        <f>IF(tblRentRoll[[#This Row],[Status]]="Vacant", tblRentRoll[[#This Row],[Area_sqm]],0)</f>
        <v>1024</v>
      </c>
      <c r="X140" s="3">
        <f>IF(tblRentRoll[[#This Row],[Status]]="Occupied", tblRentRoll[[#This Row],[Area_sqm]],0)</f>
        <v>0</v>
      </c>
      <c r="Y140" s="3">
        <f ca="1">tblRentRoll[[#This Row],[Month_to_Expiry]]/12*tblRentRoll[[#This Row],[Annual_Rent_EUR]]</f>
        <v>0</v>
      </c>
      <c r="Z140" s="3"/>
    </row>
    <row r="141" spans="1:26" x14ac:dyDescent="0.35">
      <c r="A141" t="s">
        <v>12</v>
      </c>
      <c r="B141" t="s">
        <v>253</v>
      </c>
      <c r="C141" t="s">
        <v>33</v>
      </c>
      <c r="D141">
        <v>672</v>
      </c>
      <c r="E141" t="s">
        <v>15</v>
      </c>
      <c r="F141" t="s">
        <v>254</v>
      </c>
      <c r="G141">
        <v>10504.52</v>
      </c>
      <c r="H141">
        <v>126054.24</v>
      </c>
      <c r="I141" s="2">
        <f>tblRentRoll[[#This Row],[Monthly_Rent_EUR]]*12</f>
        <v>126054.24</v>
      </c>
      <c r="J141" s="2" t="str">
        <f>IF(tblRentRoll[[#This Row],[Annual_Rent_EUR]]&lt;&gt;tblRentRoll[[#This Row],[Jahresrente_EUR]], "FALSCH", "")</f>
        <v/>
      </c>
      <c r="K141" s="1">
        <v>44681</v>
      </c>
      <c r="L141" s="1">
        <v>45516</v>
      </c>
      <c r="M141">
        <v>721.85</v>
      </c>
      <c r="N141">
        <v>1512.7</v>
      </c>
      <c r="O14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1" t="str">
        <f>IF(tblRentRoll[[#This Row],[Area_sqm]]&lt;=0,"Area&lt;=0","")</f>
        <v/>
      </c>
      <c r="Q141" t="str">
        <f>IF(tblRentRoll[[#This Row],[Monthly_Rent_EUR]]&lt;=0,"Rent&lt;=0","")</f>
        <v/>
      </c>
      <c r="R141">
        <f>IF(AND(tblRentRoll[[#This Row],[Status]]="Occupied", tblRentRoll[[#This Row],[Area_sqm]]&gt;0), tblRentRoll[[#This Row],[Annual_Rent_EUR]]/tblRentRoll[[#This Row],[Area_sqm]],"")</f>
        <v>187.58071428571429</v>
      </c>
      <c r="S141">
        <f>tblRentRoll[[#This Row],[Service_Charge_EUR]]+tblRentRoll[[#This Row],[Operating_Cost_EUR]]</f>
        <v>2234.5500000000002</v>
      </c>
      <c r="T141">
        <f>IF(tblRentRoll[[#This Row],[Annual_Rent_EUR]]&lt;&gt;0,tblRentRoll[[#This Row],[Annual_Rent_EUR]]-tblRentRoll[[#This Row],[Operating_Cost_EUR]], "")</f>
        <v>124541.54000000001</v>
      </c>
      <c r="U141">
        <f ca="1">IF(AND(tblRentRoll[[#This Row],[Status]]="Occupied",tblRentRoll[[#This Row],[Lease_End]]&gt;=TODAY()),DATEDIF(TODAY(),tblRentRoll[[#This Row],[Lease_End]],"m"), 0)</f>
        <v>0</v>
      </c>
      <c r="V141" t="str">
        <f ca="1">IF(tblRentRoll[[#This Row],[Status]]&lt;&gt;"Occupied","", IF(tblRentRoll[[#This Row],[Month_to_Expiry]]&lt;=3, "0-3 Monaten",  IF(tblRentRoll[[#This Row],[Month_to_Expiry]]&lt;=6, "3-6 Monaten", IF(tblRentRoll[[#This Row],[Month_to_Expiry]]&lt;=12,"6-12 Monaten", IF(tblRentRoll[[#This Row],[Month_to_Expiry]]&gt;=12, "12 M+",)))))</f>
        <v>0-3 Monaten</v>
      </c>
      <c r="W141">
        <f>IF(tblRentRoll[[#This Row],[Status]]="Vacant", tblRentRoll[[#This Row],[Area_sqm]],0)</f>
        <v>0</v>
      </c>
      <c r="X141" s="3">
        <f>IF(tblRentRoll[[#This Row],[Status]]="Occupied", tblRentRoll[[#This Row],[Area_sqm]],0)</f>
        <v>672</v>
      </c>
      <c r="Y141" s="3">
        <f ca="1">tblRentRoll[[#This Row],[Month_to_Expiry]]/12*tblRentRoll[[#This Row],[Annual_Rent_EUR]]</f>
        <v>0</v>
      </c>
      <c r="Z141" s="3"/>
    </row>
    <row r="142" spans="1:26" x14ac:dyDescent="0.35">
      <c r="A142" t="s">
        <v>44</v>
      </c>
      <c r="B142" t="s">
        <v>255</v>
      </c>
      <c r="C142" t="s">
        <v>29</v>
      </c>
      <c r="D142">
        <v>126</v>
      </c>
      <c r="E142" t="s">
        <v>15</v>
      </c>
      <c r="F142" t="s">
        <v>194</v>
      </c>
      <c r="G142">
        <v>1300.0999999999999</v>
      </c>
      <c r="H142">
        <v>15601.2</v>
      </c>
      <c r="I142" s="2">
        <f>tblRentRoll[[#This Row],[Monthly_Rent_EUR]]*12</f>
        <v>15601.199999999999</v>
      </c>
      <c r="J142" s="2" t="str">
        <f>IF(tblRentRoll[[#This Row],[Annual_Rent_EUR]]&lt;&gt;tblRentRoll[[#This Row],[Jahresrente_EUR]], "FALSCH", "")</f>
        <v/>
      </c>
      <c r="K142" s="1">
        <v>44809</v>
      </c>
      <c r="L142" s="1">
        <v>45753</v>
      </c>
      <c r="M142">
        <v>169.1</v>
      </c>
      <c r="N142">
        <v>81.25</v>
      </c>
      <c r="O14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2" t="str">
        <f>IF(tblRentRoll[[#This Row],[Area_sqm]]&lt;=0,"Area&lt;=0","")</f>
        <v/>
      </c>
      <c r="Q142" t="str">
        <f>IF(tblRentRoll[[#This Row],[Monthly_Rent_EUR]]&lt;=0,"Rent&lt;=0","")</f>
        <v/>
      </c>
      <c r="R142">
        <f>IF(AND(tblRentRoll[[#This Row],[Status]]="Occupied", tblRentRoll[[#This Row],[Area_sqm]]&gt;0), tblRentRoll[[#This Row],[Annual_Rent_EUR]]/tblRentRoll[[#This Row],[Area_sqm]],"")</f>
        <v>123.81904761904762</v>
      </c>
      <c r="S142">
        <f>tblRentRoll[[#This Row],[Service_Charge_EUR]]+tblRentRoll[[#This Row],[Operating_Cost_EUR]]</f>
        <v>250.35</v>
      </c>
      <c r="T142">
        <f>IF(tblRentRoll[[#This Row],[Annual_Rent_EUR]]&lt;&gt;0,tblRentRoll[[#This Row],[Annual_Rent_EUR]]-tblRentRoll[[#This Row],[Operating_Cost_EUR]], "")</f>
        <v>15519.95</v>
      </c>
      <c r="U142">
        <f ca="1">IF(AND(tblRentRoll[[#This Row],[Status]]="Occupied",tblRentRoll[[#This Row],[Lease_End]]&gt;=TODAY()),DATEDIF(TODAY(),tblRentRoll[[#This Row],[Lease_End]],"m"), 0)</f>
        <v>0</v>
      </c>
      <c r="V142" t="str">
        <f ca="1">IF(tblRentRoll[[#This Row],[Status]]&lt;&gt;"Occupied","", IF(tblRentRoll[[#This Row],[Month_to_Expiry]]&lt;=3, "0-3 Monaten",  IF(tblRentRoll[[#This Row],[Month_to_Expiry]]&lt;=6, "3-6 Monaten", IF(tblRentRoll[[#This Row],[Month_to_Expiry]]&lt;=12,"6-12 Monaten", IF(tblRentRoll[[#This Row],[Month_to_Expiry]]&gt;=12, "12 M+",)))))</f>
        <v>0-3 Monaten</v>
      </c>
      <c r="W142">
        <f>IF(tblRentRoll[[#This Row],[Status]]="Vacant", tblRentRoll[[#This Row],[Area_sqm]],0)</f>
        <v>0</v>
      </c>
      <c r="X142" s="3">
        <f>IF(tblRentRoll[[#This Row],[Status]]="Occupied", tblRentRoll[[#This Row],[Area_sqm]],0)</f>
        <v>126</v>
      </c>
      <c r="Y142" s="3">
        <f ca="1">tblRentRoll[[#This Row],[Month_to_Expiry]]/12*tblRentRoll[[#This Row],[Annual_Rent_EUR]]</f>
        <v>0</v>
      </c>
      <c r="Z142" s="3"/>
    </row>
    <row r="143" spans="1:26" x14ac:dyDescent="0.35">
      <c r="A143" t="s">
        <v>24</v>
      </c>
      <c r="B143" t="s">
        <v>256</v>
      </c>
      <c r="C143" t="s">
        <v>33</v>
      </c>
      <c r="D143">
        <v>404</v>
      </c>
      <c r="E143" t="s">
        <v>15</v>
      </c>
      <c r="F143" t="s">
        <v>257</v>
      </c>
      <c r="G143">
        <v>4066.55</v>
      </c>
      <c r="H143">
        <v>48798.6</v>
      </c>
      <c r="I143" s="2">
        <f>tblRentRoll[[#This Row],[Monthly_Rent_EUR]]*12</f>
        <v>48798.600000000006</v>
      </c>
      <c r="J143" s="2" t="str">
        <f>IF(tblRentRoll[[#This Row],[Annual_Rent_EUR]]&lt;&gt;tblRentRoll[[#This Row],[Jahresrente_EUR]], "FALSCH", "")</f>
        <v/>
      </c>
      <c r="K143" s="1">
        <v>44931</v>
      </c>
      <c r="L143" s="1">
        <v>45136</v>
      </c>
      <c r="M143">
        <v>455.55</v>
      </c>
      <c r="N143">
        <v>779.82</v>
      </c>
      <c r="O14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3" t="str">
        <f>IF(tblRentRoll[[#This Row],[Area_sqm]]&lt;=0,"Area&lt;=0","")</f>
        <v/>
      </c>
      <c r="Q143" t="str">
        <f>IF(tblRentRoll[[#This Row],[Monthly_Rent_EUR]]&lt;=0,"Rent&lt;=0","")</f>
        <v/>
      </c>
      <c r="R143">
        <f>IF(AND(tblRentRoll[[#This Row],[Status]]="Occupied", tblRentRoll[[#This Row],[Area_sqm]]&gt;0), tblRentRoll[[#This Row],[Annual_Rent_EUR]]/tblRentRoll[[#This Row],[Area_sqm]],"")</f>
        <v>120.78861386138614</v>
      </c>
      <c r="S143">
        <f>tblRentRoll[[#This Row],[Service_Charge_EUR]]+tblRentRoll[[#This Row],[Operating_Cost_EUR]]</f>
        <v>1235.3700000000001</v>
      </c>
      <c r="T143">
        <f>IF(tblRentRoll[[#This Row],[Annual_Rent_EUR]]&lt;&gt;0,tblRentRoll[[#This Row],[Annual_Rent_EUR]]-tblRentRoll[[#This Row],[Operating_Cost_EUR]], "")</f>
        <v>48018.78</v>
      </c>
      <c r="U143">
        <f ca="1">IF(AND(tblRentRoll[[#This Row],[Status]]="Occupied",tblRentRoll[[#This Row],[Lease_End]]&gt;=TODAY()),DATEDIF(TODAY(),tblRentRoll[[#This Row],[Lease_End]],"m"), 0)</f>
        <v>0</v>
      </c>
      <c r="V143" t="str">
        <f ca="1">IF(tblRentRoll[[#This Row],[Status]]&lt;&gt;"Occupied","", IF(tblRentRoll[[#This Row],[Month_to_Expiry]]&lt;=3, "0-3 Monaten",  IF(tblRentRoll[[#This Row],[Month_to_Expiry]]&lt;=6, "3-6 Monaten", IF(tblRentRoll[[#This Row],[Month_to_Expiry]]&lt;=12,"6-12 Monaten", IF(tblRentRoll[[#This Row],[Month_to_Expiry]]&gt;=12, "12 M+",)))))</f>
        <v>0-3 Monaten</v>
      </c>
      <c r="W143">
        <f>IF(tblRentRoll[[#This Row],[Status]]="Vacant", tblRentRoll[[#This Row],[Area_sqm]],0)</f>
        <v>0</v>
      </c>
      <c r="X143" s="3">
        <f>IF(tblRentRoll[[#This Row],[Status]]="Occupied", tblRentRoll[[#This Row],[Area_sqm]],0)</f>
        <v>404</v>
      </c>
      <c r="Y143" s="3">
        <f ca="1">tblRentRoll[[#This Row],[Month_to_Expiry]]/12*tblRentRoll[[#This Row],[Annual_Rent_EUR]]</f>
        <v>0</v>
      </c>
      <c r="Z143" s="3"/>
    </row>
    <row r="144" spans="1:26" x14ac:dyDescent="0.35">
      <c r="A144" t="s">
        <v>44</v>
      </c>
      <c r="B144" t="s">
        <v>258</v>
      </c>
      <c r="C144" t="s">
        <v>33</v>
      </c>
      <c r="D144">
        <v>916</v>
      </c>
      <c r="E144" t="s">
        <v>15</v>
      </c>
      <c r="F144" t="s">
        <v>243</v>
      </c>
      <c r="G144">
        <v>14184.95</v>
      </c>
      <c r="H144">
        <v>170219.4</v>
      </c>
      <c r="I144" s="2">
        <f>tblRentRoll[[#This Row],[Monthly_Rent_EUR]]*12</f>
        <v>170219.40000000002</v>
      </c>
      <c r="J144" s="2" t="str">
        <f>IF(tblRentRoll[[#This Row],[Annual_Rent_EUR]]&lt;&gt;tblRentRoll[[#This Row],[Jahresrente_EUR]], "FALSCH", "")</f>
        <v/>
      </c>
      <c r="K144" s="1">
        <v>44600</v>
      </c>
      <c r="L144" s="1">
        <v>44996</v>
      </c>
      <c r="M144">
        <v>1144.94</v>
      </c>
      <c r="N144">
        <v>493.96</v>
      </c>
      <c r="O14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4" t="str">
        <f>IF(tblRentRoll[[#This Row],[Area_sqm]]&lt;=0,"Area&lt;=0","")</f>
        <v/>
      </c>
      <c r="Q144" t="str">
        <f>IF(tblRentRoll[[#This Row],[Monthly_Rent_EUR]]&lt;=0,"Rent&lt;=0","")</f>
        <v/>
      </c>
      <c r="R144">
        <f>IF(AND(tblRentRoll[[#This Row],[Status]]="Occupied", tblRentRoll[[#This Row],[Area_sqm]]&gt;0), tblRentRoll[[#This Row],[Annual_Rent_EUR]]/tblRentRoll[[#This Row],[Area_sqm]],"")</f>
        <v>185.82903930131005</v>
      </c>
      <c r="S144">
        <f>tblRentRoll[[#This Row],[Service_Charge_EUR]]+tblRentRoll[[#This Row],[Operating_Cost_EUR]]</f>
        <v>1638.9</v>
      </c>
      <c r="T144">
        <f>IF(tblRentRoll[[#This Row],[Annual_Rent_EUR]]&lt;&gt;0,tblRentRoll[[#This Row],[Annual_Rent_EUR]]-tblRentRoll[[#This Row],[Operating_Cost_EUR]], "")</f>
        <v>169725.44</v>
      </c>
      <c r="U144">
        <f ca="1">IF(AND(tblRentRoll[[#This Row],[Status]]="Occupied",tblRentRoll[[#This Row],[Lease_End]]&gt;=TODAY()),DATEDIF(TODAY(),tblRentRoll[[#This Row],[Lease_End]],"m"), 0)</f>
        <v>0</v>
      </c>
      <c r="V144" t="str">
        <f ca="1">IF(tblRentRoll[[#This Row],[Status]]&lt;&gt;"Occupied","", IF(tblRentRoll[[#This Row],[Month_to_Expiry]]&lt;=3, "0-3 Monaten",  IF(tblRentRoll[[#This Row],[Month_to_Expiry]]&lt;=6, "3-6 Monaten", IF(tblRentRoll[[#This Row],[Month_to_Expiry]]&lt;=12,"6-12 Monaten", IF(tblRentRoll[[#This Row],[Month_to_Expiry]]&gt;=12, "12 M+",)))))</f>
        <v>0-3 Monaten</v>
      </c>
      <c r="W144">
        <f>IF(tblRentRoll[[#This Row],[Status]]="Vacant", tblRentRoll[[#This Row],[Area_sqm]],0)</f>
        <v>0</v>
      </c>
      <c r="X144" s="3">
        <f>IF(tblRentRoll[[#This Row],[Status]]="Occupied", tblRentRoll[[#This Row],[Area_sqm]],0)</f>
        <v>916</v>
      </c>
      <c r="Y144" s="3">
        <f ca="1">tblRentRoll[[#This Row],[Month_to_Expiry]]/12*tblRentRoll[[#This Row],[Annual_Rent_EUR]]</f>
        <v>0</v>
      </c>
      <c r="Z144" s="3"/>
    </row>
    <row r="145" spans="1:26" x14ac:dyDescent="0.35">
      <c r="A145" t="s">
        <v>44</v>
      </c>
      <c r="B145" t="s">
        <v>259</v>
      </c>
      <c r="C145" t="s">
        <v>29</v>
      </c>
      <c r="D145">
        <v>1292</v>
      </c>
      <c r="E145" t="s">
        <v>15</v>
      </c>
      <c r="F145" t="s">
        <v>260</v>
      </c>
      <c r="G145">
        <v>16174.24</v>
      </c>
      <c r="H145">
        <v>194090.88</v>
      </c>
      <c r="I145" s="2">
        <f>tblRentRoll[[#This Row],[Monthly_Rent_EUR]]*12</f>
        <v>194090.88</v>
      </c>
      <c r="J145" s="2" t="str">
        <f>IF(tblRentRoll[[#This Row],[Annual_Rent_EUR]]&lt;&gt;tblRentRoll[[#This Row],[Jahresrente_EUR]], "FALSCH", "")</f>
        <v/>
      </c>
      <c r="K145" s="1">
        <v>44898</v>
      </c>
      <c r="L145" s="1">
        <v>46641</v>
      </c>
      <c r="M145">
        <v>2481.04</v>
      </c>
      <c r="N145">
        <v>1481.15</v>
      </c>
      <c r="O14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5" t="str">
        <f>IF(tblRentRoll[[#This Row],[Area_sqm]]&lt;=0,"Area&lt;=0","")</f>
        <v/>
      </c>
      <c r="Q145" t="str">
        <f>IF(tblRentRoll[[#This Row],[Monthly_Rent_EUR]]&lt;=0,"Rent&lt;=0","")</f>
        <v/>
      </c>
      <c r="R145">
        <f>IF(AND(tblRentRoll[[#This Row],[Status]]="Occupied", tblRentRoll[[#This Row],[Area_sqm]]&gt;0), tblRentRoll[[#This Row],[Annual_Rent_EUR]]/tblRentRoll[[#This Row],[Area_sqm]],"")</f>
        <v>150.22513931888545</v>
      </c>
      <c r="S145">
        <f>tblRentRoll[[#This Row],[Service_Charge_EUR]]+tblRentRoll[[#This Row],[Operating_Cost_EUR]]</f>
        <v>3962.19</v>
      </c>
      <c r="T145">
        <f>IF(tblRentRoll[[#This Row],[Annual_Rent_EUR]]&lt;&gt;0,tblRentRoll[[#This Row],[Annual_Rent_EUR]]-tblRentRoll[[#This Row],[Operating_Cost_EUR]], "")</f>
        <v>192609.73</v>
      </c>
      <c r="U145">
        <f ca="1">IF(AND(tblRentRoll[[#This Row],[Status]]="Occupied",tblRentRoll[[#This Row],[Lease_End]]&gt;=TODAY()),DATEDIF(TODAY(),tblRentRoll[[#This Row],[Lease_End]],"m"), 0)</f>
        <v>17</v>
      </c>
      <c r="V145" t="str">
        <f ca="1">IF(tblRentRoll[[#This Row],[Status]]&lt;&gt;"Occupied","", IF(tblRentRoll[[#This Row],[Month_to_Expiry]]&lt;=3, "0-3 Monaten",  IF(tblRentRoll[[#This Row],[Month_to_Expiry]]&lt;=6, "3-6 Monaten", IF(tblRentRoll[[#This Row],[Month_to_Expiry]]&lt;=12,"6-12 Monaten", IF(tblRentRoll[[#This Row],[Month_to_Expiry]]&gt;=12, "12 M+",)))))</f>
        <v>12 M+</v>
      </c>
      <c r="W145">
        <f>IF(tblRentRoll[[#This Row],[Status]]="Vacant", tblRentRoll[[#This Row],[Area_sqm]],0)</f>
        <v>0</v>
      </c>
      <c r="X145" s="3">
        <f>IF(tblRentRoll[[#This Row],[Status]]="Occupied", tblRentRoll[[#This Row],[Area_sqm]],0)</f>
        <v>1292</v>
      </c>
      <c r="Y145" s="3">
        <f ca="1">tblRentRoll[[#This Row],[Month_to_Expiry]]/12*tblRentRoll[[#This Row],[Annual_Rent_EUR]]</f>
        <v>274962.08</v>
      </c>
      <c r="Z145" s="3"/>
    </row>
    <row r="146" spans="1:26" x14ac:dyDescent="0.35">
      <c r="A146" t="s">
        <v>31</v>
      </c>
      <c r="B146" t="s">
        <v>261</v>
      </c>
      <c r="C146" t="s">
        <v>29</v>
      </c>
      <c r="D146">
        <v>804</v>
      </c>
      <c r="E146" t="s">
        <v>15</v>
      </c>
      <c r="F146" t="s">
        <v>90</v>
      </c>
      <c r="G146">
        <v>6148.46</v>
      </c>
      <c r="H146">
        <v>73781.52</v>
      </c>
      <c r="I146" s="2">
        <f>tblRentRoll[[#This Row],[Monthly_Rent_EUR]]*12</f>
        <v>73781.52</v>
      </c>
      <c r="J146" s="2" t="str">
        <f>IF(tblRentRoll[[#This Row],[Annual_Rent_EUR]]&lt;&gt;tblRentRoll[[#This Row],[Jahresrente_EUR]], "FALSCH", "")</f>
        <v/>
      </c>
      <c r="K146" s="1">
        <v>45078</v>
      </c>
      <c r="L146" s="1">
        <v>45972</v>
      </c>
      <c r="M146">
        <v>2370.98</v>
      </c>
      <c r="N146">
        <v>670.9</v>
      </c>
      <c r="O14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6" t="str">
        <f>IF(tblRentRoll[[#This Row],[Area_sqm]]&lt;=0,"Area&lt;=0","")</f>
        <v/>
      </c>
      <c r="Q146" t="str">
        <f>IF(tblRentRoll[[#This Row],[Monthly_Rent_EUR]]&lt;=0,"Rent&lt;=0","")</f>
        <v/>
      </c>
      <c r="R146">
        <f>IF(AND(tblRentRoll[[#This Row],[Status]]="Occupied", tblRentRoll[[#This Row],[Area_sqm]]&gt;0), tblRentRoll[[#This Row],[Annual_Rent_EUR]]/tblRentRoll[[#This Row],[Area_sqm]],"")</f>
        <v>91.768059701492547</v>
      </c>
      <c r="S146">
        <f>tblRentRoll[[#This Row],[Service_Charge_EUR]]+tblRentRoll[[#This Row],[Operating_Cost_EUR]]</f>
        <v>3041.88</v>
      </c>
      <c r="T146">
        <f>IF(tblRentRoll[[#This Row],[Annual_Rent_EUR]]&lt;&gt;0,tblRentRoll[[#This Row],[Annual_Rent_EUR]]-tblRentRoll[[#This Row],[Operating_Cost_EUR]], "")</f>
        <v>73110.62000000001</v>
      </c>
      <c r="U146">
        <f ca="1">IF(AND(tblRentRoll[[#This Row],[Status]]="Occupied",tblRentRoll[[#This Row],[Lease_End]]&gt;=TODAY()),DATEDIF(TODAY(),tblRentRoll[[#This Row],[Lease_End]],"m"), 0)</f>
        <v>0</v>
      </c>
      <c r="V146" t="str">
        <f ca="1">IF(tblRentRoll[[#This Row],[Status]]&lt;&gt;"Occupied","", IF(tblRentRoll[[#This Row],[Month_to_Expiry]]&lt;=3, "0-3 Monaten",  IF(tblRentRoll[[#This Row],[Month_to_Expiry]]&lt;=6, "3-6 Monaten", IF(tblRentRoll[[#This Row],[Month_to_Expiry]]&lt;=12,"6-12 Monaten", IF(tblRentRoll[[#This Row],[Month_to_Expiry]]&gt;=12, "12 M+",)))))</f>
        <v>0-3 Monaten</v>
      </c>
      <c r="W146">
        <f>IF(tblRentRoll[[#This Row],[Status]]="Vacant", tblRentRoll[[#This Row],[Area_sqm]],0)</f>
        <v>0</v>
      </c>
      <c r="X146" s="3">
        <f>IF(tblRentRoll[[#This Row],[Status]]="Occupied", tblRentRoll[[#This Row],[Area_sqm]],0)</f>
        <v>804</v>
      </c>
      <c r="Y146" s="3">
        <f ca="1">tblRentRoll[[#This Row],[Month_to_Expiry]]/12*tblRentRoll[[#This Row],[Annual_Rent_EUR]]</f>
        <v>0</v>
      </c>
      <c r="Z146" s="3"/>
    </row>
    <row r="147" spans="1:26" x14ac:dyDescent="0.35">
      <c r="A147" t="s">
        <v>12</v>
      </c>
      <c r="B147" t="s">
        <v>262</v>
      </c>
      <c r="C147" t="s">
        <v>29</v>
      </c>
      <c r="D147">
        <v>1294</v>
      </c>
      <c r="E147" t="s">
        <v>15</v>
      </c>
      <c r="F147" t="s">
        <v>263</v>
      </c>
      <c r="G147">
        <v>12486.12</v>
      </c>
      <c r="H147">
        <v>149833.44</v>
      </c>
      <c r="I147" s="2">
        <f>tblRentRoll[[#This Row],[Monthly_Rent_EUR]]*12</f>
        <v>149833.44</v>
      </c>
      <c r="J147" s="2" t="str">
        <f>IF(tblRentRoll[[#This Row],[Annual_Rent_EUR]]&lt;&gt;tblRentRoll[[#This Row],[Jahresrente_EUR]], "FALSCH", "")</f>
        <v/>
      </c>
      <c r="K147" s="1">
        <v>45180</v>
      </c>
      <c r="L147" s="1">
        <v>46736</v>
      </c>
      <c r="M147">
        <v>3822.73</v>
      </c>
      <c r="N147">
        <v>669.39</v>
      </c>
      <c r="O14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7" t="str">
        <f>IF(tblRentRoll[[#This Row],[Area_sqm]]&lt;=0,"Area&lt;=0","")</f>
        <v/>
      </c>
      <c r="Q147" t="str">
        <f>IF(tblRentRoll[[#This Row],[Monthly_Rent_EUR]]&lt;=0,"Rent&lt;=0","")</f>
        <v/>
      </c>
      <c r="R147">
        <f>IF(AND(tblRentRoll[[#This Row],[Status]]="Occupied", tblRentRoll[[#This Row],[Area_sqm]]&gt;0), tblRentRoll[[#This Row],[Annual_Rent_EUR]]/tblRentRoll[[#This Row],[Area_sqm]],"")</f>
        <v>115.79091190108191</v>
      </c>
      <c r="S147">
        <f>tblRentRoll[[#This Row],[Service_Charge_EUR]]+tblRentRoll[[#This Row],[Operating_Cost_EUR]]</f>
        <v>4492.12</v>
      </c>
      <c r="T147">
        <f>IF(tblRentRoll[[#This Row],[Annual_Rent_EUR]]&lt;&gt;0,tblRentRoll[[#This Row],[Annual_Rent_EUR]]-tblRentRoll[[#This Row],[Operating_Cost_EUR]], "")</f>
        <v>149164.04999999999</v>
      </c>
      <c r="U147">
        <f ca="1">IF(AND(tblRentRoll[[#This Row],[Status]]="Occupied",tblRentRoll[[#This Row],[Lease_End]]&gt;=TODAY()),DATEDIF(TODAY(),tblRentRoll[[#This Row],[Lease_End]],"m"), 0)</f>
        <v>21</v>
      </c>
      <c r="V147" t="str">
        <f ca="1">IF(tblRentRoll[[#This Row],[Status]]&lt;&gt;"Occupied","", IF(tblRentRoll[[#This Row],[Month_to_Expiry]]&lt;=3, "0-3 Monaten",  IF(tblRentRoll[[#This Row],[Month_to_Expiry]]&lt;=6, "3-6 Monaten", IF(tblRentRoll[[#This Row],[Month_to_Expiry]]&lt;=12,"6-12 Monaten", IF(tblRentRoll[[#This Row],[Month_to_Expiry]]&gt;=12, "12 M+",)))))</f>
        <v>12 M+</v>
      </c>
      <c r="W147">
        <f>IF(tblRentRoll[[#This Row],[Status]]="Vacant", tblRentRoll[[#This Row],[Area_sqm]],0)</f>
        <v>0</v>
      </c>
      <c r="X147" s="3">
        <f>IF(tblRentRoll[[#This Row],[Status]]="Occupied", tblRentRoll[[#This Row],[Area_sqm]],0)</f>
        <v>1294</v>
      </c>
      <c r="Y147" s="3">
        <f ca="1">tblRentRoll[[#This Row],[Month_to_Expiry]]/12*tblRentRoll[[#This Row],[Annual_Rent_EUR]]</f>
        <v>262208.52</v>
      </c>
      <c r="Z147" s="3"/>
    </row>
    <row r="148" spans="1:26" x14ac:dyDescent="0.35">
      <c r="A148" t="s">
        <v>24</v>
      </c>
      <c r="B148" t="s">
        <v>264</v>
      </c>
      <c r="C148" t="s">
        <v>29</v>
      </c>
      <c r="D148">
        <v>1058</v>
      </c>
      <c r="E148" t="s">
        <v>15</v>
      </c>
      <c r="F148" t="s">
        <v>66</v>
      </c>
      <c r="G148">
        <v>12386.01</v>
      </c>
      <c r="H148">
        <v>148632.12</v>
      </c>
      <c r="I148" s="2">
        <f>tblRentRoll[[#This Row],[Monthly_Rent_EUR]]*12</f>
        <v>148632.12</v>
      </c>
      <c r="J148" s="2" t="str">
        <f>IF(tblRentRoll[[#This Row],[Annual_Rent_EUR]]&lt;&gt;tblRentRoll[[#This Row],[Jahresrente_EUR]], "FALSCH", "")</f>
        <v/>
      </c>
      <c r="K148" s="1">
        <v>45065</v>
      </c>
      <c r="L148" s="1">
        <v>46563</v>
      </c>
      <c r="M148">
        <v>1708.62</v>
      </c>
      <c r="N148">
        <v>880.17</v>
      </c>
      <c r="O14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8" t="str">
        <f>IF(tblRentRoll[[#This Row],[Area_sqm]]&lt;=0,"Area&lt;=0","")</f>
        <v/>
      </c>
      <c r="Q148" t="str">
        <f>IF(tblRentRoll[[#This Row],[Monthly_Rent_EUR]]&lt;=0,"Rent&lt;=0","")</f>
        <v/>
      </c>
      <c r="R148">
        <f>IF(AND(tblRentRoll[[#This Row],[Status]]="Occupied", tblRentRoll[[#This Row],[Area_sqm]]&gt;0), tblRentRoll[[#This Row],[Annual_Rent_EUR]]/tblRentRoll[[#This Row],[Area_sqm]],"")</f>
        <v>140.48404536862003</v>
      </c>
      <c r="S148">
        <f>tblRentRoll[[#This Row],[Service_Charge_EUR]]+tblRentRoll[[#This Row],[Operating_Cost_EUR]]</f>
        <v>2588.79</v>
      </c>
      <c r="T148">
        <f>IF(tblRentRoll[[#This Row],[Annual_Rent_EUR]]&lt;&gt;0,tblRentRoll[[#This Row],[Annual_Rent_EUR]]-tblRentRoll[[#This Row],[Operating_Cost_EUR]], "")</f>
        <v>147751.94999999998</v>
      </c>
      <c r="U148">
        <f ca="1">IF(AND(tblRentRoll[[#This Row],[Status]]="Occupied",tblRentRoll[[#This Row],[Lease_End]]&gt;=TODAY()),DATEDIF(TODAY(),tblRentRoll[[#This Row],[Lease_End]],"m"), 0)</f>
        <v>15</v>
      </c>
      <c r="V148" t="str">
        <f ca="1">IF(tblRentRoll[[#This Row],[Status]]&lt;&gt;"Occupied","", IF(tblRentRoll[[#This Row],[Month_to_Expiry]]&lt;=3, "0-3 Monaten",  IF(tblRentRoll[[#This Row],[Month_to_Expiry]]&lt;=6, "3-6 Monaten", IF(tblRentRoll[[#This Row],[Month_to_Expiry]]&lt;=12,"6-12 Monaten", IF(tblRentRoll[[#This Row],[Month_to_Expiry]]&gt;=12, "12 M+",)))))</f>
        <v>12 M+</v>
      </c>
      <c r="W148">
        <f>IF(tblRentRoll[[#This Row],[Status]]="Vacant", tblRentRoll[[#This Row],[Area_sqm]],0)</f>
        <v>0</v>
      </c>
      <c r="X148" s="3">
        <f>IF(tblRentRoll[[#This Row],[Status]]="Occupied", tblRentRoll[[#This Row],[Area_sqm]],0)</f>
        <v>1058</v>
      </c>
      <c r="Y148" s="3">
        <f ca="1">tblRentRoll[[#This Row],[Month_to_Expiry]]/12*tblRentRoll[[#This Row],[Annual_Rent_EUR]]</f>
        <v>185790.15</v>
      </c>
      <c r="Z148" s="3"/>
    </row>
    <row r="149" spans="1:26" x14ac:dyDescent="0.35">
      <c r="A149" t="s">
        <v>12</v>
      </c>
      <c r="B149" t="s">
        <v>265</v>
      </c>
      <c r="C149" t="s">
        <v>33</v>
      </c>
      <c r="D149">
        <v>1473</v>
      </c>
      <c r="E149" t="s">
        <v>15</v>
      </c>
      <c r="F149" t="s">
        <v>201</v>
      </c>
      <c r="G149">
        <v>23958.22</v>
      </c>
      <c r="H149">
        <v>287498.64</v>
      </c>
      <c r="I149" s="2">
        <f>tblRentRoll[[#This Row],[Monthly_Rent_EUR]]*12</f>
        <v>287498.64</v>
      </c>
      <c r="J149" s="2" t="str">
        <f>IF(tblRentRoll[[#This Row],[Annual_Rent_EUR]]&lt;&gt;tblRentRoll[[#This Row],[Jahresrente_EUR]], "FALSCH", "")</f>
        <v/>
      </c>
      <c r="K149" s="1">
        <v>44831</v>
      </c>
      <c r="L149" s="1">
        <v>45070</v>
      </c>
      <c r="M149">
        <v>1964.26</v>
      </c>
      <c r="N149">
        <v>2957.7</v>
      </c>
      <c r="O14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49" t="str">
        <f>IF(tblRentRoll[[#This Row],[Area_sqm]]&lt;=0,"Area&lt;=0","")</f>
        <v/>
      </c>
      <c r="Q149" t="str">
        <f>IF(tblRentRoll[[#This Row],[Monthly_Rent_EUR]]&lt;=0,"Rent&lt;=0","")</f>
        <v/>
      </c>
      <c r="R149">
        <f>IF(AND(tblRentRoll[[#This Row],[Status]]="Occupied", tblRentRoll[[#This Row],[Area_sqm]]&gt;0), tblRentRoll[[#This Row],[Annual_Rent_EUR]]/tblRentRoll[[#This Row],[Area_sqm]],"")</f>
        <v>195.17898167006112</v>
      </c>
      <c r="S149">
        <f>tblRentRoll[[#This Row],[Service_Charge_EUR]]+tblRentRoll[[#This Row],[Operating_Cost_EUR]]</f>
        <v>4921.96</v>
      </c>
      <c r="T149">
        <f>IF(tblRentRoll[[#This Row],[Annual_Rent_EUR]]&lt;&gt;0,tblRentRoll[[#This Row],[Annual_Rent_EUR]]-tblRentRoll[[#This Row],[Operating_Cost_EUR]], "")</f>
        <v>284540.94</v>
      </c>
      <c r="U149">
        <f ca="1">IF(AND(tblRentRoll[[#This Row],[Status]]="Occupied",tblRentRoll[[#This Row],[Lease_End]]&gt;=TODAY()),DATEDIF(TODAY(),tblRentRoll[[#This Row],[Lease_End]],"m"), 0)</f>
        <v>0</v>
      </c>
      <c r="V149" t="str">
        <f ca="1">IF(tblRentRoll[[#This Row],[Status]]&lt;&gt;"Occupied","", IF(tblRentRoll[[#This Row],[Month_to_Expiry]]&lt;=3, "0-3 Monaten",  IF(tblRentRoll[[#This Row],[Month_to_Expiry]]&lt;=6, "3-6 Monaten", IF(tblRentRoll[[#This Row],[Month_to_Expiry]]&lt;=12,"6-12 Monaten", IF(tblRentRoll[[#This Row],[Month_to_Expiry]]&gt;=12, "12 M+",)))))</f>
        <v>0-3 Monaten</v>
      </c>
      <c r="W149">
        <f>IF(tblRentRoll[[#This Row],[Status]]="Vacant", tblRentRoll[[#This Row],[Area_sqm]],0)</f>
        <v>0</v>
      </c>
      <c r="X149" s="3">
        <f>IF(tblRentRoll[[#This Row],[Status]]="Occupied", tblRentRoll[[#This Row],[Area_sqm]],0)</f>
        <v>1473</v>
      </c>
      <c r="Y149" s="3">
        <f ca="1">tblRentRoll[[#This Row],[Month_to_Expiry]]/12*tblRentRoll[[#This Row],[Annual_Rent_EUR]]</f>
        <v>0</v>
      </c>
      <c r="Z149" s="3"/>
    </row>
    <row r="150" spans="1:26" x14ac:dyDescent="0.35">
      <c r="A150" t="s">
        <v>27</v>
      </c>
      <c r="B150" t="s">
        <v>266</v>
      </c>
      <c r="C150" t="s">
        <v>33</v>
      </c>
      <c r="D150">
        <v>1173</v>
      </c>
      <c r="E150" t="s">
        <v>15</v>
      </c>
      <c r="F150" t="s">
        <v>78</v>
      </c>
      <c r="G150">
        <v>15117.86</v>
      </c>
      <c r="H150">
        <v>181414.32</v>
      </c>
      <c r="I150" s="2">
        <f>tblRentRoll[[#This Row],[Monthly_Rent_EUR]]*12</f>
        <v>181414.32</v>
      </c>
      <c r="J150" s="2" t="str">
        <f>IF(tblRentRoll[[#This Row],[Annual_Rent_EUR]]&lt;&gt;tblRentRoll[[#This Row],[Jahresrente_EUR]], "FALSCH", "")</f>
        <v/>
      </c>
      <c r="K150" s="1">
        <v>44951</v>
      </c>
      <c r="L150" s="1">
        <v>46730</v>
      </c>
      <c r="M150">
        <v>3071.49</v>
      </c>
      <c r="N150">
        <v>1682.5</v>
      </c>
      <c r="O15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0" t="str">
        <f>IF(tblRentRoll[[#This Row],[Area_sqm]]&lt;=0,"Area&lt;=0","")</f>
        <v/>
      </c>
      <c r="Q150" t="str">
        <f>IF(tblRentRoll[[#This Row],[Monthly_Rent_EUR]]&lt;=0,"Rent&lt;=0","")</f>
        <v/>
      </c>
      <c r="R150">
        <f>IF(AND(tblRentRoll[[#This Row],[Status]]="Occupied", tblRentRoll[[#This Row],[Area_sqm]]&gt;0), tblRentRoll[[#This Row],[Annual_Rent_EUR]]/tblRentRoll[[#This Row],[Area_sqm]],"")</f>
        <v>154.65841432225065</v>
      </c>
      <c r="S150">
        <f>tblRentRoll[[#This Row],[Service_Charge_EUR]]+tblRentRoll[[#This Row],[Operating_Cost_EUR]]</f>
        <v>4753.99</v>
      </c>
      <c r="T150">
        <f>IF(tblRentRoll[[#This Row],[Annual_Rent_EUR]]&lt;&gt;0,tblRentRoll[[#This Row],[Annual_Rent_EUR]]-tblRentRoll[[#This Row],[Operating_Cost_EUR]], "")</f>
        <v>179731.82</v>
      </c>
      <c r="U150">
        <f ca="1">IF(AND(tblRentRoll[[#This Row],[Status]]="Occupied",tblRentRoll[[#This Row],[Lease_End]]&gt;=TODAY()),DATEDIF(TODAY(),tblRentRoll[[#This Row],[Lease_End]],"m"), 0)</f>
        <v>20</v>
      </c>
      <c r="V150" t="str">
        <f ca="1">IF(tblRentRoll[[#This Row],[Status]]&lt;&gt;"Occupied","", IF(tblRentRoll[[#This Row],[Month_to_Expiry]]&lt;=3, "0-3 Monaten",  IF(tblRentRoll[[#This Row],[Month_to_Expiry]]&lt;=6, "3-6 Monaten", IF(tblRentRoll[[#This Row],[Month_to_Expiry]]&lt;=12,"6-12 Monaten", IF(tblRentRoll[[#This Row],[Month_to_Expiry]]&gt;=12, "12 M+",)))))</f>
        <v>12 M+</v>
      </c>
      <c r="W150">
        <f>IF(tblRentRoll[[#This Row],[Status]]="Vacant", tblRentRoll[[#This Row],[Area_sqm]],0)</f>
        <v>0</v>
      </c>
      <c r="X150" s="3">
        <f>IF(tblRentRoll[[#This Row],[Status]]="Occupied", tblRentRoll[[#This Row],[Area_sqm]],0)</f>
        <v>1173</v>
      </c>
      <c r="Y150" s="3">
        <f ca="1">tblRentRoll[[#This Row],[Month_to_Expiry]]/12*tblRentRoll[[#This Row],[Annual_Rent_EUR]]</f>
        <v>302357.2</v>
      </c>
      <c r="Z150" s="3"/>
    </row>
    <row r="151" spans="1:26" x14ac:dyDescent="0.35">
      <c r="A151" t="s">
        <v>21</v>
      </c>
      <c r="B151" t="s">
        <v>267</v>
      </c>
      <c r="C151" t="s">
        <v>19</v>
      </c>
      <c r="D151">
        <v>368</v>
      </c>
      <c r="E151" t="s">
        <v>15</v>
      </c>
      <c r="F151" t="s">
        <v>268</v>
      </c>
      <c r="G151">
        <v>5656</v>
      </c>
      <c r="H151">
        <v>67872</v>
      </c>
      <c r="I151" s="2">
        <f>tblRentRoll[[#This Row],[Monthly_Rent_EUR]]*12</f>
        <v>67872</v>
      </c>
      <c r="J151" s="2" t="str">
        <f>IF(tblRentRoll[[#This Row],[Annual_Rent_EUR]]&lt;&gt;tblRentRoll[[#This Row],[Jahresrente_EUR]], "FALSCH", "")</f>
        <v/>
      </c>
      <c r="K151" s="1">
        <v>44563</v>
      </c>
      <c r="L151" s="1">
        <v>45707</v>
      </c>
      <c r="M151">
        <v>401.19</v>
      </c>
      <c r="N151">
        <v>910.31</v>
      </c>
      <c r="O15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1" t="str">
        <f>IF(tblRentRoll[[#This Row],[Area_sqm]]&lt;=0,"Area&lt;=0","")</f>
        <v/>
      </c>
      <c r="Q151" t="str">
        <f>IF(tblRentRoll[[#This Row],[Monthly_Rent_EUR]]&lt;=0,"Rent&lt;=0","")</f>
        <v/>
      </c>
      <c r="R151">
        <f>IF(AND(tblRentRoll[[#This Row],[Status]]="Occupied", tblRentRoll[[#This Row],[Area_sqm]]&gt;0), tblRentRoll[[#This Row],[Annual_Rent_EUR]]/tblRentRoll[[#This Row],[Area_sqm]],"")</f>
        <v>184.43478260869566</v>
      </c>
      <c r="S151">
        <f>tblRentRoll[[#This Row],[Service_Charge_EUR]]+tblRentRoll[[#This Row],[Operating_Cost_EUR]]</f>
        <v>1311.5</v>
      </c>
      <c r="T151">
        <f>IF(tblRentRoll[[#This Row],[Annual_Rent_EUR]]&lt;&gt;0,tblRentRoll[[#This Row],[Annual_Rent_EUR]]-tblRentRoll[[#This Row],[Operating_Cost_EUR]], "")</f>
        <v>66961.69</v>
      </c>
      <c r="U151">
        <f ca="1">IF(AND(tblRentRoll[[#This Row],[Status]]="Occupied",tblRentRoll[[#This Row],[Lease_End]]&gt;=TODAY()),DATEDIF(TODAY(),tblRentRoll[[#This Row],[Lease_End]],"m"), 0)</f>
        <v>0</v>
      </c>
      <c r="V151" t="str">
        <f ca="1">IF(tblRentRoll[[#This Row],[Status]]&lt;&gt;"Occupied","", IF(tblRentRoll[[#This Row],[Month_to_Expiry]]&lt;=3, "0-3 Monaten",  IF(tblRentRoll[[#This Row],[Month_to_Expiry]]&lt;=6, "3-6 Monaten", IF(tblRentRoll[[#This Row],[Month_to_Expiry]]&lt;=12,"6-12 Monaten", IF(tblRentRoll[[#This Row],[Month_to_Expiry]]&gt;=12, "12 M+",)))))</f>
        <v>0-3 Monaten</v>
      </c>
      <c r="W151">
        <f>IF(tblRentRoll[[#This Row],[Status]]="Vacant", tblRentRoll[[#This Row],[Area_sqm]],0)</f>
        <v>0</v>
      </c>
      <c r="X151" s="3">
        <f>IF(tblRentRoll[[#This Row],[Status]]="Occupied", tblRentRoll[[#This Row],[Area_sqm]],0)</f>
        <v>368</v>
      </c>
      <c r="Y151" s="3">
        <f ca="1">tblRentRoll[[#This Row],[Month_to_Expiry]]/12*tblRentRoll[[#This Row],[Annual_Rent_EUR]]</f>
        <v>0</v>
      </c>
      <c r="Z151" s="3"/>
    </row>
    <row r="152" spans="1:26" x14ac:dyDescent="0.35">
      <c r="A152" t="s">
        <v>27</v>
      </c>
      <c r="B152" t="s">
        <v>269</v>
      </c>
      <c r="C152" t="s">
        <v>19</v>
      </c>
      <c r="D152">
        <v>1288</v>
      </c>
      <c r="E152" t="s">
        <v>15</v>
      </c>
      <c r="F152" t="s">
        <v>270</v>
      </c>
      <c r="G152">
        <v>19588.91</v>
      </c>
      <c r="H152">
        <v>235066.92</v>
      </c>
      <c r="I152" s="2">
        <f>tblRentRoll[[#This Row],[Monthly_Rent_EUR]]*12</f>
        <v>235066.91999999998</v>
      </c>
      <c r="J152" s="2" t="str">
        <f>IF(tblRentRoll[[#This Row],[Annual_Rent_EUR]]&lt;&gt;tblRentRoll[[#This Row],[Jahresrente_EUR]], "FALSCH", "")</f>
        <v/>
      </c>
      <c r="K152" s="1">
        <v>45024</v>
      </c>
      <c r="L152" s="1">
        <v>46744</v>
      </c>
      <c r="M152">
        <v>2434.75</v>
      </c>
      <c r="N152">
        <v>2881.59</v>
      </c>
      <c r="O15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2" t="str">
        <f>IF(tblRentRoll[[#This Row],[Area_sqm]]&lt;=0,"Area&lt;=0","")</f>
        <v/>
      </c>
      <c r="Q152" t="str">
        <f>IF(tblRentRoll[[#This Row],[Monthly_Rent_EUR]]&lt;=0,"Rent&lt;=0","")</f>
        <v/>
      </c>
      <c r="R152">
        <f>IF(AND(tblRentRoll[[#This Row],[Status]]="Occupied", tblRentRoll[[#This Row],[Area_sqm]]&gt;0), tblRentRoll[[#This Row],[Annual_Rent_EUR]]/tblRentRoll[[#This Row],[Area_sqm]],"")</f>
        <v>182.50537267080747</v>
      </c>
      <c r="S152">
        <f>tblRentRoll[[#This Row],[Service_Charge_EUR]]+tblRentRoll[[#This Row],[Operating_Cost_EUR]]</f>
        <v>5316.34</v>
      </c>
      <c r="T152">
        <f>IF(tblRentRoll[[#This Row],[Annual_Rent_EUR]]&lt;&gt;0,tblRentRoll[[#This Row],[Annual_Rent_EUR]]-tblRentRoll[[#This Row],[Operating_Cost_EUR]], "")</f>
        <v>232185.33000000002</v>
      </c>
      <c r="U152">
        <f ca="1">IF(AND(tblRentRoll[[#This Row],[Status]]="Occupied",tblRentRoll[[#This Row],[Lease_End]]&gt;=TODAY()),DATEDIF(TODAY(),tblRentRoll[[#This Row],[Lease_End]],"m"), 0)</f>
        <v>21</v>
      </c>
      <c r="V152" t="str">
        <f ca="1">IF(tblRentRoll[[#This Row],[Status]]&lt;&gt;"Occupied","", IF(tblRentRoll[[#This Row],[Month_to_Expiry]]&lt;=3, "0-3 Monaten",  IF(tblRentRoll[[#This Row],[Month_to_Expiry]]&lt;=6, "3-6 Monaten", IF(tblRentRoll[[#This Row],[Month_to_Expiry]]&lt;=12,"6-12 Monaten", IF(tblRentRoll[[#This Row],[Month_to_Expiry]]&gt;=12, "12 M+",)))))</f>
        <v>12 M+</v>
      </c>
      <c r="W152">
        <f>IF(tblRentRoll[[#This Row],[Status]]="Vacant", tblRentRoll[[#This Row],[Area_sqm]],0)</f>
        <v>0</v>
      </c>
      <c r="X152" s="3">
        <f>IF(tblRentRoll[[#This Row],[Status]]="Occupied", tblRentRoll[[#This Row],[Area_sqm]],0)</f>
        <v>1288</v>
      </c>
      <c r="Y152" s="3">
        <f ca="1">tblRentRoll[[#This Row],[Month_to_Expiry]]/12*tblRentRoll[[#This Row],[Annual_Rent_EUR]]</f>
        <v>411367.11000000004</v>
      </c>
      <c r="Z152" s="3"/>
    </row>
    <row r="153" spans="1:26" x14ac:dyDescent="0.35">
      <c r="A153" t="s">
        <v>24</v>
      </c>
      <c r="B153" t="s">
        <v>271</v>
      </c>
      <c r="C153" t="s">
        <v>33</v>
      </c>
      <c r="D153">
        <v>262</v>
      </c>
      <c r="E153" t="s">
        <v>15</v>
      </c>
      <c r="F153" t="s">
        <v>249</v>
      </c>
      <c r="G153">
        <v>4453.29</v>
      </c>
      <c r="H153">
        <v>53439.48</v>
      </c>
      <c r="I153" s="2">
        <f>tblRentRoll[[#This Row],[Monthly_Rent_EUR]]*12</f>
        <v>53439.479999999996</v>
      </c>
      <c r="J153" s="2" t="str">
        <f>IF(tblRentRoll[[#This Row],[Annual_Rent_EUR]]&lt;&gt;tblRentRoll[[#This Row],[Jahresrente_EUR]], "FALSCH", "")</f>
        <v/>
      </c>
      <c r="K153" s="1">
        <v>45198</v>
      </c>
      <c r="L153" s="1">
        <v>45578</v>
      </c>
      <c r="M153">
        <v>640.04999999999995</v>
      </c>
      <c r="N153">
        <v>164.34</v>
      </c>
      <c r="O15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3" t="str">
        <f>IF(tblRentRoll[[#This Row],[Area_sqm]]&lt;=0,"Area&lt;=0","")</f>
        <v/>
      </c>
      <c r="Q153" t="str">
        <f>IF(tblRentRoll[[#This Row],[Monthly_Rent_EUR]]&lt;=0,"Rent&lt;=0","")</f>
        <v/>
      </c>
      <c r="R153">
        <f>IF(AND(tblRentRoll[[#This Row],[Status]]="Occupied", tblRentRoll[[#This Row],[Area_sqm]]&gt;0), tblRentRoll[[#This Row],[Annual_Rent_EUR]]/tblRentRoll[[#This Row],[Area_sqm]],"")</f>
        <v>203.96748091603055</v>
      </c>
      <c r="S153">
        <f>tblRentRoll[[#This Row],[Service_Charge_EUR]]+tblRentRoll[[#This Row],[Operating_Cost_EUR]]</f>
        <v>804.39</v>
      </c>
      <c r="T153">
        <f>IF(tblRentRoll[[#This Row],[Annual_Rent_EUR]]&lt;&gt;0,tblRentRoll[[#This Row],[Annual_Rent_EUR]]-tblRentRoll[[#This Row],[Operating_Cost_EUR]], "")</f>
        <v>53275.140000000007</v>
      </c>
      <c r="U153">
        <f ca="1">IF(AND(tblRentRoll[[#This Row],[Status]]="Occupied",tblRentRoll[[#This Row],[Lease_End]]&gt;=TODAY()),DATEDIF(TODAY(),tblRentRoll[[#This Row],[Lease_End]],"m"), 0)</f>
        <v>0</v>
      </c>
      <c r="V153" t="str">
        <f ca="1">IF(tblRentRoll[[#This Row],[Status]]&lt;&gt;"Occupied","", IF(tblRentRoll[[#This Row],[Month_to_Expiry]]&lt;=3, "0-3 Monaten",  IF(tblRentRoll[[#This Row],[Month_to_Expiry]]&lt;=6, "3-6 Monaten", IF(tblRentRoll[[#This Row],[Month_to_Expiry]]&lt;=12,"6-12 Monaten", IF(tblRentRoll[[#This Row],[Month_to_Expiry]]&gt;=12, "12 M+",)))))</f>
        <v>0-3 Monaten</v>
      </c>
      <c r="W153">
        <f>IF(tblRentRoll[[#This Row],[Status]]="Vacant", tblRentRoll[[#This Row],[Area_sqm]],0)</f>
        <v>0</v>
      </c>
      <c r="X153" s="3">
        <f>IF(tblRentRoll[[#This Row],[Status]]="Occupied", tblRentRoll[[#This Row],[Area_sqm]],0)</f>
        <v>262</v>
      </c>
      <c r="Y153" s="3">
        <f ca="1">tblRentRoll[[#This Row],[Month_to_Expiry]]/12*tblRentRoll[[#This Row],[Annual_Rent_EUR]]</f>
        <v>0</v>
      </c>
      <c r="Z153" s="3"/>
    </row>
    <row r="154" spans="1:26" x14ac:dyDescent="0.35">
      <c r="A154" t="s">
        <v>56</v>
      </c>
      <c r="B154" t="s">
        <v>272</v>
      </c>
      <c r="C154" t="s">
        <v>14</v>
      </c>
      <c r="D154">
        <v>1303</v>
      </c>
      <c r="E154" t="s">
        <v>15</v>
      </c>
      <c r="F154" t="s">
        <v>273</v>
      </c>
      <c r="G154">
        <v>22356.85</v>
      </c>
      <c r="H154">
        <v>268282.2</v>
      </c>
      <c r="I154" s="2">
        <f>tblRentRoll[[#This Row],[Monthly_Rent_EUR]]*12</f>
        <v>268282.19999999995</v>
      </c>
      <c r="J154" s="2" t="str">
        <f>IF(tblRentRoll[[#This Row],[Annual_Rent_EUR]]&lt;&gt;tblRentRoll[[#This Row],[Jahresrente_EUR]], "FALSCH", "")</f>
        <v/>
      </c>
      <c r="K154" s="1">
        <v>44479</v>
      </c>
      <c r="L154" s="1">
        <v>44762</v>
      </c>
      <c r="M154">
        <v>2257</v>
      </c>
      <c r="N154">
        <v>2616.5300000000002</v>
      </c>
      <c r="O15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4" t="str">
        <f>IF(tblRentRoll[[#This Row],[Area_sqm]]&lt;=0,"Area&lt;=0","")</f>
        <v/>
      </c>
      <c r="Q154" t="str">
        <f>IF(tblRentRoll[[#This Row],[Monthly_Rent_EUR]]&lt;=0,"Rent&lt;=0","")</f>
        <v/>
      </c>
      <c r="R154">
        <f>IF(AND(tblRentRoll[[#This Row],[Status]]="Occupied", tblRentRoll[[#This Row],[Area_sqm]]&gt;0), tblRentRoll[[#This Row],[Annual_Rent_EUR]]/tblRentRoll[[#This Row],[Area_sqm]],"")</f>
        <v>205.89577897160399</v>
      </c>
      <c r="S154">
        <f>tblRentRoll[[#This Row],[Service_Charge_EUR]]+tblRentRoll[[#This Row],[Operating_Cost_EUR]]</f>
        <v>4873.5300000000007</v>
      </c>
      <c r="T154">
        <f>IF(tblRentRoll[[#This Row],[Annual_Rent_EUR]]&lt;&gt;0,tblRentRoll[[#This Row],[Annual_Rent_EUR]]-tblRentRoll[[#This Row],[Operating_Cost_EUR]], "")</f>
        <v>265665.67</v>
      </c>
      <c r="U154">
        <f ca="1">IF(AND(tblRentRoll[[#This Row],[Status]]="Occupied",tblRentRoll[[#This Row],[Lease_End]]&gt;=TODAY()),DATEDIF(TODAY(),tblRentRoll[[#This Row],[Lease_End]],"m"), 0)</f>
        <v>0</v>
      </c>
      <c r="V154" t="str">
        <f ca="1">IF(tblRentRoll[[#This Row],[Status]]&lt;&gt;"Occupied","", IF(tblRentRoll[[#This Row],[Month_to_Expiry]]&lt;=3, "0-3 Monaten",  IF(tblRentRoll[[#This Row],[Month_to_Expiry]]&lt;=6, "3-6 Monaten", IF(tblRentRoll[[#This Row],[Month_to_Expiry]]&lt;=12,"6-12 Monaten", IF(tblRentRoll[[#This Row],[Month_to_Expiry]]&gt;=12, "12 M+",)))))</f>
        <v>0-3 Monaten</v>
      </c>
      <c r="W154">
        <f>IF(tblRentRoll[[#This Row],[Status]]="Vacant", tblRentRoll[[#This Row],[Area_sqm]],0)</f>
        <v>0</v>
      </c>
      <c r="X154" s="3">
        <f>IF(tblRentRoll[[#This Row],[Status]]="Occupied", tblRentRoll[[#This Row],[Area_sqm]],0)</f>
        <v>1303</v>
      </c>
      <c r="Y154" s="3">
        <f ca="1">tblRentRoll[[#This Row],[Month_to_Expiry]]/12*tblRentRoll[[#This Row],[Annual_Rent_EUR]]</f>
        <v>0</v>
      </c>
      <c r="Z154" s="3"/>
    </row>
    <row r="155" spans="1:26" x14ac:dyDescent="0.35">
      <c r="A155" t="s">
        <v>24</v>
      </c>
      <c r="B155" t="s">
        <v>274</v>
      </c>
      <c r="C155" t="s">
        <v>29</v>
      </c>
      <c r="D155">
        <v>1479</v>
      </c>
      <c r="E155" t="s">
        <v>15</v>
      </c>
      <c r="F155" t="s">
        <v>132</v>
      </c>
      <c r="G155">
        <v>20862.66</v>
      </c>
      <c r="H155">
        <v>250351.92</v>
      </c>
      <c r="I155" s="2">
        <f>tblRentRoll[[#This Row],[Monthly_Rent_EUR]]*12</f>
        <v>250351.91999999998</v>
      </c>
      <c r="J155" s="2" t="str">
        <f>IF(tblRentRoll[[#This Row],[Annual_Rent_EUR]]&lt;&gt;tblRentRoll[[#This Row],[Jahresrente_EUR]], "FALSCH", "")</f>
        <v/>
      </c>
      <c r="K155" s="1">
        <v>45275</v>
      </c>
      <c r="L155" s="1">
        <v>45934</v>
      </c>
      <c r="M155">
        <v>2826.18</v>
      </c>
      <c r="N155">
        <v>1212.56</v>
      </c>
      <c r="O15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5" t="str">
        <f>IF(tblRentRoll[[#This Row],[Area_sqm]]&lt;=0,"Area&lt;=0","")</f>
        <v/>
      </c>
      <c r="Q155" t="str">
        <f>IF(tblRentRoll[[#This Row],[Monthly_Rent_EUR]]&lt;=0,"Rent&lt;=0","")</f>
        <v/>
      </c>
      <c r="R155">
        <f>IF(AND(tblRentRoll[[#This Row],[Status]]="Occupied", tblRentRoll[[#This Row],[Area_sqm]]&gt;0), tblRentRoll[[#This Row],[Annual_Rent_EUR]]/tblRentRoll[[#This Row],[Area_sqm]],"")</f>
        <v>169.27107505070995</v>
      </c>
      <c r="S155">
        <f>tblRentRoll[[#This Row],[Service_Charge_EUR]]+tblRentRoll[[#This Row],[Operating_Cost_EUR]]</f>
        <v>4038.74</v>
      </c>
      <c r="T155">
        <f>IF(tblRentRoll[[#This Row],[Annual_Rent_EUR]]&lt;&gt;0,tblRentRoll[[#This Row],[Annual_Rent_EUR]]-tblRentRoll[[#This Row],[Operating_Cost_EUR]], "")</f>
        <v>249139.36000000002</v>
      </c>
      <c r="U155">
        <f ca="1">IF(AND(tblRentRoll[[#This Row],[Status]]="Occupied",tblRentRoll[[#This Row],[Lease_End]]&gt;=TODAY()),DATEDIF(TODAY(),tblRentRoll[[#This Row],[Lease_End]],"m"), 0)</f>
        <v>0</v>
      </c>
      <c r="V155" t="str">
        <f ca="1">IF(tblRentRoll[[#This Row],[Status]]&lt;&gt;"Occupied","", IF(tblRentRoll[[#This Row],[Month_to_Expiry]]&lt;=3, "0-3 Monaten",  IF(tblRentRoll[[#This Row],[Month_to_Expiry]]&lt;=6, "3-6 Monaten", IF(tblRentRoll[[#This Row],[Month_to_Expiry]]&lt;=12,"6-12 Monaten", IF(tblRentRoll[[#This Row],[Month_to_Expiry]]&gt;=12, "12 M+",)))))</f>
        <v>0-3 Monaten</v>
      </c>
      <c r="W155">
        <f>IF(tblRentRoll[[#This Row],[Status]]="Vacant", tblRentRoll[[#This Row],[Area_sqm]],0)</f>
        <v>0</v>
      </c>
      <c r="X155" s="3">
        <f>IF(tblRentRoll[[#This Row],[Status]]="Occupied", tblRentRoll[[#This Row],[Area_sqm]],0)</f>
        <v>1479</v>
      </c>
      <c r="Y155" s="3">
        <f ca="1">tblRentRoll[[#This Row],[Month_to_Expiry]]/12*tblRentRoll[[#This Row],[Annual_Rent_EUR]]</f>
        <v>0</v>
      </c>
      <c r="Z155" s="3"/>
    </row>
    <row r="156" spans="1:26" x14ac:dyDescent="0.35">
      <c r="A156" t="s">
        <v>24</v>
      </c>
      <c r="B156" t="s">
        <v>275</v>
      </c>
      <c r="C156" t="s">
        <v>29</v>
      </c>
      <c r="D156">
        <v>762</v>
      </c>
      <c r="E156" t="s">
        <v>15</v>
      </c>
      <c r="F156" t="s">
        <v>276</v>
      </c>
      <c r="G156">
        <v>7663.76</v>
      </c>
      <c r="H156">
        <v>91965.119999999995</v>
      </c>
      <c r="I156" s="2">
        <f>tblRentRoll[[#This Row],[Monthly_Rent_EUR]]*12</f>
        <v>91965.119999999995</v>
      </c>
      <c r="J156" s="2" t="str">
        <f>IF(tblRentRoll[[#This Row],[Annual_Rent_EUR]]&lt;&gt;tblRentRoll[[#This Row],[Jahresrente_EUR]], "FALSCH", "")</f>
        <v/>
      </c>
      <c r="K156" s="1">
        <v>44810</v>
      </c>
      <c r="L156" s="1">
        <v>46289</v>
      </c>
      <c r="M156">
        <v>1796.52</v>
      </c>
      <c r="N156">
        <v>786.21</v>
      </c>
      <c r="O15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6" t="str">
        <f>IF(tblRentRoll[[#This Row],[Area_sqm]]&lt;=0,"Area&lt;=0","")</f>
        <v/>
      </c>
      <c r="Q156" t="str">
        <f>IF(tblRentRoll[[#This Row],[Monthly_Rent_EUR]]&lt;=0,"Rent&lt;=0","")</f>
        <v/>
      </c>
      <c r="R156">
        <f>IF(AND(tblRentRoll[[#This Row],[Status]]="Occupied", tblRentRoll[[#This Row],[Area_sqm]]&gt;0), tblRentRoll[[#This Row],[Annual_Rent_EUR]]/tblRentRoll[[#This Row],[Area_sqm]],"")</f>
        <v>120.68913385826771</v>
      </c>
      <c r="S156">
        <f>tblRentRoll[[#This Row],[Service_Charge_EUR]]+tblRentRoll[[#This Row],[Operating_Cost_EUR]]</f>
        <v>2582.73</v>
      </c>
      <c r="T156">
        <f>IF(tblRentRoll[[#This Row],[Annual_Rent_EUR]]&lt;&gt;0,tblRentRoll[[#This Row],[Annual_Rent_EUR]]-tblRentRoll[[#This Row],[Operating_Cost_EUR]], "")</f>
        <v>91178.909999999989</v>
      </c>
      <c r="U156">
        <f ca="1">IF(AND(tblRentRoll[[#This Row],[Status]]="Occupied",tblRentRoll[[#This Row],[Lease_End]]&gt;=TODAY()),DATEDIF(TODAY(),tblRentRoll[[#This Row],[Lease_End]],"m"), 0)</f>
        <v>6</v>
      </c>
      <c r="V156" t="str">
        <f ca="1">IF(tblRentRoll[[#This Row],[Status]]&lt;&gt;"Occupied","", IF(tblRentRoll[[#This Row],[Month_to_Expiry]]&lt;=3, "0-3 Monaten",  IF(tblRentRoll[[#This Row],[Month_to_Expiry]]&lt;=6, "3-6 Monaten", IF(tblRentRoll[[#This Row],[Month_to_Expiry]]&lt;=12,"6-12 Monaten", IF(tblRentRoll[[#This Row],[Month_to_Expiry]]&gt;=12, "12 M+",)))))</f>
        <v>3-6 Monaten</v>
      </c>
      <c r="W156">
        <f>IF(tblRentRoll[[#This Row],[Status]]="Vacant", tblRentRoll[[#This Row],[Area_sqm]],0)</f>
        <v>0</v>
      </c>
      <c r="X156" s="3">
        <f>IF(tblRentRoll[[#This Row],[Status]]="Occupied", tblRentRoll[[#This Row],[Area_sqm]],0)</f>
        <v>762</v>
      </c>
      <c r="Y156" s="3">
        <f ca="1">tblRentRoll[[#This Row],[Month_to_Expiry]]/12*tblRentRoll[[#This Row],[Annual_Rent_EUR]]</f>
        <v>45982.559999999998</v>
      </c>
      <c r="Z156" s="3"/>
    </row>
    <row r="157" spans="1:26" x14ac:dyDescent="0.35">
      <c r="A157" t="s">
        <v>56</v>
      </c>
      <c r="B157" t="s">
        <v>277</v>
      </c>
      <c r="C157" t="s">
        <v>19</v>
      </c>
      <c r="D157">
        <v>98</v>
      </c>
      <c r="E157" t="s">
        <v>15</v>
      </c>
      <c r="F157" t="s">
        <v>88</v>
      </c>
      <c r="G157">
        <v>989.38</v>
      </c>
      <c r="H157">
        <v>11872.56</v>
      </c>
      <c r="I157" s="2">
        <f>tblRentRoll[[#This Row],[Monthly_Rent_EUR]]*12</f>
        <v>11872.56</v>
      </c>
      <c r="J157" s="2" t="str">
        <f>IF(tblRentRoll[[#This Row],[Annual_Rent_EUR]]&lt;&gt;tblRentRoll[[#This Row],[Jahresrente_EUR]], "FALSCH", "")</f>
        <v/>
      </c>
      <c r="K157" s="1">
        <v>44349</v>
      </c>
      <c r="L157" s="1">
        <v>45584</v>
      </c>
      <c r="M157">
        <v>122.2</v>
      </c>
      <c r="N157">
        <v>65.180000000000007</v>
      </c>
      <c r="O15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7" t="str">
        <f>IF(tblRentRoll[[#This Row],[Area_sqm]]&lt;=0,"Area&lt;=0","")</f>
        <v/>
      </c>
      <c r="Q157" t="str">
        <f>IF(tblRentRoll[[#This Row],[Monthly_Rent_EUR]]&lt;=0,"Rent&lt;=0","")</f>
        <v/>
      </c>
      <c r="R157">
        <f>IF(AND(tblRentRoll[[#This Row],[Status]]="Occupied", tblRentRoll[[#This Row],[Area_sqm]]&gt;0), tblRentRoll[[#This Row],[Annual_Rent_EUR]]/tblRentRoll[[#This Row],[Area_sqm]],"")</f>
        <v>121.14857142857143</v>
      </c>
      <c r="S157">
        <f>tblRentRoll[[#This Row],[Service_Charge_EUR]]+tblRentRoll[[#This Row],[Operating_Cost_EUR]]</f>
        <v>187.38</v>
      </c>
      <c r="T157">
        <f>IF(tblRentRoll[[#This Row],[Annual_Rent_EUR]]&lt;&gt;0,tblRentRoll[[#This Row],[Annual_Rent_EUR]]-tblRentRoll[[#This Row],[Operating_Cost_EUR]], "")</f>
        <v>11807.38</v>
      </c>
      <c r="U157">
        <f ca="1">IF(AND(tblRentRoll[[#This Row],[Status]]="Occupied",tblRentRoll[[#This Row],[Lease_End]]&gt;=TODAY()),DATEDIF(TODAY(),tblRentRoll[[#This Row],[Lease_End]],"m"), 0)</f>
        <v>0</v>
      </c>
      <c r="V157" t="str">
        <f ca="1">IF(tblRentRoll[[#This Row],[Status]]&lt;&gt;"Occupied","", IF(tblRentRoll[[#This Row],[Month_to_Expiry]]&lt;=3, "0-3 Monaten",  IF(tblRentRoll[[#This Row],[Month_to_Expiry]]&lt;=6, "3-6 Monaten", IF(tblRentRoll[[#This Row],[Month_to_Expiry]]&lt;=12,"6-12 Monaten", IF(tblRentRoll[[#This Row],[Month_to_Expiry]]&gt;=12, "12 M+",)))))</f>
        <v>0-3 Monaten</v>
      </c>
      <c r="W157">
        <f>IF(tblRentRoll[[#This Row],[Status]]="Vacant", tblRentRoll[[#This Row],[Area_sqm]],0)</f>
        <v>0</v>
      </c>
      <c r="X157" s="3">
        <f>IF(tblRentRoll[[#This Row],[Status]]="Occupied", tblRentRoll[[#This Row],[Area_sqm]],0)</f>
        <v>98</v>
      </c>
      <c r="Y157" s="3">
        <f ca="1">tblRentRoll[[#This Row],[Month_to_Expiry]]/12*tblRentRoll[[#This Row],[Annual_Rent_EUR]]</f>
        <v>0</v>
      </c>
      <c r="Z157" s="3"/>
    </row>
    <row r="158" spans="1:26" x14ac:dyDescent="0.35">
      <c r="A158" t="s">
        <v>56</v>
      </c>
      <c r="B158" t="s">
        <v>278</v>
      </c>
      <c r="C158" t="s">
        <v>14</v>
      </c>
      <c r="D158">
        <v>161</v>
      </c>
      <c r="E158" t="s">
        <v>20</v>
      </c>
      <c r="G158">
        <v>0</v>
      </c>
      <c r="H158">
        <v>0</v>
      </c>
      <c r="I158" s="2">
        <f>tblRentRoll[[#This Row],[Monthly_Rent_EUR]]*12</f>
        <v>0</v>
      </c>
      <c r="J158" s="2" t="str">
        <f>IF(tblRentRoll[[#This Row],[Annual_Rent_EUR]]&lt;&gt;tblRentRoll[[#This Row],[Jahresrente_EUR]], "FALSCH", "")</f>
        <v/>
      </c>
      <c r="M158">
        <v>300.02999999999997</v>
      </c>
      <c r="N158">
        <v>371.96</v>
      </c>
      <c r="O15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8" t="str">
        <f>IF(tblRentRoll[[#This Row],[Area_sqm]]&lt;=0,"Area&lt;=0","")</f>
        <v/>
      </c>
      <c r="Q158" t="str">
        <f>IF(tblRentRoll[[#This Row],[Monthly_Rent_EUR]]&lt;=0,"Rent&lt;=0","")</f>
        <v>Rent&lt;=0</v>
      </c>
      <c r="R158" t="str">
        <f>IF(AND(tblRentRoll[[#This Row],[Status]]="Occupied", tblRentRoll[[#This Row],[Area_sqm]]&gt;0), tblRentRoll[[#This Row],[Annual_Rent_EUR]]/tblRentRoll[[#This Row],[Area_sqm]],"")</f>
        <v/>
      </c>
      <c r="S158">
        <f>tblRentRoll[[#This Row],[Service_Charge_EUR]]+tblRentRoll[[#This Row],[Operating_Cost_EUR]]</f>
        <v>671.99</v>
      </c>
      <c r="T158" t="str">
        <f>IF(tblRentRoll[[#This Row],[Annual_Rent_EUR]]&lt;&gt;0,tblRentRoll[[#This Row],[Annual_Rent_EUR]]-tblRentRoll[[#This Row],[Operating_Cost_EUR]], "")</f>
        <v/>
      </c>
      <c r="U158">
        <f ca="1">IF(AND(tblRentRoll[[#This Row],[Status]]="Occupied",tblRentRoll[[#This Row],[Lease_End]]&gt;=TODAY()),DATEDIF(TODAY(),tblRentRoll[[#This Row],[Lease_End]],"m"), 0)</f>
        <v>0</v>
      </c>
      <c r="V158" t="str">
        <f>IF(tblRentRoll[[#This Row],[Status]]&lt;&gt;"Occupied","", IF(tblRentRoll[[#This Row],[Month_to_Expiry]]&lt;=3, "0-3 Monaten",  IF(tblRentRoll[[#This Row],[Month_to_Expiry]]&lt;=6, "3-6 Monaten", IF(tblRentRoll[[#This Row],[Month_to_Expiry]]&lt;=12,"6-12 Monaten", IF(tblRentRoll[[#This Row],[Month_to_Expiry]]&gt;=12, "12 M+",)))))</f>
        <v/>
      </c>
      <c r="W158">
        <f>IF(tblRentRoll[[#This Row],[Status]]="Vacant", tblRentRoll[[#This Row],[Area_sqm]],0)</f>
        <v>161</v>
      </c>
      <c r="X158" s="3">
        <f>IF(tblRentRoll[[#This Row],[Status]]="Occupied", tblRentRoll[[#This Row],[Area_sqm]],0)</f>
        <v>0</v>
      </c>
      <c r="Y158" s="3">
        <f ca="1">tblRentRoll[[#This Row],[Month_to_Expiry]]/12*tblRentRoll[[#This Row],[Annual_Rent_EUR]]</f>
        <v>0</v>
      </c>
      <c r="Z158" s="3"/>
    </row>
    <row r="159" spans="1:26" x14ac:dyDescent="0.35">
      <c r="A159" t="s">
        <v>31</v>
      </c>
      <c r="B159" t="s">
        <v>279</v>
      </c>
      <c r="C159" t="s">
        <v>19</v>
      </c>
      <c r="D159">
        <v>156</v>
      </c>
      <c r="E159" t="s">
        <v>15</v>
      </c>
      <c r="F159" t="s">
        <v>280</v>
      </c>
      <c r="G159">
        <v>2087.39</v>
      </c>
      <c r="H159">
        <v>25048.68</v>
      </c>
      <c r="I159" s="2">
        <f>tblRentRoll[[#This Row],[Monthly_Rent_EUR]]*12</f>
        <v>25048.68</v>
      </c>
      <c r="J159" s="2" t="str">
        <f>IF(tblRentRoll[[#This Row],[Annual_Rent_EUR]]&lt;&gt;tblRentRoll[[#This Row],[Jahresrente_EUR]], "FALSCH", "")</f>
        <v/>
      </c>
      <c r="K159" s="1">
        <v>44862</v>
      </c>
      <c r="L159" s="1">
        <v>45322</v>
      </c>
      <c r="M159">
        <v>382.64</v>
      </c>
      <c r="N159">
        <v>303.04000000000002</v>
      </c>
      <c r="O15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59" t="str">
        <f>IF(tblRentRoll[[#This Row],[Area_sqm]]&lt;=0,"Area&lt;=0","")</f>
        <v/>
      </c>
      <c r="Q159" t="str">
        <f>IF(tblRentRoll[[#This Row],[Monthly_Rent_EUR]]&lt;=0,"Rent&lt;=0","")</f>
        <v/>
      </c>
      <c r="R159">
        <f>IF(AND(tblRentRoll[[#This Row],[Status]]="Occupied", tblRentRoll[[#This Row],[Area_sqm]]&gt;0), tblRentRoll[[#This Row],[Annual_Rent_EUR]]/tblRentRoll[[#This Row],[Area_sqm]],"")</f>
        <v>160.56846153846155</v>
      </c>
      <c r="S159">
        <f>tblRentRoll[[#This Row],[Service_Charge_EUR]]+tblRentRoll[[#This Row],[Operating_Cost_EUR]]</f>
        <v>685.68000000000006</v>
      </c>
      <c r="T159">
        <f>IF(tblRentRoll[[#This Row],[Annual_Rent_EUR]]&lt;&gt;0,tblRentRoll[[#This Row],[Annual_Rent_EUR]]-tblRentRoll[[#This Row],[Operating_Cost_EUR]], "")</f>
        <v>24745.64</v>
      </c>
      <c r="U159">
        <f ca="1">IF(AND(tblRentRoll[[#This Row],[Status]]="Occupied",tblRentRoll[[#This Row],[Lease_End]]&gt;=TODAY()),DATEDIF(TODAY(),tblRentRoll[[#This Row],[Lease_End]],"m"), 0)</f>
        <v>0</v>
      </c>
      <c r="V159" t="str">
        <f ca="1">IF(tblRentRoll[[#This Row],[Status]]&lt;&gt;"Occupied","", IF(tblRentRoll[[#This Row],[Month_to_Expiry]]&lt;=3, "0-3 Monaten",  IF(tblRentRoll[[#This Row],[Month_to_Expiry]]&lt;=6, "3-6 Monaten", IF(tblRentRoll[[#This Row],[Month_to_Expiry]]&lt;=12,"6-12 Monaten", IF(tblRentRoll[[#This Row],[Month_to_Expiry]]&gt;=12, "12 M+",)))))</f>
        <v>0-3 Monaten</v>
      </c>
      <c r="W159">
        <f>IF(tblRentRoll[[#This Row],[Status]]="Vacant", tblRentRoll[[#This Row],[Area_sqm]],0)</f>
        <v>0</v>
      </c>
      <c r="X159" s="3">
        <f>IF(tblRentRoll[[#This Row],[Status]]="Occupied", tblRentRoll[[#This Row],[Area_sqm]],0)</f>
        <v>156</v>
      </c>
      <c r="Y159" s="3">
        <f ca="1">tblRentRoll[[#This Row],[Month_to_Expiry]]/12*tblRentRoll[[#This Row],[Annual_Rent_EUR]]</f>
        <v>0</v>
      </c>
      <c r="Z159" s="3"/>
    </row>
    <row r="160" spans="1:26" x14ac:dyDescent="0.35">
      <c r="A160" t="s">
        <v>27</v>
      </c>
      <c r="B160" t="s">
        <v>281</v>
      </c>
      <c r="C160" t="s">
        <v>33</v>
      </c>
      <c r="D160">
        <v>528</v>
      </c>
      <c r="E160" t="s">
        <v>15</v>
      </c>
      <c r="F160" t="s">
        <v>282</v>
      </c>
      <c r="G160">
        <v>3553.11</v>
      </c>
      <c r="H160">
        <v>42637.32</v>
      </c>
      <c r="I160" s="2">
        <f>tblRentRoll[[#This Row],[Monthly_Rent_EUR]]*12</f>
        <v>42637.32</v>
      </c>
      <c r="J160" s="2" t="str">
        <f>IF(tblRentRoll[[#This Row],[Annual_Rent_EUR]]&lt;&gt;tblRentRoll[[#This Row],[Jahresrente_EUR]], "FALSCH", "")</f>
        <v/>
      </c>
      <c r="K160" s="1">
        <v>44659</v>
      </c>
      <c r="L160" s="1">
        <v>46087</v>
      </c>
      <c r="M160">
        <v>1257.1300000000001</v>
      </c>
      <c r="N160">
        <v>1011.23</v>
      </c>
      <c r="O16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0" t="str">
        <f>IF(tblRentRoll[[#This Row],[Area_sqm]]&lt;=0,"Area&lt;=0","")</f>
        <v/>
      </c>
      <c r="Q160" t="str">
        <f>IF(tblRentRoll[[#This Row],[Monthly_Rent_EUR]]&lt;=0,"Rent&lt;=0","")</f>
        <v/>
      </c>
      <c r="R160">
        <f>IF(AND(tblRentRoll[[#This Row],[Status]]="Occupied", tblRentRoll[[#This Row],[Area_sqm]]&gt;0), tblRentRoll[[#This Row],[Annual_Rent_EUR]]/tblRentRoll[[#This Row],[Area_sqm]],"")</f>
        <v>80.752499999999998</v>
      </c>
      <c r="S160">
        <f>tblRentRoll[[#This Row],[Service_Charge_EUR]]+tblRentRoll[[#This Row],[Operating_Cost_EUR]]</f>
        <v>2268.36</v>
      </c>
      <c r="T160">
        <f>IF(tblRentRoll[[#This Row],[Annual_Rent_EUR]]&lt;&gt;0,tblRentRoll[[#This Row],[Annual_Rent_EUR]]-tblRentRoll[[#This Row],[Operating_Cost_EUR]], "")</f>
        <v>41626.089999999997</v>
      </c>
      <c r="U160">
        <f ca="1">IF(AND(tblRentRoll[[#This Row],[Status]]="Occupied",tblRentRoll[[#This Row],[Lease_End]]&gt;=TODAY()),DATEDIF(TODAY(),tblRentRoll[[#This Row],[Lease_End]],"m"), 0)</f>
        <v>0</v>
      </c>
      <c r="V160" t="str">
        <f ca="1">IF(tblRentRoll[[#This Row],[Status]]&lt;&gt;"Occupied","", IF(tblRentRoll[[#This Row],[Month_to_Expiry]]&lt;=3, "0-3 Monaten",  IF(tblRentRoll[[#This Row],[Month_to_Expiry]]&lt;=6, "3-6 Monaten", IF(tblRentRoll[[#This Row],[Month_to_Expiry]]&lt;=12,"6-12 Monaten", IF(tblRentRoll[[#This Row],[Month_to_Expiry]]&gt;=12, "12 M+",)))))</f>
        <v>0-3 Monaten</v>
      </c>
      <c r="W160">
        <f>IF(tblRentRoll[[#This Row],[Status]]="Vacant", tblRentRoll[[#This Row],[Area_sqm]],0)</f>
        <v>0</v>
      </c>
      <c r="X160" s="3">
        <f>IF(tblRentRoll[[#This Row],[Status]]="Occupied", tblRentRoll[[#This Row],[Area_sqm]],0)</f>
        <v>528</v>
      </c>
      <c r="Y160" s="3">
        <f ca="1">tblRentRoll[[#This Row],[Month_to_Expiry]]/12*tblRentRoll[[#This Row],[Annual_Rent_EUR]]</f>
        <v>0</v>
      </c>
      <c r="Z160" s="3"/>
    </row>
    <row r="161" spans="1:26" x14ac:dyDescent="0.35">
      <c r="A161" t="s">
        <v>44</v>
      </c>
      <c r="B161" t="s">
        <v>283</v>
      </c>
      <c r="C161" t="s">
        <v>19</v>
      </c>
      <c r="D161">
        <v>632</v>
      </c>
      <c r="E161" t="s">
        <v>15</v>
      </c>
      <c r="F161" t="s">
        <v>284</v>
      </c>
      <c r="G161">
        <v>11174.54</v>
      </c>
      <c r="H161">
        <v>134094.48000000001</v>
      </c>
      <c r="I161" s="2">
        <f>tblRentRoll[[#This Row],[Monthly_Rent_EUR]]*12</f>
        <v>134094.48000000001</v>
      </c>
      <c r="J161" s="2" t="str">
        <f>IF(tblRentRoll[[#This Row],[Annual_Rent_EUR]]&lt;&gt;tblRentRoll[[#This Row],[Jahresrente_EUR]], "FALSCH", "")</f>
        <v/>
      </c>
      <c r="K161" s="1">
        <v>44463</v>
      </c>
      <c r="L161" s="1">
        <v>44906</v>
      </c>
      <c r="M161">
        <v>1870.48</v>
      </c>
      <c r="N161">
        <v>1517.42</v>
      </c>
      <c r="O16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1" t="str">
        <f>IF(tblRentRoll[[#This Row],[Area_sqm]]&lt;=0,"Area&lt;=0","")</f>
        <v/>
      </c>
      <c r="Q161" t="str">
        <f>IF(tblRentRoll[[#This Row],[Monthly_Rent_EUR]]&lt;=0,"Rent&lt;=0","")</f>
        <v/>
      </c>
      <c r="R161">
        <f>IF(AND(tblRentRoll[[#This Row],[Status]]="Occupied", tblRentRoll[[#This Row],[Area_sqm]]&gt;0), tblRentRoll[[#This Row],[Annual_Rent_EUR]]/tblRentRoll[[#This Row],[Area_sqm]],"")</f>
        <v>212.17481012658229</v>
      </c>
      <c r="S161">
        <f>tblRentRoll[[#This Row],[Service_Charge_EUR]]+tblRentRoll[[#This Row],[Operating_Cost_EUR]]</f>
        <v>3387.9</v>
      </c>
      <c r="T161">
        <f>IF(tblRentRoll[[#This Row],[Annual_Rent_EUR]]&lt;&gt;0,tblRentRoll[[#This Row],[Annual_Rent_EUR]]-tblRentRoll[[#This Row],[Operating_Cost_EUR]], "")</f>
        <v>132577.06</v>
      </c>
      <c r="U161">
        <f ca="1">IF(AND(tblRentRoll[[#This Row],[Status]]="Occupied",tblRentRoll[[#This Row],[Lease_End]]&gt;=TODAY()),DATEDIF(TODAY(),tblRentRoll[[#This Row],[Lease_End]],"m"), 0)</f>
        <v>0</v>
      </c>
      <c r="V161" t="str">
        <f ca="1">IF(tblRentRoll[[#This Row],[Status]]&lt;&gt;"Occupied","", IF(tblRentRoll[[#This Row],[Month_to_Expiry]]&lt;=3, "0-3 Monaten",  IF(tblRentRoll[[#This Row],[Month_to_Expiry]]&lt;=6, "3-6 Monaten", IF(tblRentRoll[[#This Row],[Month_to_Expiry]]&lt;=12,"6-12 Monaten", IF(tblRentRoll[[#This Row],[Month_to_Expiry]]&gt;=12, "12 M+",)))))</f>
        <v>0-3 Monaten</v>
      </c>
      <c r="W161">
        <f>IF(tblRentRoll[[#This Row],[Status]]="Vacant", tblRentRoll[[#This Row],[Area_sqm]],0)</f>
        <v>0</v>
      </c>
      <c r="X161" s="3">
        <f>IF(tblRentRoll[[#This Row],[Status]]="Occupied", tblRentRoll[[#This Row],[Area_sqm]],0)</f>
        <v>632</v>
      </c>
      <c r="Y161" s="3">
        <f ca="1">tblRentRoll[[#This Row],[Month_to_Expiry]]/12*tblRentRoll[[#This Row],[Annual_Rent_EUR]]</f>
        <v>0</v>
      </c>
      <c r="Z161" s="3"/>
    </row>
    <row r="162" spans="1:26" x14ac:dyDescent="0.35">
      <c r="A162" t="s">
        <v>56</v>
      </c>
      <c r="B162" t="s">
        <v>285</v>
      </c>
      <c r="C162" t="s">
        <v>29</v>
      </c>
      <c r="D162">
        <v>408</v>
      </c>
      <c r="E162" t="s">
        <v>15</v>
      </c>
      <c r="F162" t="s">
        <v>286</v>
      </c>
      <c r="G162">
        <v>3123.02</v>
      </c>
      <c r="H162">
        <v>37476.239999999998</v>
      </c>
      <c r="I162" s="2">
        <f>tblRentRoll[[#This Row],[Monthly_Rent_EUR]]*12</f>
        <v>37476.239999999998</v>
      </c>
      <c r="J162" s="2" t="str">
        <f>IF(tblRentRoll[[#This Row],[Annual_Rent_EUR]]&lt;&gt;tblRentRoll[[#This Row],[Jahresrente_EUR]], "FALSCH", "")</f>
        <v/>
      </c>
      <c r="K162" s="1">
        <v>45174</v>
      </c>
      <c r="L162" s="1">
        <v>45731</v>
      </c>
      <c r="M162">
        <v>493</v>
      </c>
      <c r="N162">
        <v>935.64</v>
      </c>
      <c r="O16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2" t="str">
        <f>IF(tblRentRoll[[#This Row],[Area_sqm]]&lt;=0,"Area&lt;=0","")</f>
        <v/>
      </c>
      <c r="Q162" t="str">
        <f>IF(tblRentRoll[[#This Row],[Monthly_Rent_EUR]]&lt;=0,"Rent&lt;=0","")</f>
        <v/>
      </c>
      <c r="R162">
        <f>IF(AND(tblRentRoll[[#This Row],[Status]]="Occupied", tblRentRoll[[#This Row],[Area_sqm]]&gt;0), tblRentRoll[[#This Row],[Annual_Rent_EUR]]/tblRentRoll[[#This Row],[Area_sqm]],"")</f>
        <v>91.853529411764697</v>
      </c>
      <c r="S162">
        <f>tblRentRoll[[#This Row],[Service_Charge_EUR]]+tblRentRoll[[#This Row],[Operating_Cost_EUR]]</f>
        <v>1428.6399999999999</v>
      </c>
      <c r="T162">
        <f>IF(tblRentRoll[[#This Row],[Annual_Rent_EUR]]&lt;&gt;0,tblRentRoll[[#This Row],[Annual_Rent_EUR]]-tblRentRoll[[#This Row],[Operating_Cost_EUR]], "")</f>
        <v>36540.6</v>
      </c>
      <c r="U162">
        <f ca="1">IF(AND(tblRentRoll[[#This Row],[Status]]="Occupied",tblRentRoll[[#This Row],[Lease_End]]&gt;=TODAY()),DATEDIF(TODAY(),tblRentRoll[[#This Row],[Lease_End]],"m"), 0)</f>
        <v>0</v>
      </c>
      <c r="V162" t="str">
        <f ca="1">IF(tblRentRoll[[#This Row],[Status]]&lt;&gt;"Occupied","", IF(tblRentRoll[[#This Row],[Month_to_Expiry]]&lt;=3, "0-3 Monaten",  IF(tblRentRoll[[#This Row],[Month_to_Expiry]]&lt;=6, "3-6 Monaten", IF(tblRentRoll[[#This Row],[Month_to_Expiry]]&lt;=12,"6-12 Monaten", IF(tblRentRoll[[#This Row],[Month_to_Expiry]]&gt;=12, "12 M+",)))))</f>
        <v>0-3 Monaten</v>
      </c>
      <c r="W162">
        <f>IF(tblRentRoll[[#This Row],[Status]]="Vacant", tblRentRoll[[#This Row],[Area_sqm]],0)</f>
        <v>0</v>
      </c>
      <c r="X162" s="3">
        <f>IF(tblRentRoll[[#This Row],[Status]]="Occupied", tblRentRoll[[#This Row],[Area_sqm]],0)</f>
        <v>408</v>
      </c>
      <c r="Y162" s="3">
        <f ca="1">tblRentRoll[[#This Row],[Month_to_Expiry]]/12*tblRentRoll[[#This Row],[Annual_Rent_EUR]]</f>
        <v>0</v>
      </c>
      <c r="Z162" s="3"/>
    </row>
    <row r="163" spans="1:26" x14ac:dyDescent="0.35">
      <c r="A163" t="s">
        <v>12</v>
      </c>
      <c r="B163" t="s">
        <v>287</v>
      </c>
      <c r="C163" t="s">
        <v>29</v>
      </c>
      <c r="D163">
        <v>441</v>
      </c>
      <c r="E163" t="s">
        <v>15</v>
      </c>
      <c r="F163" t="s">
        <v>76</v>
      </c>
      <c r="G163">
        <v>7800.1</v>
      </c>
      <c r="H163">
        <v>93601.2</v>
      </c>
      <c r="I163" s="2">
        <f>tblRentRoll[[#This Row],[Monthly_Rent_EUR]]*12</f>
        <v>93601.200000000012</v>
      </c>
      <c r="J163" s="2" t="str">
        <f>IF(tblRentRoll[[#This Row],[Annual_Rent_EUR]]&lt;&gt;tblRentRoll[[#This Row],[Jahresrente_EUR]], "FALSCH", "")</f>
        <v/>
      </c>
      <c r="K163" s="1">
        <v>45076</v>
      </c>
      <c r="L163" s="1">
        <v>46612</v>
      </c>
      <c r="M163">
        <v>1232.23</v>
      </c>
      <c r="N163">
        <v>1066.77</v>
      </c>
      <c r="O16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3" t="str">
        <f>IF(tblRentRoll[[#This Row],[Area_sqm]]&lt;=0,"Area&lt;=0","")</f>
        <v/>
      </c>
      <c r="Q163" t="str">
        <f>IF(tblRentRoll[[#This Row],[Monthly_Rent_EUR]]&lt;=0,"Rent&lt;=0","")</f>
        <v/>
      </c>
      <c r="R163">
        <f>IF(AND(tblRentRoll[[#This Row],[Status]]="Occupied", tblRentRoll[[#This Row],[Area_sqm]]&gt;0), tblRentRoll[[#This Row],[Annual_Rent_EUR]]/tblRentRoll[[#This Row],[Area_sqm]],"")</f>
        <v>212.24761904761905</v>
      </c>
      <c r="S163">
        <f>tblRentRoll[[#This Row],[Service_Charge_EUR]]+tblRentRoll[[#This Row],[Operating_Cost_EUR]]</f>
        <v>2299</v>
      </c>
      <c r="T163">
        <f>IF(tblRentRoll[[#This Row],[Annual_Rent_EUR]]&lt;&gt;0,tblRentRoll[[#This Row],[Annual_Rent_EUR]]-tblRentRoll[[#This Row],[Operating_Cost_EUR]], "")</f>
        <v>92534.43</v>
      </c>
      <c r="U163">
        <f ca="1">IF(AND(tblRentRoll[[#This Row],[Status]]="Occupied",tblRentRoll[[#This Row],[Lease_End]]&gt;=TODAY()),DATEDIF(TODAY(),tblRentRoll[[#This Row],[Lease_End]],"m"), 0)</f>
        <v>17</v>
      </c>
      <c r="V163" t="str">
        <f ca="1">IF(tblRentRoll[[#This Row],[Status]]&lt;&gt;"Occupied","", IF(tblRentRoll[[#This Row],[Month_to_Expiry]]&lt;=3, "0-3 Monaten",  IF(tblRentRoll[[#This Row],[Month_to_Expiry]]&lt;=6, "3-6 Monaten", IF(tblRentRoll[[#This Row],[Month_to_Expiry]]&lt;=12,"6-12 Monaten", IF(tblRentRoll[[#This Row],[Month_to_Expiry]]&gt;=12, "12 M+",)))))</f>
        <v>12 M+</v>
      </c>
      <c r="W163">
        <f>IF(tblRentRoll[[#This Row],[Status]]="Vacant", tblRentRoll[[#This Row],[Area_sqm]],0)</f>
        <v>0</v>
      </c>
      <c r="X163" s="3">
        <f>IF(tblRentRoll[[#This Row],[Status]]="Occupied", tblRentRoll[[#This Row],[Area_sqm]],0)</f>
        <v>441</v>
      </c>
      <c r="Y163" s="3">
        <f ca="1">tblRentRoll[[#This Row],[Month_to_Expiry]]/12*tblRentRoll[[#This Row],[Annual_Rent_EUR]]</f>
        <v>132601.70000000001</v>
      </c>
      <c r="Z163" s="3"/>
    </row>
    <row r="164" spans="1:26" x14ac:dyDescent="0.35">
      <c r="A164" t="s">
        <v>31</v>
      </c>
      <c r="B164" t="s">
        <v>288</v>
      </c>
      <c r="C164" t="s">
        <v>14</v>
      </c>
      <c r="D164">
        <v>528</v>
      </c>
      <c r="E164" t="s">
        <v>15</v>
      </c>
      <c r="F164" t="s">
        <v>289</v>
      </c>
      <c r="G164">
        <v>3229.69</v>
      </c>
      <c r="H164">
        <v>38756.28</v>
      </c>
      <c r="I164" s="2">
        <f>tblRentRoll[[#This Row],[Monthly_Rent_EUR]]*12</f>
        <v>38756.28</v>
      </c>
      <c r="J164" s="2" t="str">
        <f>IF(tblRentRoll[[#This Row],[Annual_Rent_EUR]]&lt;&gt;tblRentRoll[[#This Row],[Jahresrente_EUR]], "FALSCH", "")</f>
        <v/>
      </c>
      <c r="K164" s="1">
        <v>44670</v>
      </c>
      <c r="L164" s="1">
        <v>45867</v>
      </c>
      <c r="M164">
        <v>1206.19</v>
      </c>
      <c r="N164">
        <v>749.11</v>
      </c>
      <c r="O16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4" t="str">
        <f>IF(tblRentRoll[[#This Row],[Area_sqm]]&lt;=0,"Area&lt;=0","")</f>
        <v/>
      </c>
      <c r="Q164" t="str">
        <f>IF(tblRentRoll[[#This Row],[Monthly_Rent_EUR]]&lt;=0,"Rent&lt;=0","")</f>
        <v/>
      </c>
      <c r="R164">
        <f>IF(AND(tblRentRoll[[#This Row],[Status]]="Occupied", tblRentRoll[[#This Row],[Area_sqm]]&gt;0), tblRentRoll[[#This Row],[Annual_Rent_EUR]]/tblRentRoll[[#This Row],[Area_sqm]],"")</f>
        <v>73.402045454545458</v>
      </c>
      <c r="S164">
        <f>tblRentRoll[[#This Row],[Service_Charge_EUR]]+tblRentRoll[[#This Row],[Operating_Cost_EUR]]</f>
        <v>1955.3000000000002</v>
      </c>
      <c r="T164">
        <f>IF(tblRentRoll[[#This Row],[Annual_Rent_EUR]]&lt;&gt;0,tblRentRoll[[#This Row],[Annual_Rent_EUR]]-tblRentRoll[[#This Row],[Operating_Cost_EUR]], "")</f>
        <v>38007.17</v>
      </c>
      <c r="U164">
        <f ca="1">IF(AND(tblRentRoll[[#This Row],[Status]]="Occupied",tblRentRoll[[#This Row],[Lease_End]]&gt;=TODAY()),DATEDIF(TODAY(),tblRentRoll[[#This Row],[Lease_End]],"m"), 0)</f>
        <v>0</v>
      </c>
      <c r="V164" t="str">
        <f ca="1">IF(tblRentRoll[[#This Row],[Status]]&lt;&gt;"Occupied","", IF(tblRentRoll[[#This Row],[Month_to_Expiry]]&lt;=3, "0-3 Monaten",  IF(tblRentRoll[[#This Row],[Month_to_Expiry]]&lt;=6, "3-6 Monaten", IF(tblRentRoll[[#This Row],[Month_to_Expiry]]&lt;=12,"6-12 Monaten", IF(tblRentRoll[[#This Row],[Month_to_Expiry]]&gt;=12, "12 M+",)))))</f>
        <v>0-3 Monaten</v>
      </c>
      <c r="W164">
        <f>IF(tblRentRoll[[#This Row],[Status]]="Vacant", tblRentRoll[[#This Row],[Area_sqm]],0)</f>
        <v>0</v>
      </c>
      <c r="X164" s="3">
        <f>IF(tblRentRoll[[#This Row],[Status]]="Occupied", tblRentRoll[[#This Row],[Area_sqm]],0)</f>
        <v>528</v>
      </c>
      <c r="Y164" s="3">
        <f ca="1">tblRentRoll[[#This Row],[Month_to_Expiry]]/12*tblRentRoll[[#This Row],[Annual_Rent_EUR]]</f>
        <v>0</v>
      </c>
      <c r="Z164" s="3"/>
    </row>
    <row r="165" spans="1:26" x14ac:dyDescent="0.35">
      <c r="A165" t="s">
        <v>24</v>
      </c>
      <c r="B165" t="s">
        <v>290</v>
      </c>
      <c r="C165" t="s">
        <v>14</v>
      </c>
      <c r="D165">
        <v>390</v>
      </c>
      <c r="E165" t="s">
        <v>15</v>
      </c>
      <c r="F165" t="s">
        <v>291</v>
      </c>
      <c r="G165">
        <v>3262.69</v>
      </c>
      <c r="H165">
        <v>39152.28</v>
      </c>
      <c r="I165" s="2">
        <f>tblRentRoll[[#This Row],[Monthly_Rent_EUR]]*12</f>
        <v>39152.28</v>
      </c>
      <c r="J165" s="2" t="str">
        <f>IF(tblRentRoll[[#This Row],[Annual_Rent_EUR]]&lt;&gt;tblRentRoll[[#This Row],[Jahresrente_EUR]], "FALSCH", "")</f>
        <v/>
      </c>
      <c r="K165" s="1">
        <v>44483</v>
      </c>
      <c r="L165" s="1">
        <v>45456</v>
      </c>
      <c r="M165">
        <v>419.16</v>
      </c>
      <c r="N165">
        <v>642.66999999999996</v>
      </c>
      <c r="O16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5" t="str">
        <f>IF(tblRentRoll[[#This Row],[Area_sqm]]&lt;=0,"Area&lt;=0","")</f>
        <v/>
      </c>
      <c r="Q165" t="str">
        <f>IF(tblRentRoll[[#This Row],[Monthly_Rent_EUR]]&lt;=0,"Rent&lt;=0","")</f>
        <v/>
      </c>
      <c r="R165">
        <f>IF(AND(tblRentRoll[[#This Row],[Status]]="Occupied", tblRentRoll[[#This Row],[Area_sqm]]&gt;0), tblRentRoll[[#This Row],[Annual_Rent_EUR]]/tblRentRoll[[#This Row],[Area_sqm]],"")</f>
        <v>100.39046153846154</v>
      </c>
      <c r="S165">
        <f>tblRentRoll[[#This Row],[Service_Charge_EUR]]+tblRentRoll[[#This Row],[Operating_Cost_EUR]]</f>
        <v>1061.83</v>
      </c>
      <c r="T165">
        <f>IF(tblRentRoll[[#This Row],[Annual_Rent_EUR]]&lt;&gt;0,tblRentRoll[[#This Row],[Annual_Rent_EUR]]-tblRentRoll[[#This Row],[Operating_Cost_EUR]], "")</f>
        <v>38509.61</v>
      </c>
      <c r="U165">
        <f ca="1">IF(AND(tblRentRoll[[#This Row],[Status]]="Occupied",tblRentRoll[[#This Row],[Lease_End]]&gt;=TODAY()),DATEDIF(TODAY(),tblRentRoll[[#This Row],[Lease_End]],"m"), 0)</f>
        <v>0</v>
      </c>
      <c r="V165" t="str">
        <f ca="1">IF(tblRentRoll[[#This Row],[Status]]&lt;&gt;"Occupied","", IF(tblRentRoll[[#This Row],[Month_to_Expiry]]&lt;=3, "0-3 Monaten",  IF(tblRentRoll[[#This Row],[Month_to_Expiry]]&lt;=6, "3-6 Monaten", IF(tblRentRoll[[#This Row],[Month_to_Expiry]]&lt;=12,"6-12 Monaten", IF(tblRentRoll[[#This Row],[Month_to_Expiry]]&gt;=12, "12 M+",)))))</f>
        <v>0-3 Monaten</v>
      </c>
      <c r="W165">
        <f>IF(tblRentRoll[[#This Row],[Status]]="Vacant", tblRentRoll[[#This Row],[Area_sqm]],0)</f>
        <v>0</v>
      </c>
      <c r="X165" s="3">
        <f>IF(tblRentRoll[[#This Row],[Status]]="Occupied", tblRentRoll[[#This Row],[Area_sqm]],0)</f>
        <v>390</v>
      </c>
      <c r="Y165" s="3">
        <f ca="1">tblRentRoll[[#This Row],[Month_to_Expiry]]/12*tblRentRoll[[#This Row],[Annual_Rent_EUR]]</f>
        <v>0</v>
      </c>
      <c r="Z165" s="3"/>
    </row>
    <row r="166" spans="1:26" x14ac:dyDescent="0.35">
      <c r="A166" t="s">
        <v>24</v>
      </c>
      <c r="B166" t="s">
        <v>292</v>
      </c>
      <c r="C166" t="s">
        <v>33</v>
      </c>
      <c r="D166">
        <v>782</v>
      </c>
      <c r="E166" t="s">
        <v>15</v>
      </c>
      <c r="F166" t="s">
        <v>199</v>
      </c>
      <c r="G166">
        <v>8476.51</v>
      </c>
      <c r="H166">
        <v>101718.12</v>
      </c>
      <c r="I166" s="2">
        <f>tblRentRoll[[#This Row],[Monthly_Rent_EUR]]*12</f>
        <v>101718.12</v>
      </c>
      <c r="J166" s="2" t="str">
        <f>IF(tblRentRoll[[#This Row],[Annual_Rent_EUR]]&lt;&gt;tblRentRoll[[#This Row],[Jahresrente_EUR]], "FALSCH", "")</f>
        <v/>
      </c>
      <c r="K166" s="1">
        <v>44508</v>
      </c>
      <c r="L166" s="1">
        <v>45358</v>
      </c>
      <c r="M166">
        <v>947.19</v>
      </c>
      <c r="N166">
        <v>880.56</v>
      </c>
      <c r="O16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6" t="str">
        <f>IF(tblRentRoll[[#This Row],[Area_sqm]]&lt;=0,"Area&lt;=0","")</f>
        <v/>
      </c>
      <c r="Q166" t="str">
        <f>IF(tblRentRoll[[#This Row],[Monthly_Rent_EUR]]&lt;=0,"Rent&lt;=0","")</f>
        <v/>
      </c>
      <c r="R166">
        <f>IF(AND(tblRentRoll[[#This Row],[Status]]="Occupied", tblRentRoll[[#This Row],[Area_sqm]]&gt;0), tblRentRoll[[#This Row],[Annual_Rent_EUR]]/tblRentRoll[[#This Row],[Area_sqm]],"")</f>
        <v>130.07432225063937</v>
      </c>
      <c r="S166">
        <f>tblRentRoll[[#This Row],[Service_Charge_EUR]]+tblRentRoll[[#This Row],[Operating_Cost_EUR]]</f>
        <v>1827.75</v>
      </c>
      <c r="T166">
        <f>IF(tblRentRoll[[#This Row],[Annual_Rent_EUR]]&lt;&gt;0,tblRentRoll[[#This Row],[Annual_Rent_EUR]]-tblRentRoll[[#This Row],[Operating_Cost_EUR]], "")</f>
        <v>100837.56</v>
      </c>
      <c r="U166">
        <f ca="1">IF(AND(tblRentRoll[[#This Row],[Status]]="Occupied",tblRentRoll[[#This Row],[Lease_End]]&gt;=TODAY()),DATEDIF(TODAY(),tblRentRoll[[#This Row],[Lease_End]],"m"), 0)</f>
        <v>0</v>
      </c>
      <c r="V166" t="str">
        <f ca="1">IF(tblRentRoll[[#This Row],[Status]]&lt;&gt;"Occupied","", IF(tblRentRoll[[#This Row],[Month_to_Expiry]]&lt;=3, "0-3 Monaten",  IF(tblRentRoll[[#This Row],[Month_to_Expiry]]&lt;=6, "3-6 Monaten", IF(tblRentRoll[[#This Row],[Month_to_Expiry]]&lt;=12,"6-12 Monaten", IF(tblRentRoll[[#This Row],[Month_to_Expiry]]&gt;=12, "12 M+",)))))</f>
        <v>0-3 Monaten</v>
      </c>
      <c r="W166">
        <f>IF(tblRentRoll[[#This Row],[Status]]="Vacant", tblRentRoll[[#This Row],[Area_sqm]],0)</f>
        <v>0</v>
      </c>
      <c r="X166" s="3">
        <f>IF(tblRentRoll[[#This Row],[Status]]="Occupied", tblRentRoll[[#This Row],[Area_sqm]],0)</f>
        <v>782</v>
      </c>
      <c r="Y166" s="3">
        <f ca="1">tblRentRoll[[#This Row],[Month_to_Expiry]]/12*tblRentRoll[[#This Row],[Annual_Rent_EUR]]</f>
        <v>0</v>
      </c>
      <c r="Z166" s="3"/>
    </row>
    <row r="167" spans="1:26" x14ac:dyDescent="0.35">
      <c r="A167" t="s">
        <v>12</v>
      </c>
      <c r="B167" t="s">
        <v>293</v>
      </c>
      <c r="C167" t="s">
        <v>14</v>
      </c>
      <c r="D167">
        <v>682</v>
      </c>
      <c r="E167" t="s">
        <v>15</v>
      </c>
      <c r="F167" t="s">
        <v>294</v>
      </c>
      <c r="G167">
        <v>9929.9699999999993</v>
      </c>
      <c r="H167">
        <v>119159.64</v>
      </c>
      <c r="I167" s="2">
        <f>tblRentRoll[[#This Row],[Monthly_Rent_EUR]]*12</f>
        <v>119159.63999999998</v>
      </c>
      <c r="J167" s="2" t="str">
        <f>IF(tblRentRoll[[#This Row],[Annual_Rent_EUR]]&lt;&gt;tblRentRoll[[#This Row],[Jahresrente_EUR]], "FALSCH", "")</f>
        <v/>
      </c>
      <c r="K167" s="1">
        <v>45272</v>
      </c>
      <c r="L167" s="1">
        <v>46873</v>
      </c>
      <c r="M167">
        <v>1623.1</v>
      </c>
      <c r="N167">
        <v>1149.6099999999999</v>
      </c>
      <c r="O16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7" t="str">
        <f>IF(tblRentRoll[[#This Row],[Area_sqm]]&lt;=0,"Area&lt;=0","")</f>
        <v/>
      </c>
      <c r="Q167" t="str">
        <f>IF(tblRentRoll[[#This Row],[Monthly_Rent_EUR]]&lt;=0,"Rent&lt;=0","")</f>
        <v/>
      </c>
      <c r="R167">
        <f>IF(AND(tblRentRoll[[#This Row],[Status]]="Occupied", tblRentRoll[[#This Row],[Area_sqm]]&gt;0), tblRentRoll[[#This Row],[Annual_Rent_EUR]]/tblRentRoll[[#This Row],[Area_sqm]],"")</f>
        <v>174.72087976539589</v>
      </c>
      <c r="S167">
        <f>tblRentRoll[[#This Row],[Service_Charge_EUR]]+tblRentRoll[[#This Row],[Operating_Cost_EUR]]</f>
        <v>2772.71</v>
      </c>
      <c r="T167">
        <f>IF(tblRentRoll[[#This Row],[Annual_Rent_EUR]]&lt;&gt;0,tblRentRoll[[#This Row],[Annual_Rent_EUR]]-tblRentRoll[[#This Row],[Operating_Cost_EUR]], "")</f>
        <v>118010.03</v>
      </c>
      <c r="U167">
        <f ca="1">IF(AND(tblRentRoll[[#This Row],[Status]]="Occupied",tblRentRoll[[#This Row],[Lease_End]]&gt;=TODAY()),DATEDIF(TODAY(),tblRentRoll[[#This Row],[Lease_End]],"m"), 0)</f>
        <v>25</v>
      </c>
      <c r="V167" t="str">
        <f ca="1">IF(tblRentRoll[[#This Row],[Status]]&lt;&gt;"Occupied","", IF(tblRentRoll[[#This Row],[Month_to_Expiry]]&lt;=3, "0-3 Monaten",  IF(tblRentRoll[[#This Row],[Month_to_Expiry]]&lt;=6, "3-6 Monaten", IF(tblRentRoll[[#This Row],[Month_to_Expiry]]&lt;=12,"6-12 Monaten", IF(tblRentRoll[[#This Row],[Month_to_Expiry]]&gt;=12, "12 M+",)))))</f>
        <v>12 M+</v>
      </c>
      <c r="W167">
        <f>IF(tblRentRoll[[#This Row],[Status]]="Vacant", tblRentRoll[[#This Row],[Area_sqm]],0)</f>
        <v>0</v>
      </c>
      <c r="X167" s="3">
        <f>IF(tblRentRoll[[#This Row],[Status]]="Occupied", tblRentRoll[[#This Row],[Area_sqm]],0)</f>
        <v>682</v>
      </c>
      <c r="Y167" s="3">
        <f ca="1">tblRentRoll[[#This Row],[Month_to_Expiry]]/12*tblRentRoll[[#This Row],[Annual_Rent_EUR]]</f>
        <v>248249.25000000003</v>
      </c>
      <c r="Z167" s="3"/>
    </row>
    <row r="168" spans="1:26" x14ac:dyDescent="0.35">
      <c r="A168" t="s">
        <v>44</v>
      </c>
      <c r="B168" t="s">
        <v>295</v>
      </c>
      <c r="C168" t="s">
        <v>14</v>
      </c>
      <c r="D168">
        <v>538</v>
      </c>
      <c r="E168" t="s">
        <v>15</v>
      </c>
      <c r="F168" t="s">
        <v>175</v>
      </c>
      <c r="G168">
        <v>6887.09</v>
      </c>
      <c r="H168">
        <v>82645.08</v>
      </c>
      <c r="I168" s="2">
        <f>tblRentRoll[[#This Row],[Monthly_Rent_EUR]]*12</f>
        <v>82645.08</v>
      </c>
      <c r="J168" s="2" t="str">
        <f>IF(tblRentRoll[[#This Row],[Annual_Rent_EUR]]&lt;&gt;tblRentRoll[[#This Row],[Jahresrente_EUR]], "FALSCH", "")</f>
        <v/>
      </c>
      <c r="K168" s="1">
        <v>44846</v>
      </c>
      <c r="L168" s="1">
        <v>46319</v>
      </c>
      <c r="M168">
        <v>1237.0899999999999</v>
      </c>
      <c r="N168">
        <v>1262.54</v>
      </c>
      <c r="O16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8" t="str">
        <f>IF(tblRentRoll[[#This Row],[Area_sqm]]&lt;=0,"Area&lt;=0","")</f>
        <v/>
      </c>
      <c r="Q168" t="str">
        <f>IF(tblRentRoll[[#This Row],[Monthly_Rent_EUR]]&lt;=0,"Rent&lt;=0","")</f>
        <v/>
      </c>
      <c r="R168">
        <f>IF(AND(tblRentRoll[[#This Row],[Status]]="Occupied", tblRentRoll[[#This Row],[Area_sqm]]&gt;0), tblRentRoll[[#This Row],[Annual_Rent_EUR]]/tblRentRoll[[#This Row],[Area_sqm]],"")</f>
        <v>153.61539033457248</v>
      </c>
      <c r="S168">
        <f>tblRentRoll[[#This Row],[Service_Charge_EUR]]+tblRentRoll[[#This Row],[Operating_Cost_EUR]]</f>
        <v>2499.63</v>
      </c>
      <c r="T168">
        <f>IF(tblRentRoll[[#This Row],[Annual_Rent_EUR]]&lt;&gt;0,tblRentRoll[[#This Row],[Annual_Rent_EUR]]-tblRentRoll[[#This Row],[Operating_Cost_EUR]], "")</f>
        <v>81382.540000000008</v>
      </c>
      <c r="U168">
        <f ca="1">IF(AND(tblRentRoll[[#This Row],[Status]]="Occupied",tblRentRoll[[#This Row],[Lease_End]]&gt;=TODAY()),DATEDIF(TODAY(),tblRentRoll[[#This Row],[Lease_End]],"m"), 0)</f>
        <v>7</v>
      </c>
      <c r="V168" t="str">
        <f ca="1">IF(tblRentRoll[[#This Row],[Status]]&lt;&gt;"Occupied","", IF(tblRentRoll[[#This Row],[Month_to_Expiry]]&lt;=3, "0-3 Monaten",  IF(tblRentRoll[[#This Row],[Month_to_Expiry]]&lt;=6, "3-6 Monaten", IF(tblRentRoll[[#This Row],[Month_to_Expiry]]&lt;=12,"6-12 Monaten", IF(tblRentRoll[[#This Row],[Month_to_Expiry]]&gt;=12, "12 M+",)))))</f>
        <v>6-12 Monaten</v>
      </c>
      <c r="W168">
        <f>IF(tblRentRoll[[#This Row],[Status]]="Vacant", tblRentRoll[[#This Row],[Area_sqm]],0)</f>
        <v>0</v>
      </c>
      <c r="X168" s="3">
        <f>IF(tblRentRoll[[#This Row],[Status]]="Occupied", tblRentRoll[[#This Row],[Area_sqm]],0)</f>
        <v>538</v>
      </c>
      <c r="Y168" s="3">
        <f ca="1">tblRentRoll[[#This Row],[Month_to_Expiry]]/12*tblRentRoll[[#This Row],[Annual_Rent_EUR]]</f>
        <v>48209.630000000005</v>
      </c>
      <c r="Z168" s="3"/>
    </row>
    <row r="169" spans="1:26" x14ac:dyDescent="0.35">
      <c r="A169" t="s">
        <v>27</v>
      </c>
      <c r="B169" t="s">
        <v>296</v>
      </c>
      <c r="C169" t="s">
        <v>33</v>
      </c>
      <c r="D169">
        <v>376</v>
      </c>
      <c r="E169" t="s">
        <v>20</v>
      </c>
      <c r="G169">
        <v>0</v>
      </c>
      <c r="H169">
        <v>0</v>
      </c>
      <c r="I169" s="2">
        <f>tblRentRoll[[#This Row],[Monthly_Rent_EUR]]*12</f>
        <v>0</v>
      </c>
      <c r="J169" s="2" t="str">
        <f>IF(tblRentRoll[[#This Row],[Annual_Rent_EUR]]&lt;&gt;tblRentRoll[[#This Row],[Jahresrente_EUR]], "FALSCH", "")</f>
        <v/>
      </c>
      <c r="M169">
        <v>665.05</v>
      </c>
      <c r="N169">
        <v>279.77999999999997</v>
      </c>
      <c r="O16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69" t="str">
        <f>IF(tblRentRoll[[#This Row],[Area_sqm]]&lt;=0,"Area&lt;=0","")</f>
        <v/>
      </c>
      <c r="Q169" t="str">
        <f>IF(tblRentRoll[[#This Row],[Monthly_Rent_EUR]]&lt;=0,"Rent&lt;=0","")</f>
        <v>Rent&lt;=0</v>
      </c>
      <c r="R169" t="str">
        <f>IF(AND(tblRentRoll[[#This Row],[Status]]="Occupied", tblRentRoll[[#This Row],[Area_sqm]]&gt;0), tblRentRoll[[#This Row],[Annual_Rent_EUR]]/tblRentRoll[[#This Row],[Area_sqm]],"")</f>
        <v/>
      </c>
      <c r="S169">
        <f>tblRentRoll[[#This Row],[Service_Charge_EUR]]+tblRentRoll[[#This Row],[Operating_Cost_EUR]]</f>
        <v>944.82999999999993</v>
      </c>
      <c r="T169" t="str">
        <f>IF(tblRentRoll[[#This Row],[Annual_Rent_EUR]]&lt;&gt;0,tblRentRoll[[#This Row],[Annual_Rent_EUR]]-tblRentRoll[[#This Row],[Operating_Cost_EUR]], "")</f>
        <v/>
      </c>
      <c r="U169">
        <f ca="1">IF(AND(tblRentRoll[[#This Row],[Status]]="Occupied",tblRentRoll[[#This Row],[Lease_End]]&gt;=TODAY()),DATEDIF(TODAY(),tblRentRoll[[#This Row],[Lease_End]],"m"), 0)</f>
        <v>0</v>
      </c>
      <c r="V169" t="str">
        <f>IF(tblRentRoll[[#This Row],[Status]]&lt;&gt;"Occupied","", IF(tblRentRoll[[#This Row],[Month_to_Expiry]]&lt;=3, "0-3 Monaten",  IF(tblRentRoll[[#This Row],[Month_to_Expiry]]&lt;=6, "3-6 Monaten", IF(tblRentRoll[[#This Row],[Month_to_Expiry]]&lt;=12,"6-12 Monaten", IF(tblRentRoll[[#This Row],[Month_to_Expiry]]&gt;=12, "12 M+",)))))</f>
        <v/>
      </c>
      <c r="W169">
        <f>IF(tblRentRoll[[#This Row],[Status]]="Vacant", tblRentRoll[[#This Row],[Area_sqm]],0)</f>
        <v>376</v>
      </c>
      <c r="X169" s="3">
        <f>IF(tblRentRoll[[#This Row],[Status]]="Occupied", tblRentRoll[[#This Row],[Area_sqm]],0)</f>
        <v>0</v>
      </c>
      <c r="Y169" s="3">
        <f ca="1">tblRentRoll[[#This Row],[Month_to_Expiry]]/12*tblRentRoll[[#This Row],[Annual_Rent_EUR]]</f>
        <v>0</v>
      </c>
      <c r="Z169" s="3"/>
    </row>
    <row r="170" spans="1:26" x14ac:dyDescent="0.35">
      <c r="A170" t="s">
        <v>44</v>
      </c>
      <c r="B170" t="s">
        <v>297</v>
      </c>
      <c r="C170" t="s">
        <v>29</v>
      </c>
      <c r="D170">
        <v>1289</v>
      </c>
      <c r="E170" t="s">
        <v>15</v>
      </c>
      <c r="F170" t="s">
        <v>298</v>
      </c>
      <c r="G170">
        <v>12193.43</v>
      </c>
      <c r="H170">
        <v>146321.16</v>
      </c>
      <c r="I170" s="2">
        <f>tblRentRoll[[#This Row],[Monthly_Rent_EUR]]*12</f>
        <v>146321.16</v>
      </c>
      <c r="J170" s="2" t="str">
        <f>IF(tblRentRoll[[#This Row],[Annual_Rent_EUR]]&lt;&gt;tblRentRoll[[#This Row],[Jahresrente_EUR]], "FALSCH", "")</f>
        <v/>
      </c>
      <c r="K170" s="1">
        <v>44622</v>
      </c>
      <c r="L170" s="1">
        <v>45012</v>
      </c>
      <c r="M170">
        <v>1841.66</v>
      </c>
      <c r="N170">
        <v>2029.8</v>
      </c>
      <c r="O17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0" t="str">
        <f>IF(tblRentRoll[[#This Row],[Area_sqm]]&lt;=0,"Area&lt;=0","")</f>
        <v/>
      </c>
      <c r="Q170" t="str">
        <f>IF(tblRentRoll[[#This Row],[Monthly_Rent_EUR]]&lt;=0,"Rent&lt;=0","")</f>
        <v/>
      </c>
      <c r="R170">
        <f>IF(AND(tblRentRoll[[#This Row],[Status]]="Occupied", tblRentRoll[[#This Row],[Area_sqm]]&gt;0), tblRentRoll[[#This Row],[Annual_Rent_EUR]]/tblRentRoll[[#This Row],[Area_sqm]],"")</f>
        <v>113.51525213343677</v>
      </c>
      <c r="S170">
        <f>tblRentRoll[[#This Row],[Service_Charge_EUR]]+tblRentRoll[[#This Row],[Operating_Cost_EUR]]</f>
        <v>3871.46</v>
      </c>
      <c r="T170">
        <f>IF(tblRentRoll[[#This Row],[Annual_Rent_EUR]]&lt;&gt;0,tblRentRoll[[#This Row],[Annual_Rent_EUR]]-tblRentRoll[[#This Row],[Operating_Cost_EUR]], "")</f>
        <v>144291.36000000002</v>
      </c>
      <c r="U170">
        <f ca="1">IF(AND(tblRentRoll[[#This Row],[Status]]="Occupied",tblRentRoll[[#This Row],[Lease_End]]&gt;=TODAY()),DATEDIF(TODAY(),tblRentRoll[[#This Row],[Lease_End]],"m"), 0)</f>
        <v>0</v>
      </c>
      <c r="V170" t="str">
        <f ca="1">IF(tblRentRoll[[#This Row],[Status]]&lt;&gt;"Occupied","", IF(tblRentRoll[[#This Row],[Month_to_Expiry]]&lt;=3, "0-3 Monaten",  IF(tblRentRoll[[#This Row],[Month_to_Expiry]]&lt;=6, "3-6 Monaten", IF(tblRentRoll[[#This Row],[Month_to_Expiry]]&lt;=12,"6-12 Monaten", IF(tblRentRoll[[#This Row],[Month_to_Expiry]]&gt;=12, "12 M+",)))))</f>
        <v>0-3 Monaten</v>
      </c>
      <c r="W170">
        <f>IF(tblRentRoll[[#This Row],[Status]]="Vacant", tblRentRoll[[#This Row],[Area_sqm]],0)</f>
        <v>0</v>
      </c>
      <c r="X170" s="3">
        <f>IF(tblRentRoll[[#This Row],[Status]]="Occupied", tblRentRoll[[#This Row],[Area_sqm]],0)</f>
        <v>1289</v>
      </c>
      <c r="Y170" s="3">
        <f ca="1">tblRentRoll[[#This Row],[Month_to_Expiry]]/12*tblRentRoll[[#This Row],[Annual_Rent_EUR]]</f>
        <v>0</v>
      </c>
      <c r="Z170" s="3"/>
    </row>
    <row r="171" spans="1:26" x14ac:dyDescent="0.35">
      <c r="A171" t="s">
        <v>21</v>
      </c>
      <c r="B171" t="s">
        <v>299</v>
      </c>
      <c r="C171" t="s">
        <v>29</v>
      </c>
      <c r="D171">
        <v>1344</v>
      </c>
      <c r="E171" t="s">
        <v>15</v>
      </c>
      <c r="F171" t="s">
        <v>300</v>
      </c>
      <c r="G171">
        <v>18128.490000000002</v>
      </c>
      <c r="H171">
        <v>217541.88</v>
      </c>
      <c r="I171" s="2">
        <f>tblRentRoll[[#This Row],[Monthly_Rent_EUR]]*12</f>
        <v>217541.88</v>
      </c>
      <c r="J171" s="2" t="str">
        <f>IF(tblRentRoll[[#This Row],[Annual_Rent_EUR]]&lt;&gt;tblRentRoll[[#This Row],[Jahresrente_EUR]], "FALSCH", "")</f>
        <v/>
      </c>
      <c r="K171" s="1">
        <v>44684</v>
      </c>
      <c r="L171" s="1">
        <v>45181</v>
      </c>
      <c r="M171">
        <v>3459.66</v>
      </c>
      <c r="N171">
        <v>673.09</v>
      </c>
      <c r="O17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1" t="str">
        <f>IF(tblRentRoll[[#This Row],[Area_sqm]]&lt;=0,"Area&lt;=0","")</f>
        <v/>
      </c>
      <c r="Q171" t="str">
        <f>IF(tblRentRoll[[#This Row],[Monthly_Rent_EUR]]&lt;=0,"Rent&lt;=0","")</f>
        <v/>
      </c>
      <c r="R171">
        <f>IF(AND(tblRentRoll[[#This Row],[Status]]="Occupied", tblRentRoll[[#This Row],[Area_sqm]]&gt;0), tblRentRoll[[#This Row],[Annual_Rent_EUR]]/tblRentRoll[[#This Row],[Area_sqm]],"")</f>
        <v>161.86151785714287</v>
      </c>
      <c r="S171">
        <f>tblRentRoll[[#This Row],[Service_Charge_EUR]]+tblRentRoll[[#This Row],[Operating_Cost_EUR]]</f>
        <v>4132.75</v>
      </c>
      <c r="T171">
        <f>IF(tblRentRoll[[#This Row],[Annual_Rent_EUR]]&lt;&gt;0,tblRentRoll[[#This Row],[Annual_Rent_EUR]]-tblRentRoll[[#This Row],[Operating_Cost_EUR]], "")</f>
        <v>216868.79</v>
      </c>
      <c r="U171">
        <f ca="1">IF(AND(tblRentRoll[[#This Row],[Status]]="Occupied",tblRentRoll[[#This Row],[Lease_End]]&gt;=TODAY()),DATEDIF(TODAY(),tblRentRoll[[#This Row],[Lease_End]],"m"), 0)</f>
        <v>0</v>
      </c>
      <c r="V171" t="str">
        <f ca="1">IF(tblRentRoll[[#This Row],[Status]]&lt;&gt;"Occupied","", IF(tblRentRoll[[#This Row],[Month_to_Expiry]]&lt;=3, "0-3 Monaten",  IF(tblRentRoll[[#This Row],[Month_to_Expiry]]&lt;=6, "3-6 Monaten", IF(tblRentRoll[[#This Row],[Month_to_Expiry]]&lt;=12,"6-12 Monaten", IF(tblRentRoll[[#This Row],[Month_to_Expiry]]&gt;=12, "12 M+",)))))</f>
        <v>0-3 Monaten</v>
      </c>
      <c r="W171">
        <f>IF(tblRentRoll[[#This Row],[Status]]="Vacant", tblRentRoll[[#This Row],[Area_sqm]],0)</f>
        <v>0</v>
      </c>
      <c r="X171" s="3">
        <f>IF(tblRentRoll[[#This Row],[Status]]="Occupied", tblRentRoll[[#This Row],[Area_sqm]],0)</f>
        <v>1344</v>
      </c>
      <c r="Y171" s="3">
        <f ca="1">tblRentRoll[[#This Row],[Month_to_Expiry]]/12*tblRentRoll[[#This Row],[Annual_Rent_EUR]]</f>
        <v>0</v>
      </c>
      <c r="Z171" s="3"/>
    </row>
    <row r="172" spans="1:26" x14ac:dyDescent="0.35">
      <c r="A172" t="s">
        <v>17</v>
      </c>
      <c r="B172" t="s">
        <v>301</v>
      </c>
      <c r="C172" t="s">
        <v>33</v>
      </c>
      <c r="D172">
        <v>1406</v>
      </c>
      <c r="E172" t="s">
        <v>15</v>
      </c>
      <c r="F172" t="s">
        <v>126</v>
      </c>
      <c r="G172">
        <v>20678.509999999998</v>
      </c>
      <c r="H172">
        <v>248142.12</v>
      </c>
      <c r="I172" s="2">
        <f>tblRentRoll[[#This Row],[Monthly_Rent_EUR]]*12</f>
        <v>248142.12</v>
      </c>
      <c r="J172" s="2" t="str">
        <f>IF(tblRentRoll[[#This Row],[Annual_Rent_EUR]]&lt;&gt;tblRentRoll[[#This Row],[Jahresrente_EUR]], "FALSCH", "")</f>
        <v/>
      </c>
      <c r="K172" s="1">
        <v>44927</v>
      </c>
      <c r="L172" s="1">
        <v>45978</v>
      </c>
      <c r="M172">
        <v>2300.64</v>
      </c>
      <c r="N172">
        <v>1487.45</v>
      </c>
      <c r="O17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2" t="str">
        <f>IF(tblRentRoll[[#This Row],[Area_sqm]]&lt;=0,"Area&lt;=0","")</f>
        <v/>
      </c>
      <c r="Q172" t="str">
        <f>IF(tblRentRoll[[#This Row],[Monthly_Rent_EUR]]&lt;=0,"Rent&lt;=0","")</f>
        <v/>
      </c>
      <c r="R172">
        <f>IF(AND(tblRentRoll[[#This Row],[Status]]="Occupied", tblRentRoll[[#This Row],[Area_sqm]]&gt;0), tblRentRoll[[#This Row],[Annual_Rent_EUR]]/tblRentRoll[[#This Row],[Area_sqm]],"")</f>
        <v>176.48799431009957</v>
      </c>
      <c r="S172">
        <f>tblRentRoll[[#This Row],[Service_Charge_EUR]]+tblRentRoll[[#This Row],[Operating_Cost_EUR]]</f>
        <v>3788.09</v>
      </c>
      <c r="T172">
        <f>IF(tblRentRoll[[#This Row],[Annual_Rent_EUR]]&lt;&gt;0,tblRentRoll[[#This Row],[Annual_Rent_EUR]]-tblRentRoll[[#This Row],[Operating_Cost_EUR]], "")</f>
        <v>246654.66999999998</v>
      </c>
      <c r="U172">
        <f ca="1">IF(AND(tblRentRoll[[#This Row],[Status]]="Occupied",tblRentRoll[[#This Row],[Lease_End]]&gt;=TODAY()),DATEDIF(TODAY(),tblRentRoll[[#This Row],[Lease_End]],"m"), 0)</f>
        <v>0</v>
      </c>
      <c r="V172" t="str">
        <f ca="1">IF(tblRentRoll[[#This Row],[Status]]&lt;&gt;"Occupied","", IF(tblRentRoll[[#This Row],[Month_to_Expiry]]&lt;=3, "0-3 Monaten",  IF(tblRentRoll[[#This Row],[Month_to_Expiry]]&lt;=6, "3-6 Monaten", IF(tblRentRoll[[#This Row],[Month_to_Expiry]]&lt;=12,"6-12 Monaten", IF(tblRentRoll[[#This Row],[Month_to_Expiry]]&gt;=12, "12 M+",)))))</f>
        <v>0-3 Monaten</v>
      </c>
      <c r="W172">
        <f>IF(tblRentRoll[[#This Row],[Status]]="Vacant", tblRentRoll[[#This Row],[Area_sqm]],0)</f>
        <v>0</v>
      </c>
      <c r="X172" s="3">
        <f>IF(tblRentRoll[[#This Row],[Status]]="Occupied", tblRentRoll[[#This Row],[Area_sqm]],0)</f>
        <v>1406</v>
      </c>
      <c r="Y172" s="3">
        <f ca="1">tblRentRoll[[#This Row],[Month_to_Expiry]]/12*tblRentRoll[[#This Row],[Annual_Rent_EUR]]</f>
        <v>0</v>
      </c>
      <c r="Z172" s="3"/>
    </row>
    <row r="173" spans="1:26" x14ac:dyDescent="0.35">
      <c r="A173" t="s">
        <v>56</v>
      </c>
      <c r="B173" t="s">
        <v>302</v>
      </c>
      <c r="C173" t="s">
        <v>19</v>
      </c>
      <c r="D173">
        <v>375</v>
      </c>
      <c r="E173" t="s">
        <v>15</v>
      </c>
      <c r="F173" t="s">
        <v>185</v>
      </c>
      <c r="G173">
        <v>4495.26</v>
      </c>
      <c r="H173">
        <v>53943.12</v>
      </c>
      <c r="I173" s="2">
        <f>tblRentRoll[[#This Row],[Monthly_Rent_EUR]]*12</f>
        <v>53943.12</v>
      </c>
      <c r="J173" s="2" t="str">
        <f>IF(tblRentRoll[[#This Row],[Annual_Rent_EUR]]&lt;&gt;tblRentRoll[[#This Row],[Jahresrente_EUR]], "FALSCH", "")</f>
        <v/>
      </c>
      <c r="K173" s="1">
        <v>44693</v>
      </c>
      <c r="L173" s="1">
        <v>45120</v>
      </c>
      <c r="M173">
        <v>971.88</v>
      </c>
      <c r="N173">
        <v>744.37</v>
      </c>
      <c r="O17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3" t="str">
        <f>IF(tblRentRoll[[#This Row],[Area_sqm]]&lt;=0,"Area&lt;=0","")</f>
        <v/>
      </c>
      <c r="Q173" t="str">
        <f>IF(tblRentRoll[[#This Row],[Monthly_Rent_EUR]]&lt;=0,"Rent&lt;=0","")</f>
        <v/>
      </c>
      <c r="R173">
        <f>IF(AND(tblRentRoll[[#This Row],[Status]]="Occupied", tblRentRoll[[#This Row],[Area_sqm]]&gt;0), tblRentRoll[[#This Row],[Annual_Rent_EUR]]/tblRentRoll[[#This Row],[Area_sqm]],"")</f>
        <v>143.84832</v>
      </c>
      <c r="S173">
        <f>tblRentRoll[[#This Row],[Service_Charge_EUR]]+tblRentRoll[[#This Row],[Operating_Cost_EUR]]</f>
        <v>1716.25</v>
      </c>
      <c r="T173">
        <f>IF(tblRentRoll[[#This Row],[Annual_Rent_EUR]]&lt;&gt;0,tblRentRoll[[#This Row],[Annual_Rent_EUR]]-tblRentRoll[[#This Row],[Operating_Cost_EUR]], "")</f>
        <v>53198.75</v>
      </c>
      <c r="U173">
        <f ca="1">IF(AND(tblRentRoll[[#This Row],[Status]]="Occupied",tblRentRoll[[#This Row],[Lease_End]]&gt;=TODAY()),DATEDIF(TODAY(),tblRentRoll[[#This Row],[Lease_End]],"m"), 0)</f>
        <v>0</v>
      </c>
      <c r="V173" t="str">
        <f ca="1">IF(tblRentRoll[[#This Row],[Status]]&lt;&gt;"Occupied","", IF(tblRentRoll[[#This Row],[Month_to_Expiry]]&lt;=3, "0-3 Monaten",  IF(tblRentRoll[[#This Row],[Month_to_Expiry]]&lt;=6, "3-6 Monaten", IF(tblRentRoll[[#This Row],[Month_to_Expiry]]&lt;=12,"6-12 Monaten", IF(tblRentRoll[[#This Row],[Month_to_Expiry]]&gt;=12, "12 M+",)))))</f>
        <v>0-3 Monaten</v>
      </c>
      <c r="W173">
        <f>IF(tblRentRoll[[#This Row],[Status]]="Vacant", tblRentRoll[[#This Row],[Area_sqm]],0)</f>
        <v>0</v>
      </c>
      <c r="X173" s="3">
        <f>IF(tblRentRoll[[#This Row],[Status]]="Occupied", tblRentRoll[[#This Row],[Area_sqm]],0)</f>
        <v>375</v>
      </c>
      <c r="Y173" s="3">
        <f ca="1">tblRentRoll[[#This Row],[Month_to_Expiry]]/12*tblRentRoll[[#This Row],[Annual_Rent_EUR]]</f>
        <v>0</v>
      </c>
      <c r="Z173" s="3"/>
    </row>
    <row r="174" spans="1:26" x14ac:dyDescent="0.35">
      <c r="A174" t="s">
        <v>27</v>
      </c>
      <c r="B174" t="s">
        <v>303</v>
      </c>
      <c r="C174" t="s">
        <v>33</v>
      </c>
      <c r="D174">
        <v>1371</v>
      </c>
      <c r="E174" t="s">
        <v>15</v>
      </c>
      <c r="F174" t="s">
        <v>243</v>
      </c>
      <c r="G174">
        <v>18735.21</v>
      </c>
      <c r="H174">
        <v>224822.52</v>
      </c>
      <c r="I174" s="2">
        <f>tblRentRoll[[#This Row],[Monthly_Rent_EUR]]*12</f>
        <v>224822.52</v>
      </c>
      <c r="J174" s="2" t="str">
        <f>IF(tblRentRoll[[#This Row],[Annual_Rent_EUR]]&lt;&gt;tblRentRoll[[#This Row],[Jahresrente_EUR]], "FALSCH", "")</f>
        <v/>
      </c>
      <c r="K174" s="1">
        <v>44488</v>
      </c>
      <c r="L174" s="1">
        <v>45206</v>
      </c>
      <c r="M174">
        <v>2251.7399999999998</v>
      </c>
      <c r="N174">
        <v>3296.88</v>
      </c>
      <c r="O17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4" t="str">
        <f>IF(tblRentRoll[[#This Row],[Area_sqm]]&lt;=0,"Area&lt;=0","")</f>
        <v/>
      </c>
      <c r="Q174" t="str">
        <f>IF(tblRentRoll[[#This Row],[Monthly_Rent_EUR]]&lt;=0,"Rent&lt;=0","")</f>
        <v/>
      </c>
      <c r="R174">
        <f>IF(AND(tblRentRoll[[#This Row],[Status]]="Occupied", tblRentRoll[[#This Row],[Area_sqm]]&gt;0), tblRentRoll[[#This Row],[Annual_Rent_EUR]]/tblRentRoll[[#This Row],[Area_sqm]],"")</f>
        <v>163.98433260393873</v>
      </c>
      <c r="S174">
        <f>tblRentRoll[[#This Row],[Service_Charge_EUR]]+tblRentRoll[[#This Row],[Operating_Cost_EUR]]</f>
        <v>5548.62</v>
      </c>
      <c r="T174">
        <f>IF(tblRentRoll[[#This Row],[Annual_Rent_EUR]]&lt;&gt;0,tblRentRoll[[#This Row],[Annual_Rent_EUR]]-tblRentRoll[[#This Row],[Operating_Cost_EUR]], "")</f>
        <v>221525.63999999998</v>
      </c>
      <c r="U174">
        <f ca="1">IF(AND(tblRentRoll[[#This Row],[Status]]="Occupied",tblRentRoll[[#This Row],[Lease_End]]&gt;=TODAY()),DATEDIF(TODAY(),tblRentRoll[[#This Row],[Lease_End]],"m"), 0)</f>
        <v>0</v>
      </c>
      <c r="V174" t="str">
        <f ca="1">IF(tblRentRoll[[#This Row],[Status]]&lt;&gt;"Occupied","", IF(tblRentRoll[[#This Row],[Month_to_Expiry]]&lt;=3, "0-3 Monaten",  IF(tblRentRoll[[#This Row],[Month_to_Expiry]]&lt;=6, "3-6 Monaten", IF(tblRentRoll[[#This Row],[Month_to_Expiry]]&lt;=12,"6-12 Monaten", IF(tblRentRoll[[#This Row],[Month_to_Expiry]]&gt;=12, "12 M+",)))))</f>
        <v>0-3 Monaten</v>
      </c>
      <c r="W174">
        <f>IF(tblRentRoll[[#This Row],[Status]]="Vacant", tblRentRoll[[#This Row],[Area_sqm]],0)</f>
        <v>0</v>
      </c>
      <c r="X174" s="3">
        <f>IF(tblRentRoll[[#This Row],[Status]]="Occupied", tblRentRoll[[#This Row],[Area_sqm]],0)</f>
        <v>1371</v>
      </c>
      <c r="Y174" s="3">
        <f ca="1">tblRentRoll[[#This Row],[Month_to_Expiry]]/12*tblRentRoll[[#This Row],[Annual_Rent_EUR]]</f>
        <v>0</v>
      </c>
      <c r="Z174" s="3"/>
    </row>
    <row r="175" spans="1:26" x14ac:dyDescent="0.35">
      <c r="A175" t="s">
        <v>12</v>
      </c>
      <c r="B175" t="s">
        <v>304</v>
      </c>
      <c r="C175" t="s">
        <v>33</v>
      </c>
      <c r="D175">
        <v>594</v>
      </c>
      <c r="E175" t="s">
        <v>15</v>
      </c>
      <c r="F175" t="s">
        <v>173</v>
      </c>
      <c r="G175">
        <v>9837.81</v>
      </c>
      <c r="H175">
        <v>118053.72</v>
      </c>
      <c r="I175" s="2">
        <f>tblRentRoll[[#This Row],[Monthly_Rent_EUR]]*12</f>
        <v>118053.72</v>
      </c>
      <c r="J175" s="2" t="str">
        <f>IF(tblRentRoll[[#This Row],[Annual_Rent_EUR]]&lt;&gt;tblRentRoll[[#This Row],[Jahresrente_EUR]], "FALSCH", "")</f>
        <v/>
      </c>
      <c r="K175" s="1">
        <v>45203</v>
      </c>
      <c r="L175" s="1">
        <v>46764</v>
      </c>
      <c r="M175">
        <v>1177.26</v>
      </c>
      <c r="N175">
        <v>490.06</v>
      </c>
      <c r="O17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5" t="str">
        <f>IF(tblRentRoll[[#This Row],[Area_sqm]]&lt;=0,"Area&lt;=0","")</f>
        <v/>
      </c>
      <c r="Q175" t="str">
        <f>IF(tblRentRoll[[#This Row],[Monthly_Rent_EUR]]&lt;=0,"Rent&lt;=0","")</f>
        <v/>
      </c>
      <c r="R175">
        <f>IF(AND(tblRentRoll[[#This Row],[Status]]="Occupied", tblRentRoll[[#This Row],[Area_sqm]]&gt;0), tblRentRoll[[#This Row],[Annual_Rent_EUR]]/tblRentRoll[[#This Row],[Area_sqm]],"")</f>
        <v>198.74363636363637</v>
      </c>
      <c r="S175">
        <f>tblRentRoll[[#This Row],[Service_Charge_EUR]]+tblRentRoll[[#This Row],[Operating_Cost_EUR]]</f>
        <v>1667.32</v>
      </c>
      <c r="T175">
        <f>IF(tblRentRoll[[#This Row],[Annual_Rent_EUR]]&lt;&gt;0,tblRentRoll[[#This Row],[Annual_Rent_EUR]]-tblRentRoll[[#This Row],[Operating_Cost_EUR]], "")</f>
        <v>117563.66</v>
      </c>
      <c r="U175">
        <f ca="1">IF(AND(tblRentRoll[[#This Row],[Status]]="Occupied",tblRentRoll[[#This Row],[Lease_End]]&gt;=TODAY()),DATEDIF(TODAY(),tblRentRoll[[#This Row],[Lease_End]],"m"), 0)</f>
        <v>22</v>
      </c>
      <c r="V175" t="str">
        <f ca="1">IF(tblRentRoll[[#This Row],[Status]]&lt;&gt;"Occupied","", IF(tblRentRoll[[#This Row],[Month_to_Expiry]]&lt;=3, "0-3 Monaten",  IF(tblRentRoll[[#This Row],[Month_to_Expiry]]&lt;=6, "3-6 Monaten", IF(tblRentRoll[[#This Row],[Month_to_Expiry]]&lt;=12,"6-12 Monaten", IF(tblRentRoll[[#This Row],[Month_to_Expiry]]&gt;=12, "12 M+",)))))</f>
        <v>12 M+</v>
      </c>
      <c r="W175">
        <f>IF(tblRentRoll[[#This Row],[Status]]="Vacant", tblRentRoll[[#This Row],[Area_sqm]],0)</f>
        <v>0</v>
      </c>
      <c r="X175" s="3">
        <f>IF(tblRentRoll[[#This Row],[Status]]="Occupied", tblRentRoll[[#This Row],[Area_sqm]],0)</f>
        <v>594</v>
      </c>
      <c r="Y175" s="3">
        <f ca="1">tblRentRoll[[#This Row],[Month_to_Expiry]]/12*tblRentRoll[[#This Row],[Annual_Rent_EUR]]</f>
        <v>216431.82</v>
      </c>
      <c r="Z175" s="3"/>
    </row>
    <row r="176" spans="1:26" x14ac:dyDescent="0.35">
      <c r="A176" t="s">
        <v>27</v>
      </c>
      <c r="B176" t="s">
        <v>305</v>
      </c>
      <c r="C176" t="s">
        <v>29</v>
      </c>
      <c r="D176">
        <v>531</v>
      </c>
      <c r="E176" t="s">
        <v>15</v>
      </c>
      <c r="F176" t="s">
        <v>124</v>
      </c>
      <c r="G176">
        <v>6325.2</v>
      </c>
      <c r="H176">
        <v>75902.399999999994</v>
      </c>
      <c r="I176" s="2">
        <f>tblRentRoll[[#This Row],[Monthly_Rent_EUR]]*12</f>
        <v>75902.399999999994</v>
      </c>
      <c r="J176" s="2" t="str">
        <f>IF(tblRentRoll[[#This Row],[Annual_Rent_EUR]]&lt;&gt;tblRentRoll[[#This Row],[Jahresrente_EUR]], "FALSCH", "")</f>
        <v/>
      </c>
      <c r="K176" s="1">
        <v>44754</v>
      </c>
      <c r="L176" s="1">
        <v>45725</v>
      </c>
      <c r="M176">
        <v>624.16999999999996</v>
      </c>
      <c r="N176">
        <v>691.15</v>
      </c>
      <c r="O17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6" t="str">
        <f>IF(tblRentRoll[[#This Row],[Area_sqm]]&lt;=0,"Area&lt;=0","")</f>
        <v/>
      </c>
      <c r="Q176" t="str">
        <f>IF(tblRentRoll[[#This Row],[Monthly_Rent_EUR]]&lt;=0,"Rent&lt;=0","")</f>
        <v/>
      </c>
      <c r="R176">
        <f>IF(AND(tblRentRoll[[#This Row],[Status]]="Occupied", tblRentRoll[[#This Row],[Area_sqm]]&gt;0), tblRentRoll[[#This Row],[Annual_Rent_EUR]]/tblRentRoll[[#This Row],[Area_sqm]],"")</f>
        <v>142.94237288135591</v>
      </c>
      <c r="S176">
        <f>tblRentRoll[[#This Row],[Service_Charge_EUR]]+tblRentRoll[[#This Row],[Operating_Cost_EUR]]</f>
        <v>1315.32</v>
      </c>
      <c r="T176">
        <f>IF(tblRentRoll[[#This Row],[Annual_Rent_EUR]]&lt;&gt;0,tblRentRoll[[#This Row],[Annual_Rent_EUR]]-tblRentRoll[[#This Row],[Operating_Cost_EUR]], "")</f>
        <v>75211.25</v>
      </c>
      <c r="U176">
        <f ca="1">IF(AND(tblRentRoll[[#This Row],[Status]]="Occupied",tblRentRoll[[#This Row],[Lease_End]]&gt;=TODAY()),DATEDIF(TODAY(),tblRentRoll[[#This Row],[Lease_End]],"m"), 0)</f>
        <v>0</v>
      </c>
      <c r="V176" t="str">
        <f ca="1">IF(tblRentRoll[[#This Row],[Status]]&lt;&gt;"Occupied","", IF(tblRentRoll[[#This Row],[Month_to_Expiry]]&lt;=3, "0-3 Monaten",  IF(tblRentRoll[[#This Row],[Month_to_Expiry]]&lt;=6, "3-6 Monaten", IF(tblRentRoll[[#This Row],[Month_to_Expiry]]&lt;=12,"6-12 Monaten", IF(tblRentRoll[[#This Row],[Month_to_Expiry]]&gt;=12, "12 M+",)))))</f>
        <v>0-3 Monaten</v>
      </c>
      <c r="W176">
        <f>IF(tblRentRoll[[#This Row],[Status]]="Vacant", tblRentRoll[[#This Row],[Area_sqm]],0)</f>
        <v>0</v>
      </c>
      <c r="X176" s="3">
        <f>IF(tblRentRoll[[#This Row],[Status]]="Occupied", tblRentRoll[[#This Row],[Area_sqm]],0)</f>
        <v>531</v>
      </c>
      <c r="Y176" s="3">
        <f ca="1">tblRentRoll[[#This Row],[Month_to_Expiry]]/12*tblRentRoll[[#This Row],[Annual_Rent_EUR]]</f>
        <v>0</v>
      </c>
      <c r="Z176" s="3"/>
    </row>
    <row r="177" spans="1:26" x14ac:dyDescent="0.35">
      <c r="A177" t="s">
        <v>44</v>
      </c>
      <c r="B177" t="s">
        <v>306</v>
      </c>
      <c r="C177" t="s">
        <v>33</v>
      </c>
      <c r="D177">
        <v>1160</v>
      </c>
      <c r="E177" t="s">
        <v>15</v>
      </c>
      <c r="F177" t="s">
        <v>307</v>
      </c>
      <c r="G177">
        <v>16845.830000000002</v>
      </c>
      <c r="H177">
        <v>202149.96</v>
      </c>
      <c r="I177" s="2">
        <f>tblRentRoll[[#This Row],[Monthly_Rent_EUR]]*12</f>
        <v>202149.96000000002</v>
      </c>
      <c r="J177" s="2" t="str">
        <f>IF(tblRentRoll[[#This Row],[Annual_Rent_EUR]]&lt;&gt;tblRentRoll[[#This Row],[Jahresrente_EUR]], "FALSCH", "")</f>
        <v/>
      </c>
      <c r="K177" s="1">
        <v>44590</v>
      </c>
      <c r="L177" s="1">
        <v>45430</v>
      </c>
      <c r="M177">
        <v>2194.9499999999998</v>
      </c>
      <c r="N177">
        <v>1711.33</v>
      </c>
      <c r="O17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7" t="str">
        <f>IF(tblRentRoll[[#This Row],[Area_sqm]]&lt;=0,"Area&lt;=0","")</f>
        <v/>
      </c>
      <c r="Q177" t="str">
        <f>IF(tblRentRoll[[#This Row],[Monthly_Rent_EUR]]&lt;=0,"Rent&lt;=0","")</f>
        <v/>
      </c>
      <c r="R177">
        <f>IF(AND(tblRentRoll[[#This Row],[Status]]="Occupied", tblRentRoll[[#This Row],[Area_sqm]]&gt;0), tblRentRoll[[#This Row],[Annual_Rent_EUR]]/tblRentRoll[[#This Row],[Area_sqm]],"")</f>
        <v>174.26720689655173</v>
      </c>
      <c r="S177">
        <f>tblRentRoll[[#This Row],[Service_Charge_EUR]]+tblRentRoll[[#This Row],[Operating_Cost_EUR]]</f>
        <v>3906.2799999999997</v>
      </c>
      <c r="T177">
        <f>IF(tblRentRoll[[#This Row],[Annual_Rent_EUR]]&lt;&gt;0,tblRentRoll[[#This Row],[Annual_Rent_EUR]]-tblRentRoll[[#This Row],[Operating_Cost_EUR]], "")</f>
        <v>200438.63</v>
      </c>
      <c r="U177">
        <f ca="1">IF(AND(tblRentRoll[[#This Row],[Status]]="Occupied",tblRentRoll[[#This Row],[Lease_End]]&gt;=TODAY()),DATEDIF(TODAY(),tblRentRoll[[#This Row],[Lease_End]],"m"), 0)</f>
        <v>0</v>
      </c>
      <c r="V177" t="str">
        <f ca="1">IF(tblRentRoll[[#This Row],[Status]]&lt;&gt;"Occupied","", IF(tblRentRoll[[#This Row],[Month_to_Expiry]]&lt;=3, "0-3 Monaten",  IF(tblRentRoll[[#This Row],[Month_to_Expiry]]&lt;=6, "3-6 Monaten", IF(tblRentRoll[[#This Row],[Month_to_Expiry]]&lt;=12,"6-12 Monaten", IF(tblRentRoll[[#This Row],[Month_to_Expiry]]&gt;=12, "12 M+",)))))</f>
        <v>0-3 Monaten</v>
      </c>
      <c r="W177">
        <f>IF(tblRentRoll[[#This Row],[Status]]="Vacant", tblRentRoll[[#This Row],[Area_sqm]],0)</f>
        <v>0</v>
      </c>
      <c r="X177" s="3">
        <f>IF(tblRentRoll[[#This Row],[Status]]="Occupied", tblRentRoll[[#This Row],[Area_sqm]],0)</f>
        <v>1160</v>
      </c>
      <c r="Y177" s="3">
        <f ca="1">tblRentRoll[[#This Row],[Month_to_Expiry]]/12*tblRentRoll[[#This Row],[Annual_Rent_EUR]]</f>
        <v>0</v>
      </c>
      <c r="Z177" s="3"/>
    </row>
    <row r="178" spans="1:26" x14ac:dyDescent="0.35">
      <c r="A178" t="s">
        <v>27</v>
      </c>
      <c r="B178" t="s">
        <v>308</v>
      </c>
      <c r="C178" t="s">
        <v>33</v>
      </c>
      <c r="D178">
        <v>186</v>
      </c>
      <c r="E178" t="s">
        <v>15</v>
      </c>
      <c r="F178" t="s">
        <v>309</v>
      </c>
      <c r="G178">
        <v>1622.62</v>
      </c>
      <c r="H178">
        <v>19471.439999999999</v>
      </c>
      <c r="I178" s="2">
        <f>tblRentRoll[[#This Row],[Monthly_Rent_EUR]]*12</f>
        <v>19471.439999999999</v>
      </c>
      <c r="J178" s="2" t="str">
        <f>IF(tblRentRoll[[#This Row],[Annual_Rent_EUR]]&lt;&gt;tblRentRoll[[#This Row],[Jahresrente_EUR]], "FALSCH", "")</f>
        <v/>
      </c>
      <c r="K178" s="1">
        <v>44690</v>
      </c>
      <c r="L178" s="1">
        <v>46383</v>
      </c>
      <c r="M178">
        <v>331.08</v>
      </c>
      <c r="N178">
        <v>292.52</v>
      </c>
      <c r="O17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8" t="str">
        <f>IF(tblRentRoll[[#This Row],[Area_sqm]]&lt;=0,"Area&lt;=0","")</f>
        <v/>
      </c>
      <c r="Q178" t="str">
        <f>IF(tblRentRoll[[#This Row],[Monthly_Rent_EUR]]&lt;=0,"Rent&lt;=0","")</f>
        <v/>
      </c>
      <c r="R178">
        <f>IF(AND(tblRentRoll[[#This Row],[Status]]="Occupied", tblRentRoll[[#This Row],[Area_sqm]]&gt;0), tblRentRoll[[#This Row],[Annual_Rent_EUR]]/tblRentRoll[[#This Row],[Area_sqm]],"")</f>
        <v>104.68516129032257</v>
      </c>
      <c r="S178">
        <f>tblRentRoll[[#This Row],[Service_Charge_EUR]]+tblRentRoll[[#This Row],[Operating_Cost_EUR]]</f>
        <v>623.59999999999991</v>
      </c>
      <c r="T178">
        <f>IF(tblRentRoll[[#This Row],[Annual_Rent_EUR]]&lt;&gt;0,tblRentRoll[[#This Row],[Annual_Rent_EUR]]-tblRentRoll[[#This Row],[Operating_Cost_EUR]], "")</f>
        <v>19178.919999999998</v>
      </c>
      <c r="U178">
        <f ca="1">IF(AND(tblRentRoll[[#This Row],[Status]]="Occupied",tblRentRoll[[#This Row],[Lease_End]]&gt;=TODAY()),DATEDIF(TODAY(),tblRentRoll[[#This Row],[Lease_End]],"m"), 0)</f>
        <v>9</v>
      </c>
      <c r="V178" t="str">
        <f ca="1">IF(tblRentRoll[[#This Row],[Status]]&lt;&gt;"Occupied","", IF(tblRentRoll[[#This Row],[Month_to_Expiry]]&lt;=3, "0-3 Monaten",  IF(tblRentRoll[[#This Row],[Month_to_Expiry]]&lt;=6, "3-6 Monaten", IF(tblRentRoll[[#This Row],[Month_to_Expiry]]&lt;=12,"6-12 Monaten", IF(tblRentRoll[[#This Row],[Month_to_Expiry]]&gt;=12, "12 M+",)))))</f>
        <v>6-12 Monaten</v>
      </c>
      <c r="W178">
        <f>IF(tblRentRoll[[#This Row],[Status]]="Vacant", tblRentRoll[[#This Row],[Area_sqm]],0)</f>
        <v>0</v>
      </c>
      <c r="X178" s="3">
        <f>IF(tblRentRoll[[#This Row],[Status]]="Occupied", tblRentRoll[[#This Row],[Area_sqm]],0)</f>
        <v>186</v>
      </c>
      <c r="Y178" s="3">
        <f ca="1">tblRentRoll[[#This Row],[Month_to_Expiry]]/12*tblRentRoll[[#This Row],[Annual_Rent_EUR]]</f>
        <v>14603.579999999998</v>
      </c>
      <c r="Z178" s="3"/>
    </row>
    <row r="179" spans="1:26" x14ac:dyDescent="0.35">
      <c r="A179" t="s">
        <v>12</v>
      </c>
      <c r="B179" t="s">
        <v>310</v>
      </c>
      <c r="C179" t="s">
        <v>19</v>
      </c>
      <c r="D179">
        <v>287</v>
      </c>
      <c r="E179" t="s">
        <v>15</v>
      </c>
      <c r="F179" t="s">
        <v>311</v>
      </c>
      <c r="G179">
        <v>2140.88</v>
      </c>
      <c r="H179">
        <v>25690.560000000001</v>
      </c>
      <c r="I179" s="2">
        <f>tblRentRoll[[#This Row],[Monthly_Rent_EUR]]*12</f>
        <v>25690.560000000001</v>
      </c>
      <c r="J179" s="2" t="str">
        <f>IF(tblRentRoll[[#This Row],[Annual_Rent_EUR]]&lt;&gt;tblRentRoll[[#This Row],[Jahresrente_EUR]], "FALSCH", "")</f>
        <v/>
      </c>
      <c r="K179" s="1">
        <v>44993</v>
      </c>
      <c r="L179" s="1">
        <v>46501</v>
      </c>
      <c r="M179">
        <v>381.17</v>
      </c>
      <c r="N179">
        <v>670.95</v>
      </c>
      <c r="O17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79" t="str">
        <f>IF(tblRentRoll[[#This Row],[Area_sqm]]&lt;=0,"Area&lt;=0","")</f>
        <v/>
      </c>
      <c r="Q179" t="str">
        <f>IF(tblRentRoll[[#This Row],[Monthly_Rent_EUR]]&lt;=0,"Rent&lt;=0","")</f>
        <v/>
      </c>
      <c r="R179">
        <f>IF(AND(tblRentRoll[[#This Row],[Status]]="Occupied", tblRentRoll[[#This Row],[Area_sqm]]&gt;0), tblRentRoll[[#This Row],[Annual_Rent_EUR]]/tblRentRoll[[#This Row],[Area_sqm]],"")</f>
        <v>89.514146341463416</v>
      </c>
      <c r="S179">
        <f>tblRentRoll[[#This Row],[Service_Charge_EUR]]+tblRentRoll[[#This Row],[Operating_Cost_EUR]]</f>
        <v>1052.1200000000001</v>
      </c>
      <c r="T179">
        <f>IF(tblRentRoll[[#This Row],[Annual_Rent_EUR]]&lt;&gt;0,tblRentRoll[[#This Row],[Annual_Rent_EUR]]-tblRentRoll[[#This Row],[Operating_Cost_EUR]], "")</f>
        <v>25019.61</v>
      </c>
      <c r="U179">
        <f ca="1">IF(AND(tblRentRoll[[#This Row],[Status]]="Occupied",tblRentRoll[[#This Row],[Lease_End]]&gt;=TODAY()),DATEDIF(TODAY(),tblRentRoll[[#This Row],[Lease_End]],"m"), 0)</f>
        <v>13</v>
      </c>
      <c r="V179" t="str">
        <f ca="1">IF(tblRentRoll[[#This Row],[Status]]&lt;&gt;"Occupied","", IF(tblRentRoll[[#This Row],[Month_to_Expiry]]&lt;=3, "0-3 Monaten",  IF(tblRentRoll[[#This Row],[Month_to_Expiry]]&lt;=6, "3-6 Monaten", IF(tblRentRoll[[#This Row],[Month_to_Expiry]]&lt;=12,"6-12 Monaten", IF(tblRentRoll[[#This Row],[Month_to_Expiry]]&gt;=12, "12 M+",)))))</f>
        <v>12 M+</v>
      </c>
      <c r="W179">
        <f>IF(tblRentRoll[[#This Row],[Status]]="Vacant", tblRentRoll[[#This Row],[Area_sqm]],0)</f>
        <v>0</v>
      </c>
      <c r="X179" s="3">
        <f>IF(tblRentRoll[[#This Row],[Status]]="Occupied", tblRentRoll[[#This Row],[Area_sqm]],0)</f>
        <v>287</v>
      </c>
      <c r="Y179" s="3">
        <f ca="1">tblRentRoll[[#This Row],[Month_to_Expiry]]/12*tblRentRoll[[#This Row],[Annual_Rent_EUR]]</f>
        <v>27831.439999999999</v>
      </c>
      <c r="Z179" s="3"/>
    </row>
    <row r="180" spans="1:26" x14ac:dyDescent="0.35">
      <c r="A180" t="s">
        <v>24</v>
      </c>
      <c r="B180" t="s">
        <v>312</v>
      </c>
      <c r="C180" t="s">
        <v>33</v>
      </c>
      <c r="D180">
        <v>752</v>
      </c>
      <c r="E180" t="s">
        <v>20</v>
      </c>
      <c r="G180">
        <v>0</v>
      </c>
      <c r="H180">
        <v>0</v>
      </c>
      <c r="I180" s="2">
        <f>tblRentRoll[[#This Row],[Monthly_Rent_EUR]]*12</f>
        <v>0</v>
      </c>
      <c r="J180" s="2" t="str">
        <f>IF(tblRentRoll[[#This Row],[Annual_Rent_EUR]]&lt;&gt;tblRentRoll[[#This Row],[Jahresrente_EUR]], "FALSCH", "")</f>
        <v/>
      </c>
      <c r="M180">
        <v>1548.42</v>
      </c>
      <c r="N180">
        <v>690.55</v>
      </c>
      <c r="O18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0" t="str">
        <f>IF(tblRentRoll[[#This Row],[Area_sqm]]&lt;=0,"Area&lt;=0","")</f>
        <v/>
      </c>
      <c r="Q180" t="str">
        <f>IF(tblRentRoll[[#This Row],[Monthly_Rent_EUR]]&lt;=0,"Rent&lt;=0","")</f>
        <v>Rent&lt;=0</v>
      </c>
      <c r="R180" t="str">
        <f>IF(AND(tblRentRoll[[#This Row],[Status]]="Occupied", tblRentRoll[[#This Row],[Area_sqm]]&gt;0), tblRentRoll[[#This Row],[Annual_Rent_EUR]]/tblRentRoll[[#This Row],[Area_sqm]],"")</f>
        <v/>
      </c>
      <c r="S180">
        <f>tblRentRoll[[#This Row],[Service_Charge_EUR]]+tblRentRoll[[#This Row],[Operating_Cost_EUR]]</f>
        <v>2238.9700000000003</v>
      </c>
      <c r="T180" t="str">
        <f>IF(tblRentRoll[[#This Row],[Annual_Rent_EUR]]&lt;&gt;0,tblRentRoll[[#This Row],[Annual_Rent_EUR]]-tblRentRoll[[#This Row],[Operating_Cost_EUR]], "")</f>
        <v/>
      </c>
      <c r="U180">
        <f ca="1">IF(AND(tblRentRoll[[#This Row],[Status]]="Occupied",tblRentRoll[[#This Row],[Lease_End]]&gt;=TODAY()),DATEDIF(TODAY(),tblRentRoll[[#This Row],[Lease_End]],"m"), 0)</f>
        <v>0</v>
      </c>
      <c r="V180" t="str">
        <f>IF(tblRentRoll[[#This Row],[Status]]&lt;&gt;"Occupied","", IF(tblRentRoll[[#This Row],[Month_to_Expiry]]&lt;=3, "0-3 Monaten",  IF(tblRentRoll[[#This Row],[Month_to_Expiry]]&lt;=6, "3-6 Monaten", IF(tblRentRoll[[#This Row],[Month_to_Expiry]]&lt;=12,"6-12 Monaten", IF(tblRentRoll[[#This Row],[Month_to_Expiry]]&gt;=12, "12 M+",)))))</f>
        <v/>
      </c>
      <c r="W180">
        <f>IF(tblRentRoll[[#This Row],[Status]]="Vacant", tblRentRoll[[#This Row],[Area_sqm]],0)</f>
        <v>752</v>
      </c>
      <c r="X180" s="3">
        <f>IF(tblRentRoll[[#This Row],[Status]]="Occupied", tblRentRoll[[#This Row],[Area_sqm]],0)</f>
        <v>0</v>
      </c>
      <c r="Y180" s="3">
        <f ca="1">tblRentRoll[[#This Row],[Month_to_Expiry]]/12*tblRentRoll[[#This Row],[Annual_Rent_EUR]]</f>
        <v>0</v>
      </c>
      <c r="Z180" s="3"/>
    </row>
    <row r="181" spans="1:26" x14ac:dyDescent="0.35">
      <c r="A181" t="s">
        <v>17</v>
      </c>
      <c r="B181" t="s">
        <v>313</v>
      </c>
      <c r="C181" t="s">
        <v>19</v>
      </c>
      <c r="D181">
        <v>787</v>
      </c>
      <c r="E181" t="s">
        <v>15</v>
      </c>
      <c r="F181" t="s">
        <v>286</v>
      </c>
      <c r="G181">
        <v>7469.62</v>
      </c>
      <c r="H181">
        <v>89635.44</v>
      </c>
      <c r="I181" s="2">
        <f>tblRentRoll[[#This Row],[Monthly_Rent_EUR]]*12</f>
        <v>89635.44</v>
      </c>
      <c r="J181" s="2" t="str">
        <f>IF(tblRentRoll[[#This Row],[Annual_Rent_EUR]]&lt;&gt;tblRentRoll[[#This Row],[Jahresrente_EUR]], "FALSCH", "")</f>
        <v/>
      </c>
      <c r="K181" s="1">
        <v>44307</v>
      </c>
      <c r="L181" s="1">
        <v>44545</v>
      </c>
      <c r="M181">
        <v>1903.79</v>
      </c>
      <c r="N181">
        <v>832.22</v>
      </c>
      <c r="O18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1" t="str">
        <f>IF(tblRentRoll[[#This Row],[Area_sqm]]&lt;=0,"Area&lt;=0","")</f>
        <v/>
      </c>
      <c r="Q181" t="str">
        <f>IF(tblRentRoll[[#This Row],[Monthly_Rent_EUR]]&lt;=0,"Rent&lt;=0","")</f>
        <v/>
      </c>
      <c r="R181">
        <f>IF(AND(tblRentRoll[[#This Row],[Status]]="Occupied", tblRentRoll[[#This Row],[Area_sqm]]&gt;0), tblRentRoll[[#This Row],[Annual_Rent_EUR]]/tblRentRoll[[#This Row],[Area_sqm]],"")</f>
        <v>113.89509529860229</v>
      </c>
      <c r="S181">
        <f>tblRentRoll[[#This Row],[Service_Charge_EUR]]+tblRentRoll[[#This Row],[Operating_Cost_EUR]]</f>
        <v>2736.01</v>
      </c>
      <c r="T181">
        <f>IF(tblRentRoll[[#This Row],[Annual_Rent_EUR]]&lt;&gt;0,tblRentRoll[[#This Row],[Annual_Rent_EUR]]-tblRentRoll[[#This Row],[Operating_Cost_EUR]], "")</f>
        <v>88803.22</v>
      </c>
      <c r="U181">
        <f ca="1">IF(AND(tblRentRoll[[#This Row],[Status]]="Occupied",tblRentRoll[[#This Row],[Lease_End]]&gt;=TODAY()),DATEDIF(TODAY(),tblRentRoll[[#This Row],[Lease_End]],"m"), 0)</f>
        <v>0</v>
      </c>
      <c r="V181" t="str">
        <f ca="1">IF(tblRentRoll[[#This Row],[Status]]&lt;&gt;"Occupied","", IF(tblRentRoll[[#This Row],[Month_to_Expiry]]&lt;=3, "0-3 Monaten",  IF(tblRentRoll[[#This Row],[Month_to_Expiry]]&lt;=6, "3-6 Monaten", IF(tblRentRoll[[#This Row],[Month_to_Expiry]]&lt;=12,"6-12 Monaten", IF(tblRentRoll[[#This Row],[Month_to_Expiry]]&gt;=12, "12 M+",)))))</f>
        <v>0-3 Monaten</v>
      </c>
      <c r="W181">
        <f>IF(tblRentRoll[[#This Row],[Status]]="Vacant", tblRentRoll[[#This Row],[Area_sqm]],0)</f>
        <v>0</v>
      </c>
      <c r="X181" s="3">
        <f>IF(tblRentRoll[[#This Row],[Status]]="Occupied", tblRentRoll[[#This Row],[Area_sqm]],0)</f>
        <v>787</v>
      </c>
      <c r="Y181" s="3">
        <f ca="1">tblRentRoll[[#This Row],[Month_to_Expiry]]/12*tblRentRoll[[#This Row],[Annual_Rent_EUR]]</f>
        <v>0</v>
      </c>
      <c r="Z181" s="3"/>
    </row>
    <row r="182" spans="1:26" x14ac:dyDescent="0.35">
      <c r="A182" t="s">
        <v>56</v>
      </c>
      <c r="B182" t="s">
        <v>314</v>
      </c>
      <c r="C182" t="s">
        <v>14</v>
      </c>
      <c r="D182">
        <v>1139</v>
      </c>
      <c r="E182" t="s">
        <v>15</v>
      </c>
      <c r="F182" t="s">
        <v>315</v>
      </c>
      <c r="G182">
        <v>11099.89</v>
      </c>
      <c r="H182">
        <v>133198.68</v>
      </c>
      <c r="I182" s="2">
        <f>tblRentRoll[[#This Row],[Monthly_Rent_EUR]]*12</f>
        <v>133198.68</v>
      </c>
      <c r="J182" s="2" t="str">
        <f>IF(tblRentRoll[[#This Row],[Annual_Rent_EUR]]&lt;&gt;tblRentRoll[[#This Row],[Jahresrente_EUR]], "FALSCH", "")</f>
        <v/>
      </c>
      <c r="K182" s="1">
        <v>44308</v>
      </c>
      <c r="L182" s="1">
        <v>44491</v>
      </c>
      <c r="M182">
        <v>2460.3200000000002</v>
      </c>
      <c r="N182">
        <v>1664.89</v>
      </c>
      <c r="O18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2" t="str">
        <f>IF(tblRentRoll[[#This Row],[Area_sqm]]&lt;=0,"Area&lt;=0","")</f>
        <v/>
      </c>
      <c r="Q182" t="str">
        <f>IF(tblRentRoll[[#This Row],[Monthly_Rent_EUR]]&lt;=0,"Rent&lt;=0","")</f>
        <v/>
      </c>
      <c r="R182">
        <f>IF(AND(tblRentRoll[[#This Row],[Status]]="Occupied", tblRentRoll[[#This Row],[Area_sqm]]&gt;0), tblRentRoll[[#This Row],[Annual_Rent_EUR]]/tblRentRoll[[#This Row],[Area_sqm]],"")</f>
        <v>116.9435294117647</v>
      </c>
      <c r="S182">
        <f>tblRentRoll[[#This Row],[Service_Charge_EUR]]+tblRentRoll[[#This Row],[Operating_Cost_EUR]]</f>
        <v>4125.21</v>
      </c>
      <c r="T182">
        <f>IF(tblRentRoll[[#This Row],[Annual_Rent_EUR]]&lt;&gt;0,tblRentRoll[[#This Row],[Annual_Rent_EUR]]-tblRentRoll[[#This Row],[Operating_Cost_EUR]], "")</f>
        <v>131533.78999999998</v>
      </c>
      <c r="U182">
        <f ca="1">IF(AND(tblRentRoll[[#This Row],[Status]]="Occupied",tblRentRoll[[#This Row],[Lease_End]]&gt;=TODAY()),DATEDIF(TODAY(),tblRentRoll[[#This Row],[Lease_End]],"m"), 0)</f>
        <v>0</v>
      </c>
      <c r="V182" t="str">
        <f ca="1">IF(tblRentRoll[[#This Row],[Status]]&lt;&gt;"Occupied","", IF(tblRentRoll[[#This Row],[Month_to_Expiry]]&lt;=3, "0-3 Monaten",  IF(tblRentRoll[[#This Row],[Month_to_Expiry]]&lt;=6, "3-6 Monaten", IF(tblRentRoll[[#This Row],[Month_to_Expiry]]&lt;=12,"6-12 Monaten", IF(tblRentRoll[[#This Row],[Month_to_Expiry]]&gt;=12, "12 M+",)))))</f>
        <v>0-3 Monaten</v>
      </c>
      <c r="W182">
        <f>IF(tblRentRoll[[#This Row],[Status]]="Vacant", tblRentRoll[[#This Row],[Area_sqm]],0)</f>
        <v>0</v>
      </c>
      <c r="X182" s="3">
        <f>IF(tblRentRoll[[#This Row],[Status]]="Occupied", tblRentRoll[[#This Row],[Area_sqm]],0)</f>
        <v>1139</v>
      </c>
      <c r="Y182" s="3">
        <f ca="1">tblRentRoll[[#This Row],[Month_to_Expiry]]/12*tblRentRoll[[#This Row],[Annual_Rent_EUR]]</f>
        <v>0</v>
      </c>
      <c r="Z182" s="3"/>
    </row>
    <row r="183" spans="1:26" x14ac:dyDescent="0.35">
      <c r="A183" t="s">
        <v>24</v>
      </c>
      <c r="B183" t="s">
        <v>316</v>
      </c>
      <c r="C183" t="s">
        <v>19</v>
      </c>
      <c r="D183">
        <v>1220</v>
      </c>
      <c r="E183" t="s">
        <v>15</v>
      </c>
      <c r="F183" t="s">
        <v>317</v>
      </c>
      <c r="G183">
        <v>10473.030000000001</v>
      </c>
      <c r="H183">
        <v>125676.36</v>
      </c>
      <c r="I183" s="2">
        <f>tblRentRoll[[#This Row],[Monthly_Rent_EUR]]*12</f>
        <v>125676.36000000002</v>
      </c>
      <c r="J183" s="2" t="str">
        <f>IF(tblRentRoll[[#This Row],[Annual_Rent_EUR]]&lt;&gt;tblRentRoll[[#This Row],[Jahresrente_EUR]], "FALSCH", "")</f>
        <v/>
      </c>
      <c r="K183" s="1">
        <v>44906</v>
      </c>
      <c r="L183" s="1">
        <v>46205</v>
      </c>
      <c r="M183">
        <v>2012.15</v>
      </c>
      <c r="N183">
        <v>1555.15</v>
      </c>
      <c r="O18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3" t="str">
        <f>IF(tblRentRoll[[#This Row],[Area_sqm]]&lt;=0,"Area&lt;=0","")</f>
        <v/>
      </c>
      <c r="Q183" t="str">
        <f>IF(tblRentRoll[[#This Row],[Monthly_Rent_EUR]]&lt;=0,"Rent&lt;=0","")</f>
        <v/>
      </c>
      <c r="R183">
        <f>IF(AND(tblRentRoll[[#This Row],[Status]]="Occupied", tblRentRoll[[#This Row],[Area_sqm]]&gt;0), tblRentRoll[[#This Row],[Annual_Rent_EUR]]/tblRentRoll[[#This Row],[Area_sqm]],"")</f>
        <v>103.01340983606558</v>
      </c>
      <c r="S183">
        <f>tblRentRoll[[#This Row],[Service_Charge_EUR]]+tblRentRoll[[#This Row],[Operating_Cost_EUR]]</f>
        <v>3567.3</v>
      </c>
      <c r="T183">
        <f>IF(tblRentRoll[[#This Row],[Annual_Rent_EUR]]&lt;&gt;0,tblRentRoll[[#This Row],[Annual_Rent_EUR]]-tblRentRoll[[#This Row],[Operating_Cost_EUR]], "")</f>
        <v>124121.21</v>
      </c>
      <c r="U183">
        <f ca="1">IF(AND(tblRentRoll[[#This Row],[Status]]="Occupied",tblRentRoll[[#This Row],[Lease_End]]&gt;=TODAY()),DATEDIF(TODAY(),tblRentRoll[[#This Row],[Lease_End]],"m"), 0)</f>
        <v>3</v>
      </c>
      <c r="V183" t="str">
        <f ca="1">IF(tblRentRoll[[#This Row],[Status]]&lt;&gt;"Occupied","", IF(tblRentRoll[[#This Row],[Month_to_Expiry]]&lt;=3, "0-3 Monaten",  IF(tblRentRoll[[#This Row],[Month_to_Expiry]]&lt;=6, "3-6 Monaten", IF(tblRentRoll[[#This Row],[Month_to_Expiry]]&lt;=12,"6-12 Monaten", IF(tblRentRoll[[#This Row],[Month_to_Expiry]]&gt;=12, "12 M+",)))))</f>
        <v>0-3 Monaten</v>
      </c>
      <c r="W183">
        <f>IF(tblRentRoll[[#This Row],[Status]]="Vacant", tblRentRoll[[#This Row],[Area_sqm]],0)</f>
        <v>0</v>
      </c>
      <c r="X183" s="3">
        <f>IF(tblRentRoll[[#This Row],[Status]]="Occupied", tblRentRoll[[#This Row],[Area_sqm]],0)</f>
        <v>1220</v>
      </c>
      <c r="Y183" s="3">
        <f ca="1">tblRentRoll[[#This Row],[Month_to_Expiry]]/12*tblRentRoll[[#This Row],[Annual_Rent_EUR]]</f>
        <v>31419.09</v>
      </c>
      <c r="Z183" s="3"/>
    </row>
    <row r="184" spans="1:26" x14ac:dyDescent="0.35">
      <c r="A184" t="s">
        <v>56</v>
      </c>
      <c r="B184" t="s">
        <v>318</v>
      </c>
      <c r="C184" t="s">
        <v>19</v>
      </c>
      <c r="D184">
        <v>414</v>
      </c>
      <c r="E184" t="s">
        <v>15</v>
      </c>
      <c r="F184" t="s">
        <v>319</v>
      </c>
      <c r="G184">
        <v>3503.43</v>
      </c>
      <c r="H184">
        <v>42041.16</v>
      </c>
      <c r="I184" s="2">
        <f>tblRentRoll[[#This Row],[Monthly_Rent_EUR]]*12</f>
        <v>42041.159999999996</v>
      </c>
      <c r="J184" s="2" t="str">
        <f>IF(tblRentRoll[[#This Row],[Annual_Rent_EUR]]&lt;&gt;tblRentRoll[[#This Row],[Jahresrente_EUR]], "FALSCH", "")</f>
        <v/>
      </c>
      <c r="K184" s="1">
        <v>44439</v>
      </c>
      <c r="L184" s="1">
        <v>45553</v>
      </c>
      <c r="M184">
        <v>899.08</v>
      </c>
      <c r="N184">
        <v>560.13</v>
      </c>
      <c r="O18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4" t="str">
        <f>IF(tblRentRoll[[#This Row],[Area_sqm]]&lt;=0,"Area&lt;=0","")</f>
        <v/>
      </c>
      <c r="Q184" t="str">
        <f>IF(tblRentRoll[[#This Row],[Monthly_Rent_EUR]]&lt;=0,"Rent&lt;=0","")</f>
        <v/>
      </c>
      <c r="R184">
        <f>IF(AND(tblRentRoll[[#This Row],[Status]]="Occupied", tblRentRoll[[#This Row],[Area_sqm]]&gt;0), tblRentRoll[[#This Row],[Annual_Rent_EUR]]/tblRentRoll[[#This Row],[Area_sqm]],"")</f>
        <v>101.54869565217392</v>
      </c>
      <c r="S184">
        <f>tblRentRoll[[#This Row],[Service_Charge_EUR]]+tblRentRoll[[#This Row],[Operating_Cost_EUR]]</f>
        <v>1459.21</v>
      </c>
      <c r="T184">
        <f>IF(tblRentRoll[[#This Row],[Annual_Rent_EUR]]&lt;&gt;0,tblRentRoll[[#This Row],[Annual_Rent_EUR]]-tblRentRoll[[#This Row],[Operating_Cost_EUR]], "")</f>
        <v>41481.030000000006</v>
      </c>
      <c r="U184">
        <f ca="1">IF(AND(tblRentRoll[[#This Row],[Status]]="Occupied",tblRentRoll[[#This Row],[Lease_End]]&gt;=TODAY()),DATEDIF(TODAY(),tblRentRoll[[#This Row],[Lease_End]],"m"), 0)</f>
        <v>0</v>
      </c>
      <c r="V184" t="str">
        <f ca="1">IF(tblRentRoll[[#This Row],[Status]]&lt;&gt;"Occupied","", IF(tblRentRoll[[#This Row],[Month_to_Expiry]]&lt;=3, "0-3 Monaten",  IF(tblRentRoll[[#This Row],[Month_to_Expiry]]&lt;=6, "3-6 Monaten", IF(tblRentRoll[[#This Row],[Month_to_Expiry]]&lt;=12,"6-12 Monaten", IF(tblRentRoll[[#This Row],[Month_to_Expiry]]&gt;=12, "12 M+",)))))</f>
        <v>0-3 Monaten</v>
      </c>
      <c r="W184">
        <f>IF(tblRentRoll[[#This Row],[Status]]="Vacant", tblRentRoll[[#This Row],[Area_sqm]],0)</f>
        <v>0</v>
      </c>
      <c r="X184" s="3">
        <f>IF(tblRentRoll[[#This Row],[Status]]="Occupied", tblRentRoll[[#This Row],[Area_sqm]],0)</f>
        <v>414</v>
      </c>
      <c r="Y184" s="3">
        <f ca="1">tblRentRoll[[#This Row],[Month_to_Expiry]]/12*tblRentRoll[[#This Row],[Annual_Rent_EUR]]</f>
        <v>0</v>
      </c>
      <c r="Z184" s="3"/>
    </row>
    <row r="185" spans="1:26" x14ac:dyDescent="0.35">
      <c r="A185" t="s">
        <v>21</v>
      </c>
      <c r="B185" t="s">
        <v>320</v>
      </c>
      <c r="C185" t="s">
        <v>29</v>
      </c>
      <c r="D185">
        <v>642</v>
      </c>
      <c r="E185" t="s">
        <v>15</v>
      </c>
      <c r="F185" t="s">
        <v>119</v>
      </c>
      <c r="G185">
        <v>4658.8100000000004</v>
      </c>
      <c r="H185">
        <v>55905.72</v>
      </c>
      <c r="I185" s="2">
        <f>tblRentRoll[[#This Row],[Monthly_Rent_EUR]]*12</f>
        <v>55905.72</v>
      </c>
      <c r="J185" s="2" t="str">
        <f>IF(tblRentRoll[[#This Row],[Annual_Rent_EUR]]&lt;&gt;tblRentRoll[[#This Row],[Jahresrente_EUR]], "FALSCH", "")</f>
        <v/>
      </c>
      <c r="K185" s="1">
        <v>45271</v>
      </c>
      <c r="L185" s="1">
        <v>46872</v>
      </c>
      <c r="M185">
        <v>1657.18</v>
      </c>
      <c r="N185">
        <v>1276.73</v>
      </c>
      <c r="O18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5" t="str">
        <f>IF(tblRentRoll[[#This Row],[Area_sqm]]&lt;=0,"Area&lt;=0","")</f>
        <v/>
      </c>
      <c r="Q185" t="str">
        <f>IF(tblRentRoll[[#This Row],[Monthly_Rent_EUR]]&lt;=0,"Rent&lt;=0","")</f>
        <v/>
      </c>
      <c r="R185">
        <f>IF(AND(tblRentRoll[[#This Row],[Status]]="Occupied", tblRentRoll[[#This Row],[Area_sqm]]&gt;0), tblRentRoll[[#This Row],[Annual_Rent_EUR]]/tblRentRoll[[#This Row],[Area_sqm]],"")</f>
        <v>87.080560747663554</v>
      </c>
      <c r="S185">
        <f>tblRentRoll[[#This Row],[Service_Charge_EUR]]+tblRentRoll[[#This Row],[Operating_Cost_EUR]]</f>
        <v>2933.91</v>
      </c>
      <c r="T185">
        <f>IF(tblRentRoll[[#This Row],[Annual_Rent_EUR]]&lt;&gt;0,tblRentRoll[[#This Row],[Annual_Rent_EUR]]-tblRentRoll[[#This Row],[Operating_Cost_EUR]], "")</f>
        <v>54628.99</v>
      </c>
      <c r="U185">
        <f ca="1">IF(AND(tblRentRoll[[#This Row],[Status]]="Occupied",tblRentRoll[[#This Row],[Lease_End]]&gt;=TODAY()),DATEDIF(TODAY(),tblRentRoll[[#This Row],[Lease_End]],"m"), 0)</f>
        <v>25</v>
      </c>
      <c r="V185" t="str">
        <f ca="1">IF(tblRentRoll[[#This Row],[Status]]&lt;&gt;"Occupied","", IF(tblRentRoll[[#This Row],[Month_to_Expiry]]&lt;=3, "0-3 Monaten",  IF(tblRentRoll[[#This Row],[Month_to_Expiry]]&lt;=6, "3-6 Monaten", IF(tblRentRoll[[#This Row],[Month_to_Expiry]]&lt;=12,"6-12 Monaten", IF(tblRentRoll[[#This Row],[Month_to_Expiry]]&gt;=12, "12 M+",)))))</f>
        <v>12 M+</v>
      </c>
      <c r="W185">
        <f>IF(tblRentRoll[[#This Row],[Status]]="Vacant", tblRentRoll[[#This Row],[Area_sqm]],0)</f>
        <v>0</v>
      </c>
      <c r="X185" s="3">
        <f>IF(tblRentRoll[[#This Row],[Status]]="Occupied", tblRentRoll[[#This Row],[Area_sqm]],0)</f>
        <v>642</v>
      </c>
      <c r="Y185" s="3">
        <f ca="1">tblRentRoll[[#This Row],[Month_to_Expiry]]/12*tblRentRoll[[#This Row],[Annual_Rent_EUR]]</f>
        <v>116470.25000000001</v>
      </c>
      <c r="Z185" s="3"/>
    </row>
    <row r="186" spans="1:26" x14ac:dyDescent="0.35">
      <c r="A186" t="s">
        <v>56</v>
      </c>
      <c r="B186" t="s">
        <v>321</v>
      </c>
      <c r="C186" t="s">
        <v>29</v>
      </c>
      <c r="D186">
        <v>915</v>
      </c>
      <c r="E186" t="s">
        <v>15</v>
      </c>
      <c r="F186" t="s">
        <v>37</v>
      </c>
      <c r="G186">
        <v>11681.68</v>
      </c>
      <c r="H186">
        <v>140180.16</v>
      </c>
      <c r="I186" s="2">
        <f>tblRentRoll[[#This Row],[Monthly_Rent_EUR]]*12</f>
        <v>140180.16</v>
      </c>
      <c r="J186" s="2" t="str">
        <f>IF(tblRentRoll[[#This Row],[Annual_Rent_EUR]]&lt;&gt;tblRentRoll[[#This Row],[Jahresrente_EUR]], "FALSCH", "")</f>
        <v/>
      </c>
      <c r="K186" s="1">
        <v>44893</v>
      </c>
      <c r="L186" s="1">
        <v>46358</v>
      </c>
      <c r="M186">
        <v>2156.35</v>
      </c>
      <c r="N186">
        <v>929.54</v>
      </c>
      <c r="O18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6" t="str">
        <f>IF(tblRentRoll[[#This Row],[Area_sqm]]&lt;=0,"Area&lt;=0","")</f>
        <v/>
      </c>
      <c r="Q186" t="str">
        <f>IF(tblRentRoll[[#This Row],[Monthly_Rent_EUR]]&lt;=0,"Rent&lt;=0","")</f>
        <v/>
      </c>
      <c r="R186">
        <f>IF(AND(tblRentRoll[[#This Row],[Status]]="Occupied", tblRentRoll[[#This Row],[Area_sqm]]&gt;0), tblRentRoll[[#This Row],[Annual_Rent_EUR]]/tblRentRoll[[#This Row],[Area_sqm]],"")</f>
        <v>153.20236065573772</v>
      </c>
      <c r="S186">
        <f>tblRentRoll[[#This Row],[Service_Charge_EUR]]+tblRentRoll[[#This Row],[Operating_Cost_EUR]]</f>
        <v>3085.89</v>
      </c>
      <c r="T186">
        <f>IF(tblRentRoll[[#This Row],[Annual_Rent_EUR]]&lt;&gt;0,tblRentRoll[[#This Row],[Annual_Rent_EUR]]-tblRentRoll[[#This Row],[Operating_Cost_EUR]], "")</f>
        <v>139250.62</v>
      </c>
      <c r="U186">
        <f ca="1">IF(AND(tblRentRoll[[#This Row],[Status]]="Occupied",tblRentRoll[[#This Row],[Lease_End]]&gt;=TODAY()),DATEDIF(TODAY(),tblRentRoll[[#This Row],[Lease_End]],"m"), 0)</f>
        <v>8</v>
      </c>
      <c r="V186" t="str">
        <f ca="1">IF(tblRentRoll[[#This Row],[Status]]&lt;&gt;"Occupied","", IF(tblRentRoll[[#This Row],[Month_to_Expiry]]&lt;=3, "0-3 Monaten",  IF(tblRentRoll[[#This Row],[Month_to_Expiry]]&lt;=6, "3-6 Monaten", IF(tblRentRoll[[#This Row],[Month_to_Expiry]]&lt;=12,"6-12 Monaten", IF(tblRentRoll[[#This Row],[Month_to_Expiry]]&gt;=12, "12 M+",)))))</f>
        <v>6-12 Monaten</v>
      </c>
      <c r="W186">
        <f>IF(tblRentRoll[[#This Row],[Status]]="Vacant", tblRentRoll[[#This Row],[Area_sqm]],0)</f>
        <v>0</v>
      </c>
      <c r="X186" s="3">
        <f>IF(tblRentRoll[[#This Row],[Status]]="Occupied", tblRentRoll[[#This Row],[Area_sqm]],0)</f>
        <v>915</v>
      </c>
      <c r="Y186" s="3">
        <f ca="1">tblRentRoll[[#This Row],[Month_to_Expiry]]/12*tblRentRoll[[#This Row],[Annual_Rent_EUR]]</f>
        <v>93453.440000000002</v>
      </c>
      <c r="Z186" s="3"/>
    </row>
    <row r="187" spans="1:26" x14ac:dyDescent="0.35">
      <c r="A187" t="s">
        <v>44</v>
      </c>
      <c r="B187" t="s">
        <v>322</v>
      </c>
      <c r="C187" t="s">
        <v>29</v>
      </c>
      <c r="D187">
        <v>869</v>
      </c>
      <c r="E187" t="s">
        <v>15</v>
      </c>
      <c r="F187" t="s">
        <v>323</v>
      </c>
      <c r="G187">
        <v>13564.92</v>
      </c>
      <c r="H187">
        <v>162779.04</v>
      </c>
      <c r="I187" s="2">
        <f>tblRentRoll[[#This Row],[Monthly_Rent_EUR]]*12</f>
        <v>162779.04</v>
      </c>
      <c r="J187" s="2" t="str">
        <f>IF(tblRentRoll[[#This Row],[Annual_Rent_EUR]]&lt;&gt;tblRentRoll[[#This Row],[Jahresrente_EUR]], "FALSCH", "")</f>
        <v/>
      </c>
      <c r="K187" s="1">
        <v>45231</v>
      </c>
      <c r="L187" s="1">
        <v>45606</v>
      </c>
      <c r="M187">
        <v>2295.96</v>
      </c>
      <c r="N187">
        <v>1088.93</v>
      </c>
      <c r="O18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7" t="str">
        <f>IF(tblRentRoll[[#This Row],[Area_sqm]]&lt;=0,"Area&lt;=0","")</f>
        <v/>
      </c>
      <c r="Q187" t="str">
        <f>IF(tblRentRoll[[#This Row],[Monthly_Rent_EUR]]&lt;=0,"Rent&lt;=0","")</f>
        <v/>
      </c>
      <c r="R187">
        <f>IF(AND(tblRentRoll[[#This Row],[Status]]="Occupied", tblRentRoll[[#This Row],[Area_sqm]]&gt;0), tblRentRoll[[#This Row],[Annual_Rent_EUR]]/tblRentRoll[[#This Row],[Area_sqm]],"")</f>
        <v>187.31765247410817</v>
      </c>
      <c r="S187">
        <f>tblRentRoll[[#This Row],[Service_Charge_EUR]]+tblRentRoll[[#This Row],[Operating_Cost_EUR]]</f>
        <v>3384.8900000000003</v>
      </c>
      <c r="T187">
        <f>IF(tblRentRoll[[#This Row],[Annual_Rent_EUR]]&lt;&gt;0,tblRentRoll[[#This Row],[Annual_Rent_EUR]]-tblRentRoll[[#This Row],[Operating_Cost_EUR]], "")</f>
        <v>161690.11000000002</v>
      </c>
      <c r="U187">
        <f ca="1">IF(AND(tblRentRoll[[#This Row],[Status]]="Occupied",tblRentRoll[[#This Row],[Lease_End]]&gt;=TODAY()),DATEDIF(TODAY(),tblRentRoll[[#This Row],[Lease_End]],"m"), 0)</f>
        <v>0</v>
      </c>
      <c r="V187" t="str">
        <f ca="1">IF(tblRentRoll[[#This Row],[Status]]&lt;&gt;"Occupied","", IF(tblRentRoll[[#This Row],[Month_to_Expiry]]&lt;=3, "0-3 Monaten",  IF(tblRentRoll[[#This Row],[Month_to_Expiry]]&lt;=6, "3-6 Monaten", IF(tblRentRoll[[#This Row],[Month_to_Expiry]]&lt;=12,"6-12 Monaten", IF(tblRentRoll[[#This Row],[Month_to_Expiry]]&gt;=12, "12 M+",)))))</f>
        <v>0-3 Monaten</v>
      </c>
      <c r="W187">
        <f>IF(tblRentRoll[[#This Row],[Status]]="Vacant", tblRentRoll[[#This Row],[Area_sqm]],0)</f>
        <v>0</v>
      </c>
      <c r="X187" s="3">
        <f>IF(tblRentRoll[[#This Row],[Status]]="Occupied", tblRentRoll[[#This Row],[Area_sqm]],0)</f>
        <v>869</v>
      </c>
      <c r="Y187" s="3">
        <f ca="1">tblRentRoll[[#This Row],[Month_to_Expiry]]/12*tblRentRoll[[#This Row],[Annual_Rent_EUR]]</f>
        <v>0</v>
      </c>
      <c r="Z187" s="3"/>
    </row>
    <row r="188" spans="1:26" x14ac:dyDescent="0.35">
      <c r="A188" t="s">
        <v>12</v>
      </c>
      <c r="B188" t="s">
        <v>324</v>
      </c>
      <c r="C188" t="s">
        <v>19</v>
      </c>
      <c r="D188">
        <v>384</v>
      </c>
      <c r="E188" t="s">
        <v>20</v>
      </c>
      <c r="G188">
        <v>0</v>
      </c>
      <c r="H188">
        <v>0</v>
      </c>
      <c r="I188" s="2">
        <f>tblRentRoll[[#This Row],[Monthly_Rent_EUR]]*12</f>
        <v>0</v>
      </c>
      <c r="J188" s="2" t="str">
        <f>IF(tblRentRoll[[#This Row],[Annual_Rent_EUR]]&lt;&gt;tblRentRoll[[#This Row],[Jahresrente_EUR]], "FALSCH", "")</f>
        <v/>
      </c>
      <c r="M188">
        <v>911.99</v>
      </c>
      <c r="N188">
        <v>525.94000000000005</v>
      </c>
      <c r="O18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8" t="str">
        <f>IF(tblRentRoll[[#This Row],[Area_sqm]]&lt;=0,"Area&lt;=0","")</f>
        <v/>
      </c>
      <c r="Q188" t="str">
        <f>IF(tblRentRoll[[#This Row],[Monthly_Rent_EUR]]&lt;=0,"Rent&lt;=0","")</f>
        <v>Rent&lt;=0</v>
      </c>
      <c r="R188" t="str">
        <f>IF(AND(tblRentRoll[[#This Row],[Status]]="Occupied", tblRentRoll[[#This Row],[Area_sqm]]&gt;0), tblRentRoll[[#This Row],[Annual_Rent_EUR]]/tblRentRoll[[#This Row],[Area_sqm]],"")</f>
        <v/>
      </c>
      <c r="S188">
        <f>tblRentRoll[[#This Row],[Service_Charge_EUR]]+tblRentRoll[[#This Row],[Operating_Cost_EUR]]</f>
        <v>1437.93</v>
      </c>
      <c r="T188" t="str">
        <f>IF(tblRentRoll[[#This Row],[Annual_Rent_EUR]]&lt;&gt;0,tblRentRoll[[#This Row],[Annual_Rent_EUR]]-tblRentRoll[[#This Row],[Operating_Cost_EUR]], "")</f>
        <v/>
      </c>
      <c r="U188">
        <f ca="1">IF(AND(tblRentRoll[[#This Row],[Status]]="Occupied",tblRentRoll[[#This Row],[Lease_End]]&gt;=TODAY()),DATEDIF(TODAY(),tblRentRoll[[#This Row],[Lease_End]],"m"), 0)</f>
        <v>0</v>
      </c>
      <c r="V188" t="str">
        <f>IF(tblRentRoll[[#This Row],[Status]]&lt;&gt;"Occupied","", IF(tblRentRoll[[#This Row],[Month_to_Expiry]]&lt;=3, "0-3 Monaten",  IF(tblRentRoll[[#This Row],[Month_to_Expiry]]&lt;=6, "3-6 Monaten", IF(tblRentRoll[[#This Row],[Month_to_Expiry]]&lt;=12,"6-12 Monaten", IF(tblRentRoll[[#This Row],[Month_to_Expiry]]&gt;=12, "12 M+",)))))</f>
        <v/>
      </c>
      <c r="W188">
        <f>IF(tblRentRoll[[#This Row],[Status]]="Vacant", tblRentRoll[[#This Row],[Area_sqm]],0)</f>
        <v>384</v>
      </c>
      <c r="X188" s="3">
        <f>IF(tblRentRoll[[#This Row],[Status]]="Occupied", tblRentRoll[[#This Row],[Area_sqm]],0)</f>
        <v>0</v>
      </c>
      <c r="Y188" s="3">
        <f ca="1">tblRentRoll[[#This Row],[Month_to_Expiry]]/12*tblRentRoll[[#This Row],[Annual_Rent_EUR]]</f>
        <v>0</v>
      </c>
      <c r="Z188" s="3"/>
    </row>
    <row r="189" spans="1:26" x14ac:dyDescent="0.35">
      <c r="A189" t="s">
        <v>44</v>
      </c>
      <c r="B189" t="s">
        <v>325</v>
      </c>
      <c r="C189" t="s">
        <v>29</v>
      </c>
      <c r="D189">
        <v>856</v>
      </c>
      <c r="E189" t="s">
        <v>15</v>
      </c>
      <c r="F189" t="s">
        <v>199</v>
      </c>
      <c r="G189">
        <v>12469.24</v>
      </c>
      <c r="H189">
        <v>149630.88</v>
      </c>
      <c r="I189" s="2">
        <f>tblRentRoll[[#This Row],[Monthly_Rent_EUR]]*12</f>
        <v>149630.88</v>
      </c>
      <c r="J189" s="2" t="str">
        <f>IF(tblRentRoll[[#This Row],[Annual_Rent_EUR]]&lt;&gt;tblRentRoll[[#This Row],[Jahresrente_EUR]], "FALSCH", "")</f>
        <v/>
      </c>
      <c r="K189" s="1">
        <v>44713</v>
      </c>
      <c r="L189" s="1">
        <v>46268</v>
      </c>
      <c r="M189">
        <v>1092.24</v>
      </c>
      <c r="N189">
        <v>1604.92</v>
      </c>
      <c r="O18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89" t="str">
        <f>IF(tblRentRoll[[#This Row],[Area_sqm]]&lt;=0,"Area&lt;=0","")</f>
        <v/>
      </c>
      <c r="Q189" t="str">
        <f>IF(tblRentRoll[[#This Row],[Monthly_Rent_EUR]]&lt;=0,"Rent&lt;=0","")</f>
        <v/>
      </c>
      <c r="R189">
        <f>IF(AND(tblRentRoll[[#This Row],[Status]]="Occupied", tblRentRoll[[#This Row],[Area_sqm]]&gt;0), tblRentRoll[[#This Row],[Annual_Rent_EUR]]/tblRentRoll[[#This Row],[Area_sqm]],"")</f>
        <v>174.80242990654207</v>
      </c>
      <c r="S189">
        <f>tblRentRoll[[#This Row],[Service_Charge_EUR]]+tblRentRoll[[#This Row],[Operating_Cost_EUR]]</f>
        <v>2697.16</v>
      </c>
      <c r="T189">
        <f>IF(tblRentRoll[[#This Row],[Annual_Rent_EUR]]&lt;&gt;0,tblRentRoll[[#This Row],[Annual_Rent_EUR]]-tblRentRoll[[#This Row],[Operating_Cost_EUR]], "")</f>
        <v>148025.96</v>
      </c>
      <c r="U189">
        <f ca="1">IF(AND(tblRentRoll[[#This Row],[Status]]="Occupied",tblRentRoll[[#This Row],[Lease_End]]&gt;=TODAY()),DATEDIF(TODAY(),tblRentRoll[[#This Row],[Lease_End]],"m"), 0)</f>
        <v>5</v>
      </c>
      <c r="V189" t="str">
        <f ca="1">IF(tblRentRoll[[#This Row],[Status]]&lt;&gt;"Occupied","", IF(tblRentRoll[[#This Row],[Month_to_Expiry]]&lt;=3, "0-3 Monaten",  IF(tblRentRoll[[#This Row],[Month_to_Expiry]]&lt;=6, "3-6 Monaten", IF(tblRentRoll[[#This Row],[Month_to_Expiry]]&lt;=12,"6-12 Monaten", IF(tblRentRoll[[#This Row],[Month_to_Expiry]]&gt;=12, "12 M+",)))))</f>
        <v>3-6 Monaten</v>
      </c>
      <c r="W189">
        <f>IF(tblRentRoll[[#This Row],[Status]]="Vacant", tblRentRoll[[#This Row],[Area_sqm]],0)</f>
        <v>0</v>
      </c>
      <c r="X189" s="3">
        <f>IF(tblRentRoll[[#This Row],[Status]]="Occupied", tblRentRoll[[#This Row],[Area_sqm]],0)</f>
        <v>856</v>
      </c>
      <c r="Y189" s="3">
        <f ca="1">tblRentRoll[[#This Row],[Month_to_Expiry]]/12*tblRentRoll[[#This Row],[Annual_Rent_EUR]]</f>
        <v>62346.200000000004</v>
      </c>
      <c r="Z189" s="3"/>
    </row>
    <row r="190" spans="1:26" x14ac:dyDescent="0.35">
      <c r="A190" t="s">
        <v>17</v>
      </c>
      <c r="B190" t="s">
        <v>326</v>
      </c>
      <c r="C190" t="s">
        <v>29</v>
      </c>
      <c r="D190">
        <v>715</v>
      </c>
      <c r="E190" t="s">
        <v>20</v>
      </c>
      <c r="G190">
        <v>0</v>
      </c>
      <c r="H190">
        <v>0</v>
      </c>
      <c r="I190" s="2">
        <f>tblRentRoll[[#This Row],[Monthly_Rent_EUR]]*12</f>
        <v>0</v>
      </c>
      <c r="J190" s="2" t="str">
        <f>IF(tblRentRoll[[#This Row],[Annual_Rent_EUR]]&lt;&gt;tblRentRoll[[#This Row],[Jahresrente_EUR]], "FALSCH", "")</f>
        <v/>
      </c>
      <c r="M190">
        <v>865.1</v>
      </c>
      <c r="N190">
        <v>1066.24</v>
      </c>
      <c r="O19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0" t="str">
        <f>IF(tblRentRoll[[#This Row],[Area_sqm]]&lt;=0,"Area&lt;=0","")</f>
        <v/>
      </c>
      <c r="Q190" t="str">
        <f>IF(tblRentRoll[[#This Row],[Monthly_Rent_EUR]]&lt;=0,"Rent&lt;=0","")</f>
        <v>Rent&lt;=0</v>
      </c>
      <c r="R190" t="str">
        <f>IF(AND(tblRentRoll[[#This Row],[Status]]="Occupied", tblRentRoll[[#This Row],[Area_sqm]]&gt;0), tblRentRoll[[#This Row],[Annual_Rent_EUR]]/tblRentRoll[[#This Row],[Area_sqm]],"")</f>
        <v/>
      </c>
      <c r="S190">
        <f>tblRentRoll[[#This Row],[Service_Charge_EUR]]+tblRentRoll[[#This Row],[Operating_Cost_EUR]]</f>
        <v>1931.3400000000001</v>
      </c>
      <c r="T190" t="str">
        <f>IF(tblRentRoll[[#This Row],[Annual_Rent_EUR]]&lt;&gt;0,tblRentRoll[[#This Row],[Annual_Rent_EUR]]-tblRentRoll[[#This Row],[Operating_Cost_EUR]], "")</f>
        <v/>
      </c>
      <c r="U190">
        <f ca="1">IF(AND(tblRentRoll[[#This Row],[Status]]="Occupied",tblRentRoll[[#This Row],[Lease_End]]&gt;=TODAY()),DATEDIF(TODAY(),tblRentRoll[[#This Row],[Lease_End]],"m"), 0)</f>
        <v>0</v>
      </c>
      <c r="V190" t="str">
        <f>IF(tblRentRoll[[#This Row],[Status]]&lt;&gt;"Occupied","", IF(tblRentRoll[[#This Row],[Month_to_Expiry]]&lt;=3, "0-3 Monaten",  IF(tblRentRoll[[#This Row],[Month_to_Expiry]]&lt;=6, "3-6 Monaten", IF(tblRentRoll[[#This Row],[Month_to_Expiry]]&lt;=12,"6-12 Monaten", IF(tblRentRoll[[#This Row],[Month_to_Expiry]]&gt;=12, "12 M+",)))))</f>
        <v/>
      </c>
      <c r="W190">
        <f>IF(tblRentRoll[[#This Row],[Status]]="Vacant", tblRentRoll[[#This Row],[Area_sqm]],0)</f>
        <v>715</v>
      </c>
      <c r="X190" s="3">
        <f>IF(tblRentRoll[[#This Row],[Status]]="Occupied", tblRentRoll[[#This Row],[Area_sqm]],0)</f>
        <v>0</v>
      </c>
      <c r="Y190" s="3">
        <f ca="1">tblRentRoll[[#This Row],[Month_to_Expiry]]/12*tblRentRoll[[#This Row],[Annual_Rent_EUR]]</f>
        <v>0</v>
      </c>
      <c r="Z190" s="3"/>
    </row>
    <row r="191" spans="1:26" x14ac:dyDescent="0.35">
      <c r="A191" t="s">
        <v>24</v>
      </c>
      <c r="B191" t="s">
        <v>327</v>
      </c>
      <c r="C191" t="s">
        <v>29</v>
      </c>
      <c r="D191">
        <v>345</v>
      </c>
      <c r="E191" t="s">
        <v>15</v>
      </c>
      <c r="F191" t="s">
        <v>104</v>
      </c>
      <c r="G191">
        <v>3987.05</v>
      </c>
      <c r="H191">
        <v>47844.6</v>
      </c>
      <c r="I191" s="2">
        <f>tblRentRoll[[#This Row],[Monthly_Rent_EUR]]*12</f>
        <v>47844.600000000006</v>
      </c>
      <c r="J191" s="2" t="str">
        <f>IF(tblRentRoll[[#This Row],[Annual_Rent_EUR]]&lt;&gt;tblRentRoll[[#This Row],[Jahresrente_EUR]], "FALSCH", "")</f>
        <v/>
      </c>
      <c r="K191" s="1">
        <v>44731</v>
      </c>
      <c r="L191" s="1">
        <v>46485</v>
      </c>
      <c r="M191">
        <v>702.87</v>
      </c>
      <c r="N191">
        <v>482.72</v>
      </c>
      <c r="O19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1" t="str">
        <f>IF(tblRentRoll[[#This Row],[Area_sqm]]&lt;=0,"Area&lt;=0","")</f>
        <v/>
      </c>
      <c r="Q191" t="str">
        <f>IF(tblRentRoll[[#This Row],[Monthly_Rent_EUR]]&lt;=0,"Rent&lt;=0","")</f>
        <v/>
      </c>
      <c r="R191">
        <f>IF(AND(tblRentRoll[[#This Row],[Status]]="Occupied", tblRentRoll[[#This Row],[Area_sqm]]&gt;0), tblRentRoll[[#This Row],[Annual_Rent_EUR]]/tblRentRoll[[#This Row],[Area_sqm]],"")</f>
        <v>138.68</v>
      </c>
      <c r="S191">
        <f>tblRentRoll[[#This Row],[Service_Charge_EUR]]+tblRentRoll[[#This Row],[Operating_Cost_EUR]]</f>
        <v>1185.5900000000001</v>
      </c>
      <c r="T191">
        <f>IF(tblRentRoll[[#This Row],[Annual_Rent_EUR]]&lt;&gt;0,tblRentRoll[[#This Row],[Annual_Rent_EUR]]-tblRentRoll[[#This Row],[Operating_Cost_EUR]], "")</f>
        <v>47361.88</v>
      </c>
      <c r="U191">
        <f ca="1">IF(AND(tblRentRoll[[#This Row],[Status]]="Occupied",tblRentRoll[[#This Row],[Lease_End]]&gt;=TODAY()),DATEDIF(TODAY(),tblRentRoll[[#This Row],[Lease_End]],"m"), 0)</f>
        <v>12</v>
      </c>
      <c r="V191" t="str">
        <f ca="1">IF(tblRentRoll[[#This Row],[Status]]&lt;&gt;"Occupied","", IF(tblRentRoll[[#This Row],[Month_to_Expiry]]&lt;=3, "0-3 Monaten",  IF(tblRentRoll[[#This Row],[Month_to_Expiry]]&lt;=6, "3-6 Monaten", IF(tblRentRoll[[#This Row],[Month_to_Expiry]]&lt;=12,"6-12 Monaten", IF(tblRentRoll[[#This Row],[Month_to_Expiry]]&gt;=12, "12 M+",)))))</f>
        <v>6-12 Monaten</v>
      </c>
      <c r="W191">
        <f>IF(tblRentRoll[[#This Row],[Status]]="Vacant", tblRentRoll[[#This Row],[Area_sqm]],0)</f>
        <v>0</v>
      </c>
      <c r="X191" s="3">
        <f>IF(tblRentRoll[[#This Row],[Status]]="Occupied", tblRentRoll[[#This Row],[Area_sqm]],0)</f>
        <v>345</v>
      </c>
      <c r="Y191" s="3">
        <f ca="1">tblRentRoll[[#This Row],[Month_to_Expiry]]/12*tblRentRoll[[#This Row],[Annual_Rent_EUR]]</f>
        <v>47844.6</v>
      </c>
      <c r="Z191" s="3"/>
    </row>
    <row r="192" spans="1:26" x14ac:dyDescent="0.35">
      <c r="A192" t="s">
        <v>44</v>
      </c>
      <c r="B192" t="s">
        <v>328</v>
      </c>
      <c r="C192" t="s">
        <v>14</v>
      </c>
      <c r="D192">
        <v>858</v>
      </c>
      <c r="E192" t="s">
        <v>15</v>
      </c>
      <c r="F192" t="s">
        <v>329</v>
      </c>
      <c r="G192">
        <v>15092.25</v>
      </c>
      <c r="H192">
        <v>181107</v>
      </c>
      <c r="I192" s="2">
        <f>tblRentRoll[[#This Row],[Monthly_Rent_EUR]]*12</f>
        <v>181107</v>
      </c>
      <c r="J192" s="2" t="str">
        <f>IF(tblRentRoll[[#This Row],[Annual_Rent_EUR]]&lt;&gt;tblRentRoll[[#This Row],[Jahresrente_EUR]], "FALSCH", "")</f>
        <v/>
      </c>
      <c r="K192" s="1">
        <v>44848</v>
      </c>
      <c r="L192" s="1">
        <v>46605</v>
      </c>
      <c r="M192">
        <v>1079.95</v>
      </c>
      <c r="N192">
        <v>1484.84</v>
      </c>
      <c r="O19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2" t="str">
        <f>IF(tblRentRoll[[#This Row],[Area_sqm]]&lt;=0,"Area&lt;=0","")</f>
        <v/>
      </c>
      <c r="Q192" t="str">
        <f>IF(tblRentRoll[[#This Row],[Monthly_Rent_EUR]]&lt;=0,"Rent&lt;=0","")</f>
        <v/>
      </c>
      <c r="R192">
        <f>IF(AND(tblRentRoll[[#This Row],[Status]]="Occupied", tblRentRoll[[#This Row],[Area_sqm]]&gt;0), tblRentRoll[[#This Row],[Annual_Rent_EUR]]/tblRentRoll[[#This Row],[Area_sqm]],"")</f>
        <v>211.08041958041957</v>
      </c>
      <c r="S192">
        <f>tblRentRoll[[#This Row],[Service_Charge_EUR]]+tblRentRoll[[#This Row],[Operating_Cost_EUR]]</f>
        <v>2564.79</v>
      </c>
      <c r="T192">
        <f>IF(tblRentRoll[[#This Row],[Annual_Rent_EUR]]&lt;&gt;0,tblRentRoll[[#This Row],[Annual_Rent_EUR]]-tblRentRoll[[#This Row],[Operating_Cost_EUR]], "")</f>
        <v>179622.16</v>
      </c>
      <c r="U192">
        <f ca="1">IF(AND(tblRentRoll[[#This Row],[Status]]="Occupied",tblRentRoll[[#This Row],[Lease_End]]&gt;=TODAY()),DATEDIF(TODAY(),tblRentRoll[[#This Row],[Lease_End]],"m"), 0)</f>
        <v>16</v>
      </c>
      <c r="V192" t="str">
        <f ca="1">IF(tblRentRoll[[#This Row],[Status]]&lt;&gt;"Occupied","", IF(tblRentRoll[[#This Row],[Month_to_Expiry]]&lt;=3, "0-3 Monaten",  IF(tblRentRoll[[#This Row],[Month_to_Expiry]]&lt;=6, "3-6 Monaten", IF(tblRentRoll[[#This Row],[Month_to_Expiry]]&lt;=12,"6-12 Monaten", IF(tblRentRoll[[#This Row],[Month_to_Expiry]]&gt;=12, "12 M+",)))))</f>
        <v>12 M+</v>
      </c>
      <c r="W192">
        <f>IF(tblRentRoll[[#This Row],[Status]]="Vacant", tblRentRoll[[#This Row],[Area_sqm]],0)</f>
        <v>0</v>
      </c>
      <c r="X192" s="3">
        <f>IF(tblRentRoll[[#This Row],[Status]]="Occupied", tblRentRoll[[#This Row],[Area_sqm]],0)</f>
        <v>858</v>
      </c>
      <c r="Y192" s="3">
        <f ca="1">tblRentRoll[[#This Row],[Month_to_Expiry]]/12*tblRentRoll[[#This Row],[Annual_Rent_EUR]]</f>
        <v>241476</v>
      </c>
      <c r="Z192" s="3"/>
    </row>
    <row r="193" spans="1:26" x14ac:dyDescent="0.35">
      <c r="A193" t="s">
        <v>31</v>
      </c>
      <c r="B193" t="s">
        <v>330</v>
      </c>
      <c r="C193" t="s">
        <v>14</v>
      </c>
      <c r="D193">
        <v>1407</v>
      </c>
      <c r="E193" t="s">
        <v>15</v>
      </c>
      <c r="F193" t="s">
        <v>331</v>
      </c>
      <c r="G193">
        <v>8702.35</v>
      </c>
      <c r="H193">
        <v>104428.2</v>
      </c>
      <c r="I193" s="2">
        <f>tblRentRoll[[#This Row],[Monthly_Rent_EUR]]*12</f>
        <v>104428.20000000001</v>
      </c>
      <c r="J193" s="2" t="str">
        <f>IF(tblRentRoll[[#This Row],[Annual_Rent_EUR]]&lt;&gt;tblRentRoll[[#This Row],[Jahresrente_EUR]], "FALSCH", "")</f>
        <v/>
      </c>
      <c r="K193" s="1">
        <v>44981</v>
      </c>
      <c r="L193" s="1">
        <v>46324</v>
      </c>
      <c r="M193">
        <v>3763.62</v>
      </c>
      <c r="N193">
        <v>3458.8</v>
      </c>
      <c r="O19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3" t="str">
        <f>IF(tblRentRoll[[#This Row],[Area_sqm]]&lt;=0,"Area&lt;=0","")</f>
        <v/>
      </c>
      <c r="Q193" t="str">
        <f>IF(tblRentRoll[[#This Row],[Monthly_Rent_EUR]]&lt;=0,"Rent&lt;=0","")</f>
        <v/>
      </c>
      <c r="R193">
        <f>IF(AND(tblRentRoll[[#This Row],[Status]]="Occupied", tblRentRoll[[#This Row],[Area_sqm]]&gt;0), tblRentRoll[[#This Row],[Annual_Rent_EUR]]/tblRentRoll[[#This Row],[Area_sqm]],"")</f>
        <v>74.220469083155649</v>
      </c>
      <c r="S193">
        <f>tblRentRoll[[#This Row],[Service_Charge_EUR]]+tblRentRoll[[#This Row],[Operating_Cost_EUR]]</f>
        <v>7222.42</v>
      </c>
      <c r="T193">
        <f>IF(tblRentRoll[[#This Row],[Annual_Rent_EUR]]&lt;&gt;0,tblRentRoll[[#This Row],[Annual_Rent_EUR]]-tblRentRoll[[#This Row],[Operating_Cost_EUR]], "")</f>
        <v>100969.4</v>
      </c>
      <c r="U193">
        <f ca="1">IF(AND(tblRentRoll[[#This Row],[Status]]="Occupied",tblRentRoll[[#This Row],[Lease_End]]&gt;=TODAY()),DATEDIF(TODAY(),tblRentRoll[[#This Row],[Lease_End]],"m"), 0)</f>
        <v>7</v>
      </c>
      <c r="V193" t="str">
        <f ca="1">IF(tblRentRoll[[#This Row],[Status]]&lt;&gt;"Occupied","", IF(tblRentRoll[[#This Row],[Month_to_Expiry]]&lt;=3, "0-3 Monaten",  IF(tblRentRoll[[#This Row],[Month_to_Expiry]]&lt;=6, "3-6 Monaten", IF(tblRentRoll[[#This Row],[Month_to_Expiry]]&lt;=12,"6-12 Monaten", IF(tblRentRoll[[#This Row],[Month_to_Expiry]]&gt;=12, "12 M+",)))))</f>
        <v>6-12 Monaten</v>
      </c>
      <c r="W193">
        <f>IF(tblRentRoll[[#This Row],[Status]]="Vacant", tblRentRoll[[#This Row],[Area_sqm]],0)</f>
        <v>0</v>
      </c>
      <c r="X193" s="3">
        <f>IF(tblRentRoll[[#This Row],[Status]]="Occupied", tblRentRoll[[#This Row],[Area_sqm]],0)</f>
        <v>1407</v>
      </c>
      <c r="Y193" s="3">
        <f ca="1">tblRentRoll[[#This Row],[Month_to_Expiry]]/12*tblRentRoll[[#This Row],[Annual_Rent_EUR]]</f>
        <v>60916.450000000004</v>
      </c>
      <c r="Z193" s="3"/>
    </row>
    <row r="194" spans="1:26" x14ac:dyDescent="0.35">
      <c r="A194" t="s">
        <v>21</v>
      </c>
      <c r="B194" t="s">
        <v>332</v>
      </c>
      <c r="C194" t="s">
        <v>14</v>
      </c>
      <c r="D194">
        <v>1120</v>
      </c>
      <c r="E194" t="s">
        <v>15</v>
      </c>
      <c r="F194" t="s">
        <v>333</v>
      </c>
      <c r="G194">
        <v>6738.33</v>
      </c>
      <c r="H194">
        <v>80859.960000000006</v>
      </c>
      <c r="I194" s="2">
        <f>tblRentRoll[[#This Row],[Monthly_Rent_EUR]]*12</f>
        <v>80859.959999999992</v>
      </c>
      <c r="J194" s="2" t="str">
        <f>IF(tblRentRoll[[#This Row],[Annual_Rent_EUR]]&lt;&gt;tblRentRoll[[#This Row],[Jahresrente_EUR]], "FALSCH", "")</f>
        <v/>
      </c>
      <c r="K194" s="1">
        <v>44938</v>
      </c>
      <c r="L194" s="1">
        <v>46216</v>
      </c>
      <c r="M194">
        <v>1674.47</v>
      </c>
      <c r="N194">
        <v>1264.8900000000001</v>
      </c>
      <c r="O19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4" t="str">
        <f>IF(tblRentRoll[[#This Row],[Area_sqm]]&lt;=0,"Area&lt;=0","")</f>
        <v/>
      </c>
      <c r="Q194" t="str">
        <f>IF(tblRentRoll[[#This Row],[Monthly_Rent_EUR]]&lt;=0,"Rent&lt;=0","")</f>
        <v/>
      </c>
      <c r="R194">
        <f>IF(AND(tblRentRoll[[#This Row],[Status]]="Occupied", tblRentRoll[[#This Row],[Area_sqm]]&gt;0), tblRentRoll[[#This Row],[Annual_Rent_EUR]]/tblRentRoll[[#This Row],[Area_sqm]],"")</f>
        <v>72.196392857142868</v>
      </c>
      <c r="S194">
        <f>tblRentRoll[[#This Row],[Service_Charge_EUR]]+tblRentRoll[[#This Row],[Operating_Cost_EUR]]</f>
        <v>2939.36</v>
      </c>
      <c r="T194">
        <f>IF(tblRentRoll[[#This Row],[Annual_Rent_EUR]]&lt;&gt;0,tblRentRoll[[#This Row],[Annual_Rent_EUR]]-tblRentRoll[[#This Row],[Operating_Cost_EUR]], "")</f>
        <v>79595.070000000007</v>
      </c>
      <c r="U194">
        <f ca="1">IF(AND(tblRentRoll[[#This Row],[Status]]="Occupied",tblRentRoll[[#This Row],[Lease_End]]&gt;=TODAY()),DATEDIF(TODAY(),tblRentRoll[[#This Row],[Lease_End]],"m"), 0)</f>
        <v>4</v>
      </c>
      <c r="V194" t="str">
        <f ca="1">IF(tblRentRoll[[#This Row],[Status]]&lt;&gt;"Occupied","", IF(tblRentRoll[[#This Row],[Month_to_Expiry]]&lt;=3, "0-3 Monaten",  IF(tblRentRoll[[#This Row],[Month_to_Expiry]]&lt;=6, "3-6 Monaten", IF(tblRentRoll[[#This Row],[Month_to_Expiry]]&lt;=12,"6-12 Monaten", IF(tblRentRoll[[#This Row],[Month_to_Expiry]]&gt;=12, "12 M+",)))))</f>
        <v>3-6 Monaten</v>
      </c>
      <c r="W194">
        <f>IF(tblRentRoll[[#This Row],[Status]]="Vacant", tblRentRoll[[#This Row],[Area_sqm]],0)</f>
        <v>0</v>
      </c>
      <c r="X194" s="3">
        <f>IF(tblRentRoll[[#This Row],[Status]]="Occupied", tblRentRoll[[#This Row],[Area_sqm]],0)</f>
        <v>1120</v>
      </c>
      <c r="Y194" s="3">
        <f ca="1">tblRentRoll[[#This Row],[Month_to_Expiry]]/12*tblRentRoll[[#This Row],[Annual_Rent_EUR]]</f>
        <v>26953.32</v>
      </c>
      <c r="Z194" s="3"/>
    </row>
    <row r="195" spans="1:26" x14ac:dyDescent="0.35">
      <c r="A195" t="s">
        <v>17</v>
      </c>
      <c r="B195" t="s">
        <v>334</v>
      </c>
      <c r="C195" t="s">
        <v>33</v>
      </c>
      <c r="D195">
        <v>406</v>
      </c>
      <c r="E195" t="s">
        <v>15</v>
      </c>
      <c r="F195" t="s">
        <v>249</v>
      </c>
      <c r="G195">
        <v>5072.72</v>
      </c>
      <c r="H195">
        <v>60872.639999999999</v>
      </c>
      <c r="I195" s="2">
        <f>tblRentRoll[[#This Row],[Monthly_Rent_EUR]]*12</f>
        <v>60872.639999999999</v>
      </c>
      <c r="J195" s="2" t="str">
        <f>IF(tblRentRoll[[#This Row],[Annual_Rent_EUR]]&lt;&gt;tblRentRoll[[#This Row],[Jahresrente_EUR]], "FALSCH", "")</f>
        <v/>
      </c>
      <c r="K195" s="1">
        <v>44502</v>
      </c>
      <c r="L195" s="1">
        <v>45667</v>
      </c>
      <c r="M195">
        <v>530.82000000000005</v>
      </c>
      <c r="N195">
        <v>729.93</v>
      </c>
      <c r="O19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5" t="str">
        <f>IF(tblRentRoll[[#This Row],[Area_sqm]]&lt;=0,"Area&lt;=0","")</f>
        <v/>
      </c>
      <c r="Q195" t="str">
        <f>IF(tblRentRoll[[#This Row],[Monthly_Rent_EUR]]&lt;=0,"Rent&lt;=0","")</f>
        <v/>
      </c>
      <c r="R195">
        <f>IF(AND(tblRentRoll[[#This Row],[Status]]="Occupied", tblRentRoll[[#This Row],[Area_sqm]]&gt;0), tblRentRoll[[#This Row],[Annual_Rent_EUR]]/tblRentRoll[[#This Row],[Area_sqm]],"")</f>
        <v>149.93261083743843</v>
      </c>
      <c r="S195">
        <f>tblRentRoll[[#This Row],[Service_Charge_EUR]]+tblRentRoll[[#This Row],[Operating_Cost_EUR]]</f>
        <v>1260.75</v>
      </c>
      <c r="T195">
        <f>IF(tblRentRoll[[#This Row],[Annual_Rent_EUR]]&lt;&gt;0,tblRentRoll[[#This Row],[Annual_Rent_EUR]]-tblRentRoll[[#This Row],[Operating_Cost_EUR]], "")</f>
        <v>60142.71</v>
      </c>
      <c r="U195">
        <f ca="1">IF(AND(tblRentRoll[[#This Row],[Status]]="Occupied",tblRentRoll[[#This Row],[Lease_End]]&gt;=TODAY()),DATEDIF(TODAY(),tblRentRoll[[#This Row],[Lease_End]],"m"), 0)</f>
        <v>0</v>
      </c>
      <c r="V195" t="str">
        <f ca="1">IF(tblRentRoll[[#This Row],[Status]]&lt;&gt;"Occupied","", IF(tblRentRoll[[#This Row],[Month_to_Expiry]]&lt;=3, "0-3 Monaten",  IF(tblRentRoll[[#This Row],[Month_to_Expiry]]&lt;=6, "3-6 Monaten", IF(tblRentRoll[[#This Row],[Month_to_Expiry]]&lt;=12,"6-12 Monaten", IF(tblRentRoll[[#This Row],[Month_to_Expiry]]&gt;=12, "12 M+",)))))</f>
        <v>0-3 Monaten</v>
      </c>
      <c r="W195">
        <f>IF(tblRentRoll[[#This Row],[Status]]="Vacant", tblRentRoll[[#This Row],[Area_sqm]],0)</f>
        <v>0</v>
      </c>
      <c r="X195" s="3">
        <f>IF(tblRentRoll[[#This Row],[Status]]="Occupied", tblRentRoll[[#This Row],[Area_sqm]],0)</f>
        <v>406</v>
      </c>
      <c r="Y195" s="3">
        <f ca="1">tblRentRoll[[#This Row],[Month_to_Expiry]]/12*tblRentRoll[[#This Row],[Annual_Rent_EUR]]</f>
        <v>0</v>
      </c>
      <c r="Z195" s="3"/>
    </row>
    <row r="196" spans="1:26" x14ac:dyDescent="0.35">
      <c r="A196" t="s">
        <v>44</v>
      </c>
      <c r="B196" t="s">
        <v>335</v>
      </c>
      <c r="C196" t="s">
        <v>33</v>
      </c>
      <c r="D196">
        <v>1259</v>
      </c>
      <c r="E196" t="s">
        <v>15</v>
      </c>
      <c r="F196" t="s">
        <v>241</v>
      </c>
      <c r="G196">
        <v>18561.580000000002</v>
      </c>
      <c r="H196">
        <v>222738.96</v>
      </c>
      <c r="I196" s="2">
        <f>tblRentRoll[[#This Row],[Monthly_Rent_EUR]]*12</f>
        <v>222738.96000000002</v>
      </c>
      <c r="J196" s="2" t="str">
        <f>IF(tblRentRoll[[#This Row],[Annual_Rent_EUR]]&lt;&gt;tblRentRoll[[#This Row],[Jahresrente_EUR]], "FALSCH", "")</f>
        <v/>
      </c>
      <c r="K196" s="1">
        <v>45140</v>
      </c>
      <c r="L196" s="1">
        <v>46340</v>
      </c>
      <c r="M196">
        <v>1416.99</v>
      </c>
      <c r="N196">
        <v>1997.93</v>
      </c>
      <c r="O19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6" t="str">
        <f>IF(tblRentRoll[[#This Row],[Area_sqm]]&lt;=0,"Area&lt;=0","")</f>
        <v/>
      </c>
      <c r="Q196" t="str">
        <f>IF(tblRentRoll[[#This Row],[Monthly_Rent_EUR]]&lt;=0,"Rent&lt;=0","")</f>
        <v/>
      </c>
      <c r="R196">
        <f>IF(AND(tblRentRoll[[#This Row],[Status]]="Occupied", tblRentRoll[[#This Row],[Area_sqm]]&gt;0), tblRentRoll[[#This Row],[Annual_Rent_EUR]]/tblRentRoll[[#This Row],[Area_sqm]],"")</f>
        <v>176.91736298649721</v>
      </c>
      <c r="S196">
        <f>tblRentRoll[[#This Row],[Service_Charge_EUR]]+tblRentRoll[[#This Row],[Operating_Cost_EUR]]</f>
        <v>3414.92</v>
      </c>
      <c r="T196">
        <f>IF(tblRentRoll[[#This Row],[Annual_Rent_EUR]]&lt;&gt;0,tblRentRoll[[#This Row],[Annual_Rent_EUR]]-tblRentRoll[[#This Row],[Operating_Cost_EUR]], "")</f>
        <v>220741.03</v>
      </c>
      <c r="U196">
        <f ca="1">IF(AND(tblRentRoll[[#This Row],[Status]]="Occupied",tblRentRoll[[#This Row],[Lease_End]]&gt;=TODAY()),DATEDIF(TODAY(),tblRentRoll[[#This Row],[Lease_End]],"m"), 0)</f>
        <v>8</v>
      </c>
      <c r="V196" t="str">
        <f ca="1">IF(tblRentRoll[[#This Row],[Status]]&lt;&gt;"Occupied","", IF(tblRentRoll[[#This Row],[Month_to_Expiry]]&lt;=3, "0-3 Monaten",  IF(tblRentRoll[[#This Row],[Month_to_Expiry]]&lt;=6, "3-6 Monaten", IF(tblRentRoll[[#This Row],[Month_to_Expiry]]&lt;=12,"6-12 Monaten", IF(tblRentRoll[[#This Row],[Month_to_Expiry]]&gt;=12, "12 M+",)))))</f>
        <v>6-12 Monaten</v>
      </c>
      <c r="W196">
        <f>IF(tblRentRoll[[#This Row],[Status]]="Vacant", tblRentRoll[[#This Row],[Area_sqm]],0)</f>
        <v>0</v>
      </c>
      <c r="X196" s="3">
        <f>IF(tblRentRoll[[#This Row],[Status]]="Occupied", tblRentRoll[[#This Row],[Area_sqm]],0)</f>
        <v>1259</v>
      </c>
      <c r="Y196" s="3">
        <f ca="1">tblRentRoll[[#This Row],[Month_to_Expiry]]/12*tblRentRoll[[#This Row],[Annual_Rent_EUR]]</f>
        <v>148492.63999999998</v>
      </c>
      <c r="Z196" s="3"/>
    </row>
    <row r="197" spans="1:26" x14ac:dyDescent="0.35">
      <c r="A197" t="s">
        <v>21</v>
      </c>
      <c r="B197" t="s">
        <v>336</v>
      </c>
      <c r="C197" t="s">
        <v>33</v>
      </c>
      <c r="D197">
        <v>583</v>
      </c>
      <c r="E197" t="s">
        <v>15</v>
      </c>
      <c r="F197" t="s">
        <v>95</v>
      </c>
      <c r="G197">
        <v>5356.44</v>
      </c>
      <c r="H197">
        <v>64277.279999999999</v>
      </c>
      <c r="I197" s="2">
        <f>tblRentRoll[[#This Row],[Monthly_Rent_EUR]]*12</f>
        <v>64277.279999999999</v>
      </c>
      <c r="J197" s="2" t="str">
        <f>IF(tblRentRoll[[#This Row],[Annual_Rent_EUR]]&lt;&gt;tblRentRoll[[#This Row],[Jahresrente_EUR]], "FALSCH", "")</f>
        <v/>
      </c>
      <c r="K197" s="1">
        <v>44949</v>
      </c>
      <c r="L197" s="1">
        <v>46704</v>
      </c>
      <c r="M197">
        <v>1494.39</v>
      </c>
      <c r="N197">
        <v>1443.45</v>
      </c>
      <c r="O19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7" t="str">
        <f>IF(tblRentRoll[[#This Row],[Area_sqm]]&lt;=0,"Area&lt;=0","")</f>
        <v/>
      </c>
      <c r="Q197" t="str">
        <f>IF(tblRentRoll[[#This Row],[Monthly_Rent_EUR]]&lt;=0,"Rent&lt;=0","")</f>
        <v/>
      </c>
      <c r="R197">
        <f>IF(AND(tblRentRoll[[#This Row],[Status]]="Occupied", tblRentRoll[[#This Row],[Area_sqm]]&gt;0), tblRentRoll[[#This Row],[Annual_Rent_EUR]]/tblRentRoll[[#This Row],[Area_sqm]],"")</f>
        <v>110.2526243567753</v>
      </c>
      <c r="S197">
        <f>tblRentRoll[[#This Row],[Service_Charge_EUR]]+tblRentRoll[[#This Row],[Operating_Cost_EUR]]</f>
        <v>2937.84</v>
      </c>
      <c r="T197">
        <f>IF(tblRentRoll[[#This Row],[Annual_Rent_EUR]]&lt;&gt;0,tblRentRoll[[#This Row],[Annual_Rent_EUR]]-tblRentRoll[[#This Row],[Operating_Cost_EUR]], "")</f>
        <v>62833.83</v>
      </c>
      <c r="U197">
        <f ca="1">IF(AND(tblRentRoll[[#This Row],[Status]]="Occupied",tblRentRoll[[#This Row],[Lease_End]]&gt;=TODAY()),DATEDIF(TODAY(),tblRentRoll[[#This Row],[Lease_End]],"m"), 0)</f>
        <v>20</v>
      </c>
      <c r="V197" t="str">
        <f ca="1">IF(tblRentRoll[[#This Row],[Status]]&lt;&gt;"Occupied","", IF(tblRentRoll[[#This Row],[Month_to_Expiry]]&lt;=3, "0-3 Monaten",  IF(tblRentRoll[[#This Row],[Month_to_Expiry]]&lt;=6, "3-6 Monaten", IF(tblRentRoll[[#This Row],[Month_to_Expiry]]&lt;=12,"6-12 Monaten", IF(tblRentRoll[[#This Row],[Month_to_Expiry]]&gt;=12, "12 M+",)))))</f>
        <v>12 M+</v>
      </c>
      <c r="W197">
        <f>IF(tblRentRoll[[#This Row],[Status]]="Vacant", tblRentRoll[[#This Row],[Area_sqm]],0)</f>
        <v>0</v>
      </c>
      <c r="X197" s="3">
        <f>IF(tblRentRoll[[#This Row],[Status]]="Occupied", tblRentRoll[[#This Row],[Area_sqm]],0)</f>
        <v>583</v>
      </c>
      <c r="Y197" s="3">
        <f ca="1">tblRentRoll[[#This Row],[Month_to_Expiry]]/12*tblRentRoll[[#This Row],[Annual_Rent_EUR]]</f>
        <v>107128.8</v>
      </c>
      <c r="Z197" s="3"/>
    </row>
    <row r="198" spans="1:26" x14ac:dyDescent="0.35">
      <c r="A198" t="s">
        <v>24</v>
      </c>
      <c r="B198" t="s">
        <v>337</v>
      </c>
      <c r="C198" t="s">
        <v>19</v>
      </c>
      <c r="D198">
        <v>1232</v>
      </c>
      <c r="E198" t="s">
        <v>15</v>
      </c>
      <c r="F198" t="s">
        <v>338</v>
      </c>
      <c r="G198">
        <v>15140.03</v>
      </c>
      <c r="H198">
        <v>181680.36</v>
      </c>
      <c r="I198" s="2">
        <f>tblRentRoll[[#This Row],[Monthly_Rent_EUR]]*12</f>
        <v>181680.36000000002</v>
      </c>
      <c r="J198" s="2" t="str">
        <f>IF(tblRentRoll[[#This Row],[Annual_Rent_EUR]]&lt;&gt;tblRentRoll[[#This Row],[Jahresrente_EUR]], "FALSCH", "")</f>
        <v/>
      </c>
      <c r="K198" s="1">
        <v>44859</v>
      </c>
      <c r="L198" s="1">
        <v>46625</v>
      </c>
      <c r="M198">
        <v>2558.1799999999998</v>
      </c>
      <c r="N198">
        <v>740.8</v>
      </c>
      <c r="O19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8" t="str">
        <f>IF(tblRentRoll[[#This Row],[Area_sqm]]&lt;=0,"Area&lt;=0","")</f>
        <v/>
      </c>
      <c r="Q198" t="str">
        <f>IF(tblRentRoll[[#This Row],[Monthly_Rent_EUR]]&lt;=0,"Rent&lt;=0","")</f>
        <v/>
      </c>
      <c r="R198">
        <f>IF(AND(tblRentRoll[[#This Row],[Status]]="Occupied", tblRentRoll[[#This Row],[Area_sqm]]&gt;0), tblRentRoll[[#This Row],[Annual_Rent_EUR]]/tblRentRoll[[#This Row],[Area_sqm]],"")</f>
        <v>147.46782467532466</v>
      </c>
      <c r="S198">
        <f>tblRentRoll[[#This Row],[Service_Charge_EUR]]+tblRentRoll[[#This Row],[Operating_Cost_EUR]]</f>
        <v>3298.9799999999996</v>
      </c>
      <c r="T198">
        <f>IF(tblRentRoll[[#This Row],[Annual_Rent_EUR]]&lt;&gt;0,tblRentRoll[[#This Row],[Annual_Rent_EUR]]-tblRentRoll[[#This Row],[Operating_Cost_EUR]], "")</f>
        <v>180939.56</v>
      </c>
      <c r="U198">
        <f ca="1">IF(AND(tblRentRoll[[#This Row],[Status]]="Occupied",tblRentRoll[[#This Row],[Lease_End]]&gt;=TODAY()),DATEDIF(TODAY(),tblRentRoll[[#This Row],[Lease_End]],"m"), 0)</f>
        <v>17</v>
      </c>
      <c r="V198" t="str">
        <f ca="1">IF(tblRentRoll[[#This Row],[Status]]&lt;&gt;"Occupied","", IF(tblRentRoll[[#This Row],[Month_to_Expiry]]&lt;=3, "0-3 Monaten",  IF(tblRentRoll[[#This Row],[Month_to_Expiry]]&lt;=6, "3-6 Monaten", IF(tblRentRoll[[#This Row],[Month_to_Expiry]]&lt;=12,"6-12 Monaten", IF(tblRentRoll[[#This Row],[Month_to_Expiry]]&gt;=12, "12 M+",)))))</f>
        <v>12 M+</v>
      </c>
      <c r="W198">
        <f>IF(tblRentRoll[[#This Row],[Status]]="Vacant", tblRentRoll[[#This Row],[Area_sqm]],0)</f>
        <v>0</v>
      </c>
      <c r="X198" s="3">
        <f>IF(tblRentRoll[[#This Row],[Status]]="Occupied", tblRentRoll[[#This Row],[Area_sqm]],0)</f>
        <v>1232</v>
      </c>
      <c r="Y198" s="3">
        <f ca="1">tblRentRoll[[#This Row],[Month_to_Expiry]]/12*tblRentRoll[[#This Row],[Annual_Rent_EUR]]</f>
        <v>257380.50999999998</v>
      </c>
      <c r="Z198" s="3"/>
    </row>
    <row r="199" spans="1:26" x14ac:dyDescent="0.35">
      <c r="A199" t="s">
        <v>24</v>
      </c>
      <c r="B199" t="s">
        <v>339</v>
      </c>
      <c r="C199" t="s">
        <v>29</v>
      </c>
      <c r="D199">
        <v>566</v>
      </c>
      <c r="E199" t="s">
        <v>15</v>
      </c>
      <c r="F199" t="s">
        <v>340</v>
      </c>
      <c r="G199">
        <v>5147.03</v>
      </c>
      <c r="H199">
        <v>61764.36</v>
      </c>
      <c r="I199" s="2">
        <f>tblRentRoll[[#This Row],[Monthly_Rent_EUR]]*12</f>
        <v>61764.36</v>
      </c>
      <c r="J199" s="2" t="str">
        <f>IF(tblRentRoll[[#This Row],[Annual_Rent_EUR]]&lt;&gt;tblRentRoll[[#This Row],[Jahresrente_EUR]], "FALSCH", "")</f>
        <v/>
      </c>
      <c r="K199" s="1">
        <v>44483</v>
      </c>
      <c r="L199" s="1">
        <v>46105</v>
      </c>
      <c r="M199">
        <v>772.83</v>
      </c>
      <c r="N199">
        <v>546.32000000000005</v>
      </c>
      <c r="O19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199" t="str">
        <f>IF(tblRentRoll[[#This Row],[Area_sqm]]&lt;=0,"Area&lt;=0","")</f>
        <v/>
      </c>
      <c r="Q199" t="str">
        <f>IF(tblRentRoll[[#This Row],[Monthly_Rent_EUR]]&lt;=0,"Rent&lt;=0","")</f>
        <v/>
      </c>
      <c r="R199">
        <f>IF(AND(tblRentRoll[[#This Row],[Status]]="Occupied", tblRentRoll[[#This Row],[Area_sqm]]&gt;0), tblRentRoll[[#This Row],[Annual_Rent_EUR]]/tblRentRoll[[#This Row],[Area_sqm]],"")</f>
        <v>109.1243109540636</v>
      </c>
      <c r="S199">
        <f>tblRentRoll[[#This Row],[Service_Charge_EUR]]+tblRentRoll[[#This Row],[Operating_Cost_EUR]]</f>
        <v>1319.15</v>
      </c>
      <c r="T199">
        <f>IF(tblRentRoll[[#This Row],[Annual_Rent_EUR]]&lt;&gt;0,tblRentRoll[[#This Row],[Annual_Rent_EUR]]-tblRentRoll[[#This Row],[Operating_Cost_EUR]], "")</f>
        <v>61218.04</v>
      </c>
      <c r="U199">
        <f ca="1">IF(AND(tblRentRoll[[#This Row],[Status]]="Occupied",tblRentRoll[[#This Row],[Lease_End]]&gt;=TODAY()),DATEDIF(TODAY(),tblRentRoll[[#This Row],[Lease_End]],"m"), 0)</f>
        <v>0</v>
      </c>
      <c r="V199" t="str">
        <f ca="1">IF(tblRentRoll[[#This Row],[Status]]&lt;&gt;"Occupied","", IF(tblRentRoll[[#This Row],[Month_to_Expiry]]&lt;=3, "0-3 Monaten",  IF(tblRentRoll[[#This Row],[Month_to_Expiry]]&lt;=6, "3-6 Monaten", IF(tblRentRoll[[#This Row],[Month_to_Expiry]]&lt;=12,"6-12 Monaten", IF(tblRentRoll[[#This Row],[Month_to_Expiry]]&gt;=12, "12 M+",)))))</f>
        <v>0-3 Monaten</v>
      </c>
      <c r="W199">
        <f>IF(tblRentRoll[[#This Row],[Status]]="Vacant", tblRentRoll[[#This Row],[Area_sqm]],0)</f>
        <v>0</v>
      </c>
      <c r="X199" s="3">
        <f>IF(tblRentRoll[[#This Row],[Status]]="Occupied", tblRentRoll[[#This Row],[Area_sqm]],0)</f>
        <v>566</v>
      </c>
      <c r="Y199" s="3">
        <f ca="1">tblRentRoll[[#This Row],[Month_to_Expiry]]/12*tblRentRoll[[#This Row],[Annual_Rent_EUR]]</f>
        <v>0</v>
      </c>
      <c r="Z199" s="3"/>
    </row>
    <row r="200" spans="1:26" x14ac:dyDescent="0.35">
      <c r="A200" t="s">
        <v>12</v>
      </c>
      <c r="B200" t="s">
        <v>341</v>
      </c>
      <c r="C200" t="s">
        <v>14</v>
      </c>
      <c r="D200">
        <v>652</v>
      </c>
      <c r="E200" t="s">
        <v>20</v>
      </c>
      <c r="G200">
        <v>0</v>
      </c>
      <c r="H200">
        <v>0</v>
      </c>
      <c r="I200" s="2">
        <f>tblRentRoll[[#This Row],[Monthly_Rent_EUR]]*12</f>
        <v>0</v>
      </c>
      <c r="J200" s="2" t="str">
        <f>IF(tblRentRoll[[#This Row],[Annual_Rent_EUR]]&lt;&gt;tblRentRoll[[#This Row],[Jahresrente_EUR]], "FALSCH", "")</f>
        <v/>
      </c>
      <c r="M200">
        <v>1270.1199999999999</v>
      </c>
      <c r="N200">
        <v>1245.8900000000001</v>
      </c>
      <c r="O20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0" t="str">
        <f>IF(tblRentRoll[[#This Row],[Area_sqm]]&lt;=0,"Area&lt;=0","")</f>
        <v/>
      </c>
      <c r="Q200" t="str">
        <f>IF(tblRentRoll[[#This Row],[Monthly_Rent_EUR]]&lt;=0,"Rent&lt;=0","")</f>
        <v>Rent&lt;=0</v>
      </c>
      <c r="R200" t="str">
        <f>IF(AND(tblRentRoll[[#This Row],[Status]]="Occupied", tblRentRoll[[#This Row],[Area_sqm]]&gt;0), tblRentRoll[[#This Row],[Annual_Rent_EUR]]/tblRentRoll[[#This Row],[Area_sqm]],"")</f>
        <v/>
      </c>
      <c r="S200">
        <f>tblRentRoll[[#This Row],[Service_Charge_EUR]]+tblRentRoll[[#This Row],[Operating_Cost_EUR]]</f>
        <v>2516.0100000000002</v>
      </c>
      <c r="T200" t="str">
        <f>IF(tblRentRoll[[#This Row],[Annual_Rent_EUR]]&lt;&gt;0,tblRentRoll[[#This Row],[Annual_Rent_EUR]]-tblRentRoll[[#This Row],[Operating_Cost_EUR]], "")</f>
        <v/>
      </c>
      <c r="U200">
        <f ca="1">IF(AND(tblRentRoll[[#This Row],[Status]]="Occupied",tblRentRoll[[#This Row],[Lease_End]]&gt;=TODAY()),DATEDIF(TODAY(),tblRentRoll[[#This Row],[Lease_End]],"m"), 0)</f>
        <v>0</v>
      </c>
      <c r="V200" t="str">
        <f>IF(tblRentRoll[[#This Row],[Status]]&lt;&gt;"Occupied","", IF(tblRentRoll[[#This Row],[Month_to_Expiry]]&lt;=3, "0-3 Monaten",  IF(tblRentRoll[[#This Row],[Month_to_Expiry]]&lt;=6, "3-6 Monaten", IF(tblRentRoll[[#This Row],[Month_to_Expiry]]&lt;=12,"6-12 Monaten", IF(tblRentRoll[[#This Row],[Month_to_Expiry]]&gt;=12, "12 M+",)))))</f>
        <v/>
      </c>
      <c r="W200">
        <f>IF(tblRentRoll[[#This Row],[Status]]="Vacant", tblRentRoll[[#This Row],[Area_sqm]],0)</f>
        <v>652</v>
      </c>
      <c r="X200" s="3">
        <f>IF(tblRentRoll[[#This Row],[Status]]="Occupied", tblRentRoll[[#This Row],[Area_sqm]],0)</f>
        <v>0</v>
      </c>
      <c r="Y200" s="3">
        <f ca="1">tblRentRoll[[#This Row],[Month_to_Expiry]]/12*tblRentRoll[[#This Row],[Annual_Rent_EUR]]</f>
        <v>0</v>
      </c>
      <c r="Z200" s="3"/>
    </row>
    <row r="201" spans="1:26" x14ac:dyDescent="0.35">
      <c r="A201" t="s">
        <v>44</v>
      </c>
      <c r="B201" t="s">
        <v>342</v>
      </c>
      <c r="C201" t="s">
        <v>29</v>
      </c>
      <c r="D201">
        <v>250</v>
      </c>
      <c r="E201" t="s">
        <v>15</v>
      </c>
      <c r="F201" t="s">
        <v>333</v>
      </c>
      <c r="G201">
        <v>1610.05</v>
      </c>
      <c r="H201">
        <v>19320.599999999999</v>
      </c>
      <c r="I201" s="2">
        <f>tblRentRoll[[#This Row],[Monthly_Rent_EUR]]*12</f>
        <v>19320.599999999999</v>
      </c>
      <c r="J201" s="2" t="str">
        <f>IF(tblRentRoll[[#This Row],[Annual_Rent_EUR]]&lt;&gt;tblRentRoll[[#This Row],[Jahresrente_EUR]], "FALSCH", "")</f>
        <v/>
      </c>
      <c r="K201" s="1">
        <v>44812</v>
      </c>
      <c r="L201" s="1">
        <v>45968</v>
      </c>
      <c r="M201">
        <v>608.23</v>
      </c>
      <c r="N201">
        <v>444.48</v>
      </c>
      <c r="O20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1" t="str">
        <f>IF(tblRentRoll[[#This Row],[Area_sqm]]&lt;=0,"Area&lt;=0","")</f>
        <v/>
      </c>
      <c r="Q201" t="str">
        <f>IF(tblRentRoll[[#This Row],[Monthly_Rent_EUR]]&lt;=0,"Rent&lt;=0","")</f>
        <v/>
      </c>
      <c r="R201">
        <f>IF(AND(tblRentRoll[[#This Row],[Status]]="Occupied", tblRentRoll[[#This Row],[Area_sqm]]&gt;0), tblRentRoll[[#This Row],[Annual_Rent_EUR]]/tblRentRoll[[#This Row],[Area_sqm]],"")</f>
        <v>77.282399999999996</v>
      </c>
      <c r="S201">
        <f>tblRentRoll[[#This Row],[Service_Charge_EUR]]+tblRentRoll[[#This Row],[Operating_Cost_EUR]]</f>
        <v>1052.71</v>
      </c>
      <c r="T201">
        <f>IF(tblRentRoll[[#This Row],[Annual_Rent_EUR]]&lt;&gt;0,tblRentRoll[[#This Row],[Annual_Rent_EUR]]-tblRentRoll[[#This Row],[Operating_Cost_EUR]], "")</f>
        <v>18876.12</v>
      </c>
      <c r="U201">
        <f ca="1">IF(AND(tblRentRoll[[#This Row],[Status]]="Occupied",tblRentRoll[[#This Row],[Lease_End]]&gt;=TODAY()),DATEDIF(TODAY(),tblRentRoll[[#This Row],[Lease_End]],"m"), 0)</f>
        <v>0</v>
      </c>
      <c r="V201" t="str">
        <f ca="1">IF(tblRentRoll[[#This Row],[Status]]&lt;&gt;"Occupied","", IF(tblRentRoll[[#This Row],[Month_to_Expiry]]&lt;=3, "0-3 Monaten",  IF(tblRentRoll[[#This Row],[Month_to_Expiry]]&lt;=6, "3-6 Monaten", IF(tblRentRoll[[#This Row],[Month_to_Expiry]]&lt;=12,"6-12 Monaten", IF(tblRentRoll[[#This Row],[Month_to_Expiry]]&gt;=12, "12 M+",)))))</f>
        <v>0-3 Monaten</v>
      </c>
      <c r="W201">
        <f>IF(tblRentRoll[[#This Row],[Status]]="Vacant", tblRentRoll[[#This Row],[Area_sqm]],0)</f>
        <v>0</v>
      </c>
      <c r="X201" s="3">
        <f>IF(tblRentRoll[[#This Row],[Status]]="Occupied", tblRentRoll[[#This Row],[Area_sqm]],0)</f>
        <v>250</v>
      </c>
      <c r="Y201" s="3">
        <f ca="1">tblRentRoll[[#This Row],[Month_to_Expiry]]/12*tblRentRoll[[#This Row],[Annual_Rent_EUR]]</f>
        <v>0</v>
      </c>
      <c r="Z201" s="3"/>
    </row>
    <row r="202" spans="1:26" x14ac:dyDescent="0.35">
      <c r="A202" t="s">
        <v>56</v>
      </c>
      <c r="B202" t="s">
        <v>343</v>
      </c>
      <c r="C202" t="s">
        <v>14</v>
      </c>
      <c r="D202">
        <v>155</v>
      </c>
      <c r="E202" t="s">
        <v>15</v>
      </c>
      <c r="F202" t="s">
        <v>146</v>
      </c>
      <c r="G202">
        <v>1001.74</v>
      </c>
      <c r="H202">
        <v>12020.88</v>
      </c>
      <c r="I202" s="2">
        <f>tblRentRoll[[#This Row],[Monthly_Rent_EUR]]*12</f>
        <v>12020.880000000001</v>
      </c>
      <c r="J202" s="2" t="str">
        <f>IF(tblRentRoll[[#This Row],[Annual_Rent_EUR]]&lt;&gt;tblRentRoll[[#This Row],[Jahresrente_EUR]], "FALSCH", "")</f>
        <v/>
      </c>
      <c r="K202" s="1">
        <v>45203</v>
      </c>
      <c r="L202" s="1">
        <v>45548</v>
      </c>
      <c r="M202">
        <v>196.41</v>
      </c>
      <c r="N202">
        <v>292.88</v>
      </c>
      <c r="O20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2" t="str">
        <f>IF(tblRentRoll[[#This Row],[Area_sqm]]&lt;=0,"Area&lt;=0","")</f>
        <v/>
      </c>
      <c r="Q202" t="str">
        <f>IF(tblRentRoll[[#This Row],[Monthly_Rent_EUR]]&lt;=0,"Rent&lt;=0","")</f>
        <v/>
      </c>
      <c r="R202">
        <f>IF(AND(tblRentRoll[[#This Row],[Status]]="Occupied", tblRentRoll[[#This Row],[Area_sqm]]&gt;0), tblRentRoll[[#This Row],[Annual_Rent_EUR]]/tblRentRoll[[#This Row],[Area_sqm]],"")</f>
        <v>77.554064516129031</v>
      </c>
      <c r="S202">
        <f>tblRentRoll[[#This Row],[Service_Charge_EUR]]+tblRentRoll[[#This Row],[Operating_Cost_EUR]]</f>
        <v>489.28999999999996</v>
      </c>
      <c r="T202">
        <f>IF(tblRentRoll[[#This Row],[Annual_Rent_EUR]]&lt;&gt;0,tblRentRoll[[#This Row],[Annual_Rent_EUR]]-tblRentRoll[[#This Row],[Operating_Cost_EUR]], "")</f>
        <v>11728</v>
      </c>
      <c r="U202">
        <f ca="1">IF(AND(tblRentRoll[[#This Row],[Status]]="Occupied",tblRentRoll[[#This Row],[Lease_End]]&gt;=TODAY()),DATEDIF(TODAY(),tblRentRoll[[#This Row],[Lease_End]],"m"), 0)</f>
        <v>0</v>
      </c>
      <c r="V202" t="str">
        <f ca="1">IF(tblRentRoll[[#This Row],[Status]]&lt;&gt;"Occupied","", IF(tblRentRoll[[#This Row],[Month_to_Expiry]]&lt;=3, "0-3 Monaten",  IF(tblRentRoll[[#This Row],[Month_to_Expiry]]&lt;=6, "3-6 Monaten", IF(tblRentRoll[[#This Row],[Month_to_Expiry]]&lt;=12,"6-12 Monaten", IF(tblRentRoll[[#This Row],[Month_to_Expiry]]&gt;=12, "12 M+",)))))</f>
        <v>0-3 Monaten</v>
      </c>
      <c r="W202">
        <f>IF(tblRentRoll[[#This Row],[Status]]="Vacant", tblRentRoll[[#This Row],[Area_sqm]],0)</f>
        <v>0</v>
      </c>
      <c r="X202" s="3">
        <f>IF(tblRentRoll[[#This Row],[Status]]="Occupied", tblRentRoll[[#This Row],[Area_sqm]],0)</f>
        <v>155</v>
      </c>
      <c r="Y202" s="3">
        <f ca="1">tblRentRoll[[#This Row],[Month_to_Expiry]]/12*tblRentRoll[[#This Row],[Annual_Rent_EUR]]</f>
        <v>0</v>
      </c>
      <c r="Z202" s="3"/>
    </row>
    <row r="203" spans="1:26" x14ac:dyDescent="0.35">
      <c r="A203" t="s">
        <v>21</v>
      </c>
      <c r="B203" t="s">
        <v>344</v>
      </c>
      <c r="C203" t="s">
        <v>33</v>
      </c>
      <c r="D203">
        <v>1417</v>
      </c>
      <c r="E203" t="s">
        <v>15</v>
      </c>
      <c r="F203" t="s">
        <v>345</v>
      </c>
      <c r="G203">
        <v>13226.44</v>
      </c>
      <c r="H203">
        <v>158717.28</v>
      </c>
      <c r="I203" s="2">
        <f>tblRentRoll[[#This Row],[Monthly_Rent_EUR]]*12</f>
        <v>158717.28</v>
      </c>
      <c r="J203" s="2" t="str">
        <f>IF(tblRentRoll[[#This Row],[Annual_Rent_EUR]]&lt;&gt;tblRentRoll[[#This Row],[Jahresrente_EUR]], "FALSCH", "")</f>
        <v/>
      </c>
      <c r="K203" s="1">
        <v>45229</v>
      </c>
      <c r="L203" s="1">
        <v>45724</v>
      </c>
      <c r="M203">
        <v>2280.2399999999998</v>
      </c>
      <c r="N203">
        <v>2940.48</v>
      </c>
      <c r="O20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3" t="str">
        <f>IF(tblRentRoll[[#This Row],[Area_sqm]]&lt;=0,"Area&lt;=0","")</f>
        <v/>
      </c>
      <c r="Q203" t="str">
        <f>IF(tblRentRoll[[#This Row],[Monthly_Rent_EUR]]&lt;=0,"Rent&lt;=0","")</f>
        <v/>
      </c>
      <c r="R203">
        <f>IF(AND(tblRentRoll[[#This Row],[Status]]="Occupied", tblRentRoll[[#This Row],[Area_sqm]]&gt;0), tblRentRoll[[#This Row],[Annual_Rent_EUR]]/tblRentRoll[[#This Row],[Area_sqm]],"")</f>
        <v>112.00937191249118</v>
      </c>
      <c r="S203">
        <f>tblRentRoll[[#This Row],[Service_Charge_EUR]]+tblRentRoll[[#This Row],[Operating_Cost_EUR]]</f>
        <v>5220.7199999999993</v>
      </c>
      <c r="T203">
        <f>IF(tblRentRoll[[#This Row],[Annual_Rent_EUR]]&lt;&gt;0,tblRentRoll[[#This Row],[Annual_Rent_EUR]]-tblRentRoll[[#This Row],[Operating_Cost_EUR]], "")</f>
        <v>155776.79999999999</v>
      </c>
      <c r="U203">
        <f ca="1">IF(AND(tblRentRoll[[#This Row],[Status]]="Occupied",tblRentRoll[[#This Row],[Lease_End]]&gt;=TODAY()),DATEDIF(TODAY(),tblRentRoll[[#This Row],[Lease_End]],"m"), 0)</f>
        <v>0</v>
      </c>
      <c r="V203" t="str">
        <f ca="1">IF(tblRentRoll[[#This Row],[Status]]&lt;&gt;"Occupied","", IF(tblRentRoll[[#This Row],[Month_to_Expiry]]&lt;=3, "0-3 Monaten",  IF(tblRentRoll[[#This Row],[Month_to_Expiry]]&lt;=6, "3-6 Monaten", IF(tblRentRoll[[#This Row],[Month_to_Expiry]]&lt;=12,"6-12 Monaten", IF(tblRentRoll[[#This Row],[Month_to_Expiry]]&gt;=12, "12 M+",)))))</f>
        <v>0-3 Monaten</v>
      </c>
      <c r="W203">
        <f>IF(tblRentRoll[[#This Row],[Status]]="Vacant", tblRentRoll[[#This Row],[Area_sqm]],0)</f>
        <v>0</v>
      </c>
      <c r="X203" s="3">
        <f>IF(tblRentRoll[[#This Row],[Status]]="Occupied", tblRentRoll[[#This Row],[Area_sqm]],0)</f>
        <v>1417</v>
      </c>
      <c r="Y203" s="3">
        <f ca="1">tblRentRoll[[#This Row],[Month_to_Expiry]]/12*tblRentRoll[[#This Row],[Annual_Rent_EUR]]</f>
        <v>0</v>
      </c>
      <c r="Z203" s="3"/>
    </row>
    <row r="204" spans="1:26" x14ac:dyDescent="0.35">
      <c r="A204" t="s">
        <v>27</v>
      </c>
      <c r="B204" t="s">
        <v>346</v>
      </c>
      <c r="C204" t="s">
        <v>29</v>
      </c>
      <c r="D204">
        <v>1468</v>
      </c>
      <c r="E204" t="s">
        <v>15</v>
      </c>
      <c r="F204" t="s">
        <v>61</v>
      </c>
      <c r="G204">
        <v>18039.21</v>
      </c>
      <c r="H204">
        <v>216470.52</v>
      </c>
      <c r="I204" s="2">
        <f>tblRentRoll[[#This Row],[Monthly_Rent_EUR]]*12</f>
        <v>216470.52</v>
      </c>
      <c r="J204" s="2" t="str">
        <f>IF(tblRentRoll[[#This Row],[Annual_Rent_EUR]]&lt;&gt;tblRentRoll[[#This Row],[Jahresrente_EUR]], "FALSCH", "")</f>
        <v/>
      </c>
      <c r="K204" s="1">
        <v>45045</v>
      </c>
      <c r="L204" s="1">
        <v>45269</v>
      </c>
      <c r="M204">
        <v>4191.22</v>
      </c>
      <c r="N204">
        <v>3151.73</v>
      </c>
      <c r="O20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4" t="str">
        <f>IF(tblRentRoll[[#This Row],[Area_sqm]]&lt;=0,"Area&lt;=0","")</f>
        <v/>
      </c>
      <c r="Q204" t="str">
        <f>IF(tblRentRoll[[#This Row],[Monthly_Rent_EUR]]&lt;=0,"Rent&lt;=0","")</f>
        <v/>
      </c>
      <c r="R204">
        <f>IF(AND(tblRentRoll[[#This Row],[Status]]="Occupied", tblRentRoll[[#This Row],[Area_sqm]]&gt;0), tblRentRoll[[#This Row],[Annual_Rent_EUR]]/tblRentRoll[[#This Row],[Area_sqm]],"")</f>
        <v>147.45948228882833</v>
      </c>
      <c r="S204">
        <f>tblRentRoll[[#This Row],[Service_Charge_EUR]]+tblRentRoll[[#This Row],[Operating_Cost_EUR]]</f>
        <v>7342.9500000000007</v>
      </c>
      <c r="T204">
        <f>IF(tblRentRoll[[#This Row],[Annual_Rent_EUR]]&lt;&gt;0,tblRentRoll[[#This Row],[Annual_Rent_EUR]]-tblRentRoll[[#This Row],[Operating_Cost_EUR]], "")</f>
        <v>213318.78999999998</v>
      </c>
      <c r="U204">
        <f ca="1">IF(AND(tblRentRoll[[#This Row],[Status]]="Occupied",tblRentRoll[[#This Row],[Lease_End]]&gt;=TODAY()),DATEDIF(TODAY(),tblRentRoll[[#This Row],[Lease_End]],"m"), 0)</f>
        <v>0</v>
      </c>
      <c r="V204" t="str">
        <f ca="1">IF(tblRentRoll[[#This Row],[Status]]&lt;&gt;"Occupied","", IF(tblRentRoll[[#This Row],[Month_to_Expiry]]&lt;=3, "0-3 Monaten",  IF(tblRentRoll[[#This Row],[Month_to_Expiry]]&lt;=6, "3-6 Monaten", IF(tblRentRoll[[#This Row],[Month_to_Expiry]]&lt;=12,"6-12 Monaten", IF(tblRentRoll[[#This Row],[Month_to_Expiry]]&gt;=12, "12 M+",)))))</f>
        <v>0-3 Monaten</v>
      </c>
      <c r="W204">
        <f>IF(tblRentRoll[[#This Row],[Status]]="Vacant", tblRentRoll[[#This Row],[Area_sqm]],0)</f>
        <v>0</v>
      </c>
      <c r="X204" s="3">
        <f>IF(tblRentRoll[[#This Row],[Status]]="Occupied", tblRentRoll[[#This Row],[Area_sqm]],0)</f>
        <v>1468</v>
      </c>
      <c r="Y204" s="3">
        <f ca="1">tblRentRoll[[#This Row],[Month_to_Expiry]]/12*tblRentRoll[[#This Row],[Annual_Rent_EUR]]</f>
        <v>0</v>
      </c>
      <c r="Z204" s="3"/>
    </row>
    <row r="205" spans="1:26" x14ac:dyDescent="0.35">
      <c r="A205" t="s">
        <v>44</v>
      </c>
      <c r="B205" t="s">
        <v>347</v>
      </c>
      <c r="C205" t="s">
        <v>14</v>
      </c>
      <c r="D205">
        <v>1226</v>
      </c>
      <c r="E205" t="s">
        <v>15</v>
      </c>
      <c r="F205" t="s">
        <v>199</v>
      </c>
      <c r="G205">
        <v>13693.68</v>
      </c>
      <c r="H205">
        <v>164324.16</v>
      </c>
      <c r="I205" s="2">
        <f>tblRentRoll[[#This Row],[Monthly_Rent_EUR]]*12</f>
        <v>164324.16</v>
      </c>
      <c r="J205" s="2" t="str">
        <f>IF(tblRentRoll[[#This Row],[Annual_Rent_EUR]]&lt;&gt;tblRentRoll[[#This Row],[Jahresrente_EUR]], "FALSCH", "")</f>
        <v/>
      </c>
      <c r="K205" s="1">
        <v>44782</v>
      </c>
      <c r="L205" s="1">
        <v>45894</v>
      </c>
      <c r="M205">
        <v>2292.62</v>
      </c>
      <c r="N205">
        <v>2489.7800000000002</v>
      </c>
      <c r="O20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5" t="str">
        <f>IF(tblRentRoll[[#This Row],[Area_sqm]]&lt;=0,"Area&lt;=0","")</f>
        <v/>
      </c>
      <c r="Q205" t="str">
        <f>IF(tblRentRoll[[#This Row],[Monthly_Rent_EUR]]&lt;=0,"Rent&lt;=0","")</f>
        <v/>
      </c>
      <c r="R205">
        <f>IF(AND(tblRentRoll[[#This Row],[Status]]="Occupied", tblRentRoll[[#This Row],[Area_sqm]]&gt;0), tblRentRoll[[#This Row],[Annual_Rent_EUR]]/tblRentRoll[[#This Row],[Area_sqm]],"")</f>
        <v>134.03275693311582</v>
      </c>
      <c r="S205">
        <f>tblRentRoll[[#This Row],[Service_Charge_EUR]]+tblRentRoll[[#This Row],[Operating_Cost_EUR]]</f>
        <v>4782.3999999999996</v>
      </c>
      <c r="T205">
        <f>IF(tblRentRoll[[#This Row],[Annual_Rent_EUR]]&lt;&gt;0,tblRentRoll[[#This Row],[Annual_Rent_EUR]]-tblRentRoll[[#This Row],[Operating_Cost_EUR]], "")</f>
        <v>161834.38</v>
      </c>
      <c r="U205">
        <f ca="1">IF(AND(tblRentRoll[[#This Row],[Status]]="Occupied",tblRentRoll[[#This Row],[Lease_End]]&gt;=TODAY()),DATEDIF(TODAY(),tblRentRoll[[#This Row],[Lease_End]],"m"), 0)</f>
        <v>0</v>
      </c>
      <c r="V205" t="str">
        <f ca="1">IF(tblRentRoll[[#This Row],[Status]]&lt;&gt;"Occupied","", IF(tblRentRoll[[#This Row],[Month_to_Expiry]]&lt;=3, "0-3 Monaten",  IF(tblRentRoll[[#This Row],[Month_to_Expiry]]&lt;=6, "3-6 Monaten", IF(tblRentRoll[[#This Row],[Month_to_Expiry]]&lt;=12,"6-12 Monaten", IF(tblRentRoll[[#This Row],[Month_to_Expiry]]&gt;=12, "12 M+",)))))</f>
        <v>0-3 Monaten</v>
      </c>
      <c r="W205">
        <f>IF(tblRentRoll[[#This Row],[Status]]="Vacant", tblRentRoll[[#This Row],[Area_sqm]],0)</f>
        <v>0</v>
      </c>
      <c r="X205" s="3">
        <f>IF(tblRentRoll[[#This Row],[Status]]="Occupied", tblRentRoll[[#This Row],[Area_sqm]],0)</f>
        <v>1226</v>
      </c>
      <c r="Y205" s="3">
        <f ca="1">tblRentRoll[[#This Row],[Month_to_Expiry]]/12*tblRentRoll[[#This Row],[Annual_Rent_EUR]]</f>
        <v>0</v>
      </c>
      <c r="Z205" s="3"/>
    </row>
    <row r="206" spans="1:26" x14ac:dyDescent="0.35">
      <c r="A206" t="s">
        <v>24</v>
      </c>
      <c r="B206" t="s">
        <v>348</v>
      </c>
      <c r="C206" t="s">
        <v>14</v>
      </c>
      <c r="D206">
        <v>1466</v>
      </c>
      <c r="E206" t="s">
        <v>15</v>
      </c>
      <c r="F206" t="s">
        <v>260</v>
      </c>
      <c r="G206">
        <v>13097.99</v>
      </c>
      <c r="H206">
        <v>157175.88</v>
      </c>
      <c r="I206" s="2">
        <f>tblRentRoll[[#This Row],[Monthly_Rent_EUR]]*12</f>
        <v>157175.88</v>
      </c>
      <c r="J206" s="2" t="str">
        <f>IF(tblRentRoll[[#This Row],[Annual_Rent_EUR]]&lt;&gt;tblRentRoll[[#This Row],[Jahresrente_EUR]], "FALSCH", "")</f>
        <v/>
      </c>
      <c r="K206" s="1">
        <v>45091</v>
      </c>
      <c r="L206" s="1">
        <v>46658</v>
      </c>
      <c r="M206">
        <v>2754.83</v>
      </c>
      <c r="N206">
        <v>1205.3</v>
      </c>
      <c r="O20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6" t="str">
        <f>IF(tblRentRoll[[#This Row],[Area_sqm]]&lt;=0,"Area&lt;=0","")</f>
        <v/>
      </c>
      <c r="Q206" t="str">
        <f>IF(tblRentRoll[[#This Row],[Monthly_Rent_EUR]]&lt;=0,"Rent&lt;=0","")</f>
        <v/>
      </c>
      <c r="R206">
        <f>IF(AND(tblRentRoll[[#This Row],[Status]]="Occupied", tblRentRoll[[#This Row],[Area_sqm]]&gt;0), tblRentRoll[[#This Row],[Annual_Rent_EUR]]/tblRentRoll[[#This Row],[Area_sqm]],"")</f>
        <v>107.21410641200546</v>
      </c>
      <c r="S206">
        <f>tblRentRoll[[#This Row],[Service_Charge_EUR]]+tblRentRoll[[#This Row],[Operating_Cost_EUR]]</f>
        <v>3960.13</v>
      </c>
      <c r="T206">
        <f>IF(tblRentRoll[[#This Row],[Annual_Rent_EUR]]&lt;&gt;0,tblRentRoll[[#This Row],[Annual_Rent_EUR]]-tblRentRoll[[#This Row],[Operating_Cost_EUR]], "")</f>
        <v>155970.58000000002</v>
      </c>
      <c r="U206">
        <f ca="1">IF(AND(tblRentRoll[[#This Row],[Status]]="Occupied",tblRentRoll[[#This Row],[Lease_End]]&gt;=TODAY()),DATEDIF(TODAY(),tblRentRoll[[#This Row],[Lease_End]],"m"), 0)</f>
        <v>18</v>
      </c>
      <c r="V206" t="str">
        <f ca="1">IF(tblRentRoll[[#This Row],[Status]]&lt;&gt;"Occupied","", IF(tblRentRoll[[#This Row],[Month_to_Expiry]]&lt;=3, "0-3 Monaten",  IF(tblRentRoll[[#This Row],[Month_to_Expiry]]&lt;=6, "3-6 Monaten", IF(tblRentRoll[[#This Row],[Month_to_Expiry]]&lt;=12,"6-12 Monaten", IF(tblRentRoll[[#This Row],[Month_to_Expiry]]&gt;=12, "12 M+",)))))</f>
        <v>12 M+</v>
      </c>
      <c r="W206">
        <f>IF(tblRentRoll[[#This Row],[Status]]="Vacant", tblRentRoll[[#This Row],[Area_sqm]],0)</f>
        <v>0</v>
      </c>
      <c r="X206" s="3">
        <f>IF(tblRentRoll[[#This Row],[Status]]="Occupied", tblRentRoll[[#This Row],[Area_sqm]],0)</f>
        <v>1466</v>
      </c>
      <c r="Y206" s="3">
        <f ca="1">tblRentRoll[[#This Row],[Month_to_Expiry]]/12*tblRentRoll[[#This Row],[Annual_Rent_EUR]]</f>
        <v>235763.82</v>
      </c>
      <c r="Z206" s="3"/>
    </row>
    <row r="207" spans="1:26" x14ac:dyDescent="0.35">
      <c r="A207" t="s">
        <v>24</v>
      </c>
      <c r="B207" t="s">
        <v>349</v>
      </c>
      <c r="C207" t="s">
        <v>19</v>
      </c>
      <c r="D207">
        <v>850</v>
      </c>
      <c r="E207" t="s">
        <v>15</v>
      </c>
      <c r="F207" t="s">
        <v>162</v>
      </c>
      <c r="G207">
        <v>9114.67</v>
      </c>
      <c r="H207">
        <v>109376.04</v>
      </c>
      <c r="I207" s="2">
        <f>tblRentRoll[[#This Row],[Monthly_Rent_EUR]]*12</f>
        <v>109376.04000000001</v>
      </c>
      <c r="J207" s="2" t="str">
        <f>IF(tblRentRoll[[#This Row],[Annual_Rent_EUR]]&lt;&gt;tblRentRoll[[#This Row],[Jahresrente_EUR]], "FALSCH", "")</f>
        <v/>
      </c>
      <c r="K207" s="1">
        <v>44932</v>
      </c>
      <c r="L207" s="1">
        <v>46082</v>
      </c>
      <c r="M207">
        <v>1407.73</v>
      </c>
      <c r="N207">
        <v>1132.0999999999999</v>
      </c>
      <c r="O20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7" t="str">
        <f>IF(tblRentRoll[[#This Row],[Area_sqm]]&lt;=0,"Area&lt;=0","")</f>
        <v/>
      </c>
      <c r="Q207" t="str">
        <f>IF(tblRentRoll[[#This Row],[Monthly_Rent_EUR]]&lt;=0,"Rent&lt;=0","")</f>
        <v/>
      </c>
      <c r="R207">
        <f>IF(AND(tblRentRoll[[#This Row],[Status]]="Occupied", tblRentRoll[[#This Row],[Area_sqm]]&gt;0), tblRentRoll[[#This Row],[Annual_Rent_EUR]]/tblRentRoll[[#This Row],[Area_sqm]],"")</f>
        <v>128.67769411764706</v>
      </c>
      <c r="S207">
        <f>tblRentRoll[[#This Row],[Service_Charge_EUR]]+tblRentRoll[[#This Row],[Operating_Cost_EUR]]</f>
        <v>2539.83</v>
      </c>
      <c r="T207">
        <f>IF(tblRentRoll[[#This Row],[Annual_Rent_EUR]]&lt;&gt;0,tblRentRoll[[#This Row],[Annual_Rent_EUR]]-tblRentRoll[[#This Row],[Operating_Cost_EUR]], "")</f>
        <v>108243.93999999999</v>
      </c>
      <c r="U207">
        <f ca="1">IF(AND(tblRentRoll[[#This Row],[Status]]="Occupied",tblRentRoll[[#This Row],[Lease_End]]&gt;=TODAY()),DATEDIF(TODAY(),tblRentRoll[[#This Row],[Lease_End]],"m"), 0)</f>
        <v>0</v>
      </c>
      <c r="V207" t="str">
        <f ca="1">IF(tblRentRoll[[#This Row],[Status]]&lt;&gt;"Occupied","", IF(tblRentRoll[[#This Row],[Month_to_Expiry]]&lt;=3, "0-3 Monaten",  IF(tblRentRoll[[#This Row],[Month_to_Expiry]]&lt;=6, "3-6 Monaten", IF(tblRentRoll[[#This Row],[Month_to_Expiry]]&lt;=12,"6-12 Monaten", IF(tblRentRoll[[#This Row],[Month_to_Expiry]]&gt;=12, "12 M+",)))))</f>
        <v>0-3 Monaten</v>
      </c>
      <c r="W207">
        <f>IF(tblRentRoll[[#This Row],[Status]]="Vacant", tblRentRoll[[#This Row],[Area_sqm]],0)</f>
        <v>0</v>
      </c>
      <c r="X207" s="3">
        <f>IF(tblRentRoll[[#This Row],[Status]]="Occupied", tblRentRoll[[#This Row],[Area_sqm]],0)</f>
        <v>850</v>
      </c>
      <c r="Y207" s="3">
        <f ca="1">tblRentRoll[[#This Row],[Month_to_Expiry]]/12*tblRentRoll[[#This Row],[Annual_Rent_EUR]]</f>
        <v>0</v>
      </c>
      <c r="Z207" s="3"/>
    </row>
    <row r="208" spans="1:26" x14ac:dyDescent="0.35">
      <c r="A208" t="s">
        <v>31</v>
      </c>
      <c r="B208" t="s">
        <v>350</v>
      </c>
      <c r="C208" t="s">
        <v>19</v>
      </c>
      <c r="D208">
        <v>174</v>
      </c>
      <c r="E208" t="s">
        <v>15</v>
      </c>
      <c r="F208" t="s">
        <v>160</v>
      </c>
      <c r="G208">
        <v>2377.5700000000002</v>
      </c>
      <c r="H208">
        <v>28530.84</v>
      </c>
      <c r="I208" s="2">
        <f>tblRentRoll[[#This Row],[Monthly_Rent_EUR]]*12</f>
        <v>28530.840000000004</v>
      </c>
      <c r="J208" s="2" t="str">
        <f>IF(tblRentRoll[[#This Row],[Annual_Rent_EUR]]&lt;&gt;tblRentRoll[[#This Row],[Jahresrente_EUR]], "FALSCH", "")</f>
        <v/>
      </c>
      <c r="K208" s="1">
        <v>45122</v>
      </c>
      <c r="L208" s="1">
        <v>46677</v>
      </c>
      <c r="M208">
        <v>208.64</v>
      </c>
      <c r="N208">
        <v>123.53</v>
      </c>
      <c r="O20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8" t="str">
        <f>IF(tblRentRoll[[#This Row],[Area_sqm]]&lt;=0,"Area&lt;=0","")</f>
        <v/>
      </c>
      <c r="Q208" t="str">
        <f>IF(tblRentRoll[[#This Row],[Monthly_Rent_EUR]]&lt;=0,"Rent&lt;=0","")</f>
        <v/>
      </c>
      <c r="R208">
        <f>IF(AND(tblRentRoll[[#This Row],[Status]]="Occupied", tblRentRoll[[#This Row],[Area_sqm]]&gt;0), tblRentRoll[[#This Row],[Annual_Rent_EUR]]/tblRentRoll[[#This Row],[Area_sqm]],"")</f>
        <v>163.97034482758622</v>
      </c>
      <c r="S208">
        <f>tblRentRoll[[#This Row],[Service_Charge_EUR]]+tblRentRoll[[#This Row],[Operating_Cost_EUR]]</f>
        <v>332.16999999999996</v>
      </c>
      <c r="T208">
        <f>IF(tblRentRoll[[#This Row],[Annual_Rent_EUR]]&lt;&gt;0,tblRentRoll[[#This Row],[Annual_Rent_EUR]]-tblRentRoll[[#This Row],[Operating_Cost_EUR]], "")</f>
        <v>28407.31</v>
      </c>
      <c r="U208">
        <f ca="1">IF(AND(tblRentRoll[[#This Row],[Status]]="Occupied",tblRentRoll[[#This Row],[Lease_End]]&gt;=TODAY()),DATEDIF(TODAY(),tblRentRoll[[#This Row],[Lease_End]],"m"), 0)</f>
        <v>19</v>
      </c>
      <c r="V208" t="str">
        <f ca="1">IF(tblRentRoll[[#This Row],[Status]]&lt;&gt;"Occupied","", IF(tblRentRoll[[#This Row],[Month_to_Expiry]]&lt;=3, "0-3 Monaten",  IF(tblRentRoll[[#This Row],[Month_to_Expiry]]&lt;=6, "3-6 Monaten", IF(tblRentRoll[[#This Row],[Month_to_Expiry]]&lt;=12,"6-12 Monaten", IF(tblRentRoll[[#This Row],[Month_to_Expiry]]&gt;=12, "12 M+",)))))</f>
        <v>12 M+</v>
      </c>
      <c r="W208">
        <f>IF(tblRentRoll[[#This Row],[Status]]="Vacant", tblRentRoll[[#This Row],[Area_sqm]],0)</f>
        <v>0</v>
      </c>
      <c r="X208" s="3">
        <f>IF(tblRentRoll[[#This Row],[Status]]="Occupied", tblRentRoll[[#This Row],[Area_sqm]],0)</f>
        <v>174</v>
      </c>
      <c r="Y208" s="3">
        <f ca="1">tblRentRoll[[#This Row],[Month_to_Expiry]]/12*tblRentRoll[[#This Row],[Annual_Rent_EUR]]</f>
        <v>45173.83</v>
      </c>
      <c r="Z208" s="3"/>
    </row>
    <row r="209" spans="1:26" x14ac:dyDescent="0.35">
      <c r="A209" t="s">
        <v>31</v>
      </c>
      <c r="B209" t="s">
        <v>351</v>
      </c>
      <c r="C209" t="s">
        <v>14</v>
      </c>
      <c r="D209">
        <v>471</v>
      </c>
      <c r="E209" t="s">
        <v>20</v>
      </c>
      <c r="G209">
        <v>0</v>
      </c>
      <c r="H209">
        <v>0</v>
      </c>
      <c r="I209" s="2">
        <f>tblRentRoll[[#This Row],[Monthly_Rent_EUR]]*12</f>
        <v>0</v>
      </c>
      <c r="J209" s="2" t="str">
        <f>IF(tblRentRoll[[#This Row],[Annual_Rent_EUR]]&lt;&gt;tblRentRoll[[#This Row],[Jahresrente_EUR]], "FALSCH", "")</f>
        <v/>
      </c>
      <c r="M209">
        <v>776.76</v>
      </c>
      <c r="N209">
        <v>798.21</v>
      </c>
      <c r="O20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09" t="str">
        <f>IF(tblRentRoll[[#This Row],[Area_sqm]]&lt;=0,"Area&lt;=0","")</f>
        <v/>
      </c>
      <c r="Q209" t="str">
        <f>IF(tblRentRoll[[#This Row],[Monthly_Rent_EUR]]&lt;=0,"Rent&lt;=0","")</f>
        <v>Rent&lt;=0</v>
      </c>
      <c r="R209" t="str">
        <f>IF(AND(tblRentRoll[[#This Row],[Status]]="Occupied", tblRentRoll[[#This Row],[Area_sqm]]&gt;0), tblRentRoll[[#This Row],[Annual_Rent_EUR]]/tblRentRoll[[#This Row],[Area_sqm]],"")</f>
        <v/>
      </c>
      <c r="S209">
        <f>tblRentRoll[[#This Row],[Service_Charge_EUR]]+tblRentRoll[[#This Row],[Operating_Cost_EUR]]</f>
        <v>1574.97</v>
      </c>
      <c r="T209" t="str">
        <f>IF(tblRentRoll[[#This Row],[Annual_Rent_EUR]]&lt;&gt;0,tblRentRoll[[#This Row],[Annual_Rent_EUR]]-tblRentRoll[[#This Row],[Operating_Cost_EUR]], "")</f>
        <v/>
      </c>
      <c r="U209">
        <f ca="1">IF(AND(tblRentRoll[[#This Row],[Status]]="Occupied",tblRentRoll[[#This Row],[Lease_End]]&gt;=TODAY()),DATEDIF(TODAY(),tblRentRoll[[#This Row],[Lease_End]],"m"), 0)</f>
        <v>0</v>
      </c>
      <c r="V209" t="str">
        <f>IF(tblRentRoll[[#This Row],[Status]]&lt;&gt;"Occupied","", IF(tblRentRoll[[#This Row],[Month_to_Expiry]]&lt;=3, "0-3 Monaten",  IF(tblRentRoll[[#This Row],[Month_to_Expiry]]&lt;=6, "3-6 Monaten", IF(tblRentRoll[[#This Row],[Month_to_Expiry]]&lt;=12,"6-12 Monaten", IF(tblRentRoll[[#This Row],[Month_to_Expiry]]&gt;=12, "12 M+",)))))</f>
        <v/>
      </c>
      <c r="W209">
        <f>IF(tblRentRoll[[#This Row],[Status]]="Vacant", tblRentRoll[[#This Row],[Area_sqm]],0)</f>
        <v>471</v>
      </c>
      <c r="X209" s="3">
        <f>IF(tblRentRoll[[#This Row],[Status]]="Occupied", tblRentRoll[[#This Row],[Area_sqm]],0)</f>
        <v>0</v>
      </c>
      <c r="Y209" s="3">
        <f ca="1">tblRentRoll[[#This Row],[Month_to_Expiry]]/12*tblRentRoll[[#This Row],[Annual_Rent_EUR]]</f>
        <v>0</v>
      </c>
      <c r="Z209" s="3"/>
    </row>
    <row r="210" spans="1:26" x14ac:dyDescent="0.35">
      <c r="A210" t="s">
        <v>44</v>
      </c>
      <c r="B210" t="s">
        <v>352</v>
      </c>
      <c r="C210" t="s">
        <v>19</v>
      </c>
      <c r="D210">
        <v>143</v>
      </c>
      <c r="E210" t="s">
        <v>15</v>
      </c>
      <c r="F210" t="s">
        <v>162</v>
      </c>
      <c r="G210">
        <v>2356.58</v>
      </c>
      <c r="H210">
        <v>28278.959999999999</v>
      </c>
      <c r="I210" s="2">
        <f>tblRentRoll[[#This Row],[Monthly_Rent_EUR]]*12</f>
        <v>28278.959999999999</v>
      </c>
      <c r="J210" s="2" t="str">
        <f>IF(tblRentRoll[[#This Row],[Annual_Rent_EUR]]&lt;&gt;tblRentRoll[[#This Row],[Jahresrente_EUR]], "FALSCH", "")</f>
        <v/>
      </c>
      <c r="K210" s="1">
        <v>45136</v>
      </c>
      <c r="L210" s="1">
        <v>45651</v>
      </c>
      <c r="M210">
        <v>277.49</v>
      </c>
      <c r="N210">
        <v>293.42</v>
      </c>
      <c r="O21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0" t="str">
        <f>IF(tblRentRoll[[#This Row],[Area_sqm]]&lt;=0,"Area&lt;=0","")</f>
        <v/>
      </c>
      <c r="Q210" t="str">
        <f>IF(tblRentRoll[[#This Row],[Monthly_Rent_EUR]]&lt;=0,"Rent&lt;=0","")</f>
        <v/>
      </c>
      <c r="R210">
        <f>IF(AND(tblRentRoll[[#This Row],[Status]]="Occupied", tblRentRoll[[#This Row],[Area_sqm]]&gt;0), tblRentRoll[[#This Row],[Annual_Rent_EUR]]/tblRentRoll[[#This Row],[Area_sqm]],"")</f>
        <v>197.75496503496504</v>
      </c>
      <c r="S210">
        <f>tblRentRoll[[#This Row],[Service_Charge_EUR]]+tblRentRoll[[#This Row],[Operating_Cost_EUR]]</f>
        <v>570.91000000000008</v>
      </c>
      <c r="T210">
        <f>IF(tblRentRoll[[#This Row],[Annual_Rent_EUR]]&lt;&gt;0,tblRentRoll[[#This Row],[Annual_Rent_EUR]]-tblRentRoll[[#This Row],[Operating_Cost_EUR]], "")</f>
        <v>27985.54</v>
      </c>
      <c r="U210">
        <f ca="1">IF(AND(tblRentRoll[[#This Row],[Status]]="Occupied",tblRentRoll[[#This Row],[Lease_End]]&gt;=TODAY()),DATEDIF(TODAY(),tblRentRoll[[#This Row],[Lease_End]],"m"), 0)</f>
        <v>0</v>
      </c>
      <c r="V210" t="str">
        <f ca="1">IF(tblRentRoll[[#This Row],[Status]]&lt;&gt;"Occupied","", IF(tblRentRoll[[#This Row],[Month_to_Expiry]]&lt;=3, "0-3 Monaten",  IF(tblRentRoll[[#This Row],[Month_to_Expiry]]&lt;=6, "3-6 Monaten", IF(tblRentRoll[[#This Row],[Month_to_Expiry]]&lt;=12,"6-12 Monaten", IF(tblRentRoll[[#This Row],[Month_to_Expiry]]&gt;=12, "12 M+",)))))</f>
        <v>0-3 Monaten</v>
      </c>
      <c r="W210">
        <f>IF(tblRentRoll[[#This Row],[Status]]="Vacant", tblRentRoll[[#This Row],[Area_sqm]],0)</f>
        <v>0</v>
      </c>
      <c r="X210" s="3">
        <f>IF(tblRentRoll[[#This Row],[Status]]="Occupied", tblRentRoll[[#This Row],[Area_sqm]],0)</f>
        <v>143</v>
      </c>
      <c r="Y210" s="3">
        <f ca="1">tblRentRoll[[#This Row],[Month_to_Expiry]]/12*tblRentRoll[[#This Row],[Annual_Rent_EUR]]</f>
        <v>0</v>
      </c>
      <c r="Z210" s="3"/>
    </row>
    <row r="211" spans="1:26" x14ac:dyDescent="0.35">
      <c r="A211" t="s">
        <v>27</v>
      </c>
      <c r="B211" t="s">
        <v>353</v>
      </c>
      <c r="C211" t="s">
        <v>19</v>
      </c>
      <c r="D211">
        <v>43</v>
      </c>
      <c r="E211" t="s">
        <v>15</v>
      </c>
      <c r="F211" t="s">
        <v>111</v>
      </c>
      <c r="G211">
        <v>408.41</v>
      </c>
      <c r="H211">
        <v>4900.92</v>
      </c>
      <c r="I211" s="2">
        <f>tblRentRoll[[#This Row],[Monthly_Rent_EUR]]*12</f>
        <v>4900.92</v>
      </c>
      <c r="J211" s="2" t="str">
        <f>IF(tblRentRoll[[#This Row],[Annual_Rent_EUR]]&lt;&gt;tblRentRoll[[#This Row],[Jahresrente_EUR]], "FALSCH", "")</f>
        <v/>
      </c>
      <c r="K211" s="1">
        <v>44649</v>
      </c>
      <c r="L211" s="1">
        <v>44845</v>
      </c>
      <c r="M211">
        <v>61.87</v>
      </c>
      <c r="N211">
        <v>39</v>
      </c>
      <c r="O21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1" t="str">
        <f>IF(tblRentRoll[[#This Row],[Area_sqm]]&lt;=0,"Area&lt;=0","")</f>
        <v/>
      </c>
      <c r="Q211" t="str">
        <f>IF(tblRentRoll[[#This Row],[Monthly_Rent_EUR]]&lt;=0,"Rent&lt;=0","")</f>
        <v/>
      </c>
      <c r="R211">
        <f>IF(AND(tblRentRoll[[#This Row],[Status]]="Occupied", tblRentRoll[[#This Row],[Area_sqm]]&gt;0), tblRentRoll[[#This Row],[Annual_Rent_EUR]]/tblRentRoll[[#This Row],[Area_sqm]],"")</f>
        <v>113.97488372093024</v>
      </c>
      <c r="S211">
        <f>tblRentRoll[[#This Row],[Service_Charge_EUR]]+tblRentRoll[[#This Row],[Operating_Cost_EUR]]</f>
        <v>100.87</v>
      </c>
      <c r="T211">
        <f>IF(tblRentRoll[[#This Row],[Annual_Rent_EUR]]&lt;&gt;0,tblRentRoll[[#This Row],[Annual_Rent_EUR]]-tblRentRoll[[#This Row],[Operating_Cost_EUR]], "")</f>
        <v>4861.92</v>
      </c>
      <c r="U211">
        <f ca="1">IF(AND(tblRentRoll[[#This Row],[Status]]="Occupied",tblRentRoll[[#This Row],[Lease_End]]&gt;=TODAY()),DATEDIF(TODAY(),tblRentRoll[[#This Row],[Lease_End]],"m"), 0)</f>
        <v>0</v>
      </c>
      <c r="V211" t="str">
        <f ca="1">IF(tblRentRoll[[#This Row],[Status]]&lt;&gt;"Occupied","", IF(tblRentRoll[[#This Row],[Month_to_Expiry]]&lt;=3, "0-3 Monaten",  IF(tblRentRoll[[#This Row],[Month_to_Expiry]]&lt;=6, "3-6 Monaten", IF(tblRentRoll[[#This Row],[Month_to_Expiry]]&lt;=12,"6-12 Monaten", IF(tblRentRoll[[#This Row],[Month_to_Expiry]]&gt;=12, "12 M+",)))))</f>
        <v>0-3 Monaten</v>
      </c>
      <c r="W211">
        <f>IF(tblRentRoll[[#This Row],[Status]]="Vacant", tblRentRoll[[#This Row],[Area_sqm]],0)</f>
        <v>0</v>
      </c>
      <c r="X211" s="3">
        <f>IF(tblRentRoll[[#This Row],[Status]]="Occupied", tblRentRoll[[#This Row],[Area_sqm]],0)</f>
        <v>43</v>
      </c>
      <c r="Y211" s="3">
        <f ca="1">tblRentRoll[[#This Row],[Month_to_Expiry]]/12*tblRentRoll[[#This Row],[Annual_Rent_EUR]]</f>
        <v>0</v>
      </c>
      <c r="Z211" s="3"/>
    </row>
    <row r="212" spans="1:26" x14ac:dyDescent="0.35">
      <c r="A212" t="s">
        <v>21</v>
      </c>
      <c r="B212" t="s">
        <v>354</v>
      </c>
      <c r="C212" t="s">
        <v>29</v>
      </c>
      <c r="D212">
        <v>162</v>
      </c>
      <c r="E212" t="s">
        <v>15</v>
      </c>
      <c r="F212" t="s">
        <v>355</v>
      </c>
      <c r="G212">
        <v>1370.56</v>
      </c>
      <c r="H212">
        <v>16446.72</v>
      </c>
      <c r="I212" s="2">
        <f>tblRentRoll[[#This Row],[Monthly_Rent_EUR]]*12</f>
        <v>16446.72</v>
      </c>
      <c r="J212" s="2" t="str">
        <f>IF(tblRentRoll[[#This Row],[Annual_Rent_EUR]]&lt;&gt;tblRentRoll[[#This Row],[Jahresrente_EUR]], "FALSCH", "")</f>
        <v/>
      </c>
      <c r="K212" s="1">
        <v>44503</v>
      </c>
      <c r="L212" s="1">
        <v>45693</v>
      </c>
      <c r="M212">
        <v>474.88</v>
      </c>
      <c r="N212">
        <v>404.62</v>
      </c>
      <c r="O21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2" t="str">
        <f>IF(tblRentRoll[[#This Row],[Area_sqm]]&lt;=0,"Area&lt;=0","")</f>
        <v/>
      </c>
      <c r="Q212" t="str">
        <f>IF(tblRentRoll[[#This Row],[Monthly_Rent_EUR]]&lt;=0,"Rent&lt;=0","")</f>
        <v/>
      </c>
      <c r="R212">
        <f>IF(AND(tblRentRoll[[#This Row],[Status]]="Occupied", tblRentRoll[[#This Row],[Area_sqm]]&gt;0), tblRentRoll[[#This Row],[Annual_Rent_EUR]]/tblRentRoll[[#This Row],[Area_sqm]],"")</f>
        <v>101.52296296296296</v>
      </c>
      <c r="S212">
        <f>tblRentRoll[[#This Row],[Service_Charge_EUR]]+tblRentRoll[[#This Row],[Operating_Cost_EUR]]</f>
        <v>879.5</v>
      </c>
      <c r="T212">
        <f>IF(tblRentRoll[[#This Row],[Annual_Rent_EUR]]&lt;&gt;0,tblRentRoll[[#This Row],[Annual_Rent_EUR]]-tblRentRoll[[#This Row],[Operating_Cost_EUR]], "")</f>
        <v>16042.1</v>
      </c>
      <c r="U212">
        <f ca="1">IF(AND(tblRentRoll[[#This Row],[Status]]="Occupied",tblRentRoll[[#This Row],[Lease_End]]&gt;=TODAY()),DATEDIF(TODAY(),tblRentRoll[[#This Row],[Lease_End]],"m"), 0)</f>
        <v>0</v>
      </c>
      <c r="V212" t="str">
        <f ca="1">IF(tblRentRoll[[#This Row],[Status]]&lt;&gt;"Occupied","", IF(tblRentRoll[[#This Row],[Month_to_Expiry]]&lt;=3, "0-3 Monaten",  IF(tblRentRoll[[#This Row],[Month_to_Expiry]]&lt;=6, "3-6 Monaten", IF(tblRentRoll[[#This Row],[Month_to_Expiry]]&lt;=12,"6-12 Monaten", IF(tblRentRoll[[#This Row],[Month_to_Expiry]]&gt;=12, "12 M+",)))))</f>
        <v>0-3 Monaten</v>
      </c>
      <c r="W212">
        <f>IF(tblRentRoll[[#This Row],[Status]]="Vacant", tblRentRoll[[#This Row],[Area_sqm]],0)</f>
        <v>0</v>
      </c>
      <c r="X212" s="3">
        <f>IF(tblRentRoll[[#This Row],[Status]]="Occupied", tblRentRoll[[#This Row],[Area_sqm]],0)</f>
        <v>162</v>
      </c>
      <c r="Y212" s="3">
        <f ca="1">tblRentRoll[[#This Row],[Month_to_Expiry]]/12*tblRentRoll[[#This Row],[Annual_Rent_EUR]]</f>
        <v>0</v>
      </c>
      <c r="Z212" s="3"/>
    </row>
    <row r="213" spans="1:26" x14ac:dyDescent="0.35">
      <c r="A213" t="s">
        <v>56</v>
      </c>
      <c r="B213" t="s">
        <v>356</v>
      </c>
      <c r="C213" t="s">
        <v>19</v>
      </c>
      <c r="D213">
        <v>229</v>
      </c>
      <c r="E213" t="s">
        <v>15</v>
      </c>
      <c r="F213" t="s">
        <v>357</v>
      </c>
      <c r="G213">
        <v>3869.02</v>
      </c>
      <c r="H213">
        <v>46428.24</v>
      </c>
      <c r="I213" s="2">
        <f>tblRentRoll[[#This Row],[Monthly_Rent_EUR]]*12</f>
        <v>46428.24</v>
      </c>
      <c r="J213" s="2" t="str">
        <f>IF(tblRentRoll[[#This Row],[Annual_Rent_EUR]]&lt;&gt;tblRentRoll[[#This Row],[Jahresrente_EUR]], "FALSCH", "")</f>
        <v/>
      </c>
      <c r="K213" s="1">
        <v>44443</v>
      </c>
      <c r="L213" s="1">
        <v>45488</v>
      </c>
      <c r="M213">
        <v>285.62</v>
      </c>
      <c r="N213">
        <v>353.37</v>
      </c>
      <c r="O21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3" t="str">
        <f>IF(tblRentRoll[[#This Row],[Area_sqm]]&lt;=0,"Area&lt;=0","")</f>
        <v/>
      </c>
      <c r="Q213" t="str">
        <f>IF(tblRentRoll[[#This Row],[Monthly_Rent_EUR]]&lt;=0,"Rent&lt;=0","")</f>
        <v/>
      </c>
      <c r="R213">
        <f>IF(AND(tblRentRoll[[#This Row],[Status]]="Occupied", tblRentRoll[[#This Row],[Area_sqm]]&gt;0), tblRentRoll[[#This Row],[Annual_Rent_EUR]]/tblRentRoll[[#This Row],[Area_sqm]],"")</f>
        <v>202.74340611353711</v>
      </c>
      <c r="S213">
        <f>tblRentRoll[[#This Row],[Service_Charge_EUR]]+tblRentRoll[[#This Row],[Operating_Cost_EUR]]</f>
        <v>638.99</v>
      </c>
      <c r="T213">
        <f>IF(tblRentRoll[[#This Row],[Annual_Rent_EUR]]&lt;&gt;0,tblRentRoll[[#This Row],[Annual_Rent_EUR]]-tblRentRoll[[#This Row],[Operating_Cost_EUR]], "")</f>
        <v>46074.869999999995</v>
      </c>
      <c r="U213">
        <f ca="1">IF(AND(tblRentRoll[[#This Row],[Status]]="Occupied",tblRentRoll[[#This Row],[Lease_End]]&gt;=TODAY()),DATEDIF(TODAY(),tblRentRoll[[#This Row],[Lease_End]],"m"), 0)</f>
        <v>0</v>
      </c>
      <c r="V213" t="str">
        <f ca="1">IF(tblRentRoll[[#This Row],[Status]]&lt;&gt;"Occupied","", IF(tblRentRoll[[#This Row],[Month_to_Expiry]]&lt;=3, "0-3 Monaten",  IF(tblRentRoll[[#This Row],[Month_to_Expiry]]&lt;=6, "3-6 Monaten", IF(tblRentRoll[[#This Row],[Month_to_Expiry]]&lt;=12,"6-12 Monaten", IF(tblRentRoll[[#This Row],[Month_to_Expiry]]&gt;=12, "12 M+",)))))</f>
        <v>0-3 Monaten</v>
      </c>
      <c r="W213">
        <f>IF(tblRentRoll[[#This Row],[Status]]="Vacant", tblRentRoll[[#This Row],[Area_sqm]],0)</f>
        <v>0</v>
      </c>
      <c r="X213" s="3">
        <f>IF(tblRentRoll[[#This Row],[Status]]="Occupied", tblRentRoll[[#This Row],[Area_sqm]],0)</f>
        <v>229</v>
      </c>
      <c r="Y213" s="3">
        <f ca="1">tblRentRoll[[#This Row],[Month_to_Expiry]]/12*tblRentRoll[[#This Row],[Annual_Rent_EUR]]</f>
        <v>0</v>
      </c>
      <c r="Z213" s="3"/>
    </row>
    <row r="214" spans="1:26" x14ac:dyDescent="0.35">
      <c r="A214" t="s">
        <v>56</v>
      </c>
      <c r="B214" t="s">
        <v>358</v>
      </c>
      <c r="C214" t="s">
        <v>14</v>
      </c>
      <c r="D214">
        <v>377</v>
      </c>
      <c r="E214" t="s">
        <v>15</v>
      </c>
      <c r="F214" t="s">
        <v>76</v>
      </c>
      <c r="G214">
        <v>3803.82</v>
      </c>
      <c r="H214">
        <v>45645.84</v>
      </c>
      <c r="I214" s="2">
        <f>tblRentRoll[[#This Row],[Monthly_Rent_EUR]]*12</f>
        <v>45645.840000000004</v>
      </c>
      <c r="J214" s="2" t="str">
        <f>IF(tblRentRoll[[#This Row],[Annual_Rent_EUR]]&lt;&gt;tblRentRoll[[#This Row],[Jahresrente_EUR]], "FALSCH", "")</f>
        <v/>
      </c>
      <c r="K214" s="1">
        <v>45231</v>
      </c>
      <c r="L214" s="1">
        <v>46284</v>
      </c>
      <c r="M214">
        <v>1071.99</v>
      </c>
      <c r="N214">
        <v>248.42</v>
      </c>
      <c r="O21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4" t="str">
        <f>IF(tblRentRoll[[#This Row],[Area_sqm]]&lt;=0,"Area&lt;=0","")</f>
        <v/>
      </c>
      <c r="Q214" t="str">
        <f>IF(tblRentRoll[[#This Row],[Monthly_Rent_EUR]]&lt;=0,"Rent&lt;=0","")</f>
        <v/>
      </c>
      <c r="R214">
        <f>IF(AND(tblRentRoll[[#This Row],[Status]]="Occupied", tblRentRoll[[#This Row],[Area_sqm]]&gt;0), tblRentRoll[[#This Row],[Annual_Rent_EUR]]/tblRentRoll[[#This Row],[Area_sqm]],"")</f>
        <v>121.07649867374005</v>
      </c>
      <c r="S214">
        <f>tblRentRoll[[#This Row],[Service_Charge_EUR]]+tblRentRoll[[#This Row],[Operating_Cost_EUR]]</f>
        <v>1320.41</v>
      </c>
      <c r="T214">
        <f>IF(tblRentRoll[[#This Row],[Annual_Rent_EUR]]&lt;&gt;0,tblRentRoll[[#This Row],[Annual_Rent_EUR]]-tblRentRoll[[#This Row],[Operating_Cost_EUR]], "")</f>
        <v>45397.42</v>
      </c>
      <c r="U214">
        <f ca="1">IF(AND(tblRentRoll[[#This Row],[Status]]="Occupied",tblRentRoll[[#This Row],[Lease_End]]&gt;=TODAY()),DATEDIF(TODAY(),tblRentRoll[[#This Row],[Lease_End]],"m"), 0)</f>
        <v>6</v>
      </c>
      <c r="V214" t="str">
        <f ca="1">IF(tblRentRoll[[#This Row],[Status]]&lt;&gt;"Occupied","", IF(tblRentRoll[[#This Row],[Month_to_Expiry]]&lt;=3, "0-3 Monaten",  IF(tblRentRoll[[#This Row],[Month_to_Expiry]]&lt;=6, "3-6 Monaten", IF(tblRentRoll[[#This Row],[Month_to_Expiry]]&lt;=12,"6-12 Monaten", IF(tblRentRoll[[#This Row],[Month_to_Expiry]]&gt;=12, "12 M+",)))))</f>
        <v>3-6 Monaten</v>
      </c>
      <c r="W214">
        <f>IF(tblRentRoll[[#This Row],[Status]]="Vacant", tblRentRoll[[#This Row],[Area_sqm]],0)</f>
        <v>0</v>
      </c>
      <c r="X214" s="3">
        <f>IF(tblRentRoll[[#This Row],[Status]]="Occupied", tblRentRoll[[#This Row],[Area_sqm]],0)</f>
        <v>377</v>
      </c>
      <c r="Y214" s="3">
        <f ca="1">tblRentRoll[[#This Row],[Month_to_Expiry]]/12*tblRentRoll[[#This Row],[Annual_Rent_EUR]]</f>
        <v>22822.92</v>
      </c>
      <c r="Z214" s="3"/>
    </row>
    <row r="215" spans="1:26" x14ac:dyDescent="0.35">
      <c r="A215" t="s">
        <v>24</v>
      </c>
      <c r="B215" t="s">
        <v>359</v>
      </c>
      <c r="C215" t="s">
        <v>33</v>
      </c>
      <c r="D215">
        <v>954</v>
      </c>
      <c r="E215" t="s">
        <v>15</v>
      </c>
      <c r="F215" t="s">
        <v>360</v>
      </c>
      <c r="G215">
        <v>10153.59</v>
      </c>
      <c r="H215">
        <v>121843.08</v>
      </c>
      <c r="I215" s="2">
        <f>tblRentRoll[[#This Row],[Monthly_Rent_EUR]]*12</f>
        <v>121843.08</v>
      </c>
      <c r="J215" s="2" t="str">
        <f>IF(tblRentRoll[[#This Row],[Annual_Rent_EUR]]&lt;&gt;tblRentRoll[[#This Row],[Jahresrente_EUR]], "FALSCH", "")</f>
        <v/>
      </c>
      <c r="K215" s="1">
        <v>44872</v>
      </c>
      <c r="L215" s="1">
        <v>45838</v>
      </c>
      <c r="M215">
        <v>2182.81</v>
      </c>
      <c r="N215">
        <v>677.56</v>
      </c>
      <c r="O21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5" t="str">
        <f>IF(tblRentRoll[[#This Row],[Area_sqm]]&lt;=0,"Area&lt;=0","")</f>
        <v/>
      </c>
      <c r="Q215" t="str">
        <f>IF(tblRentRoll[[#This Row],[Monthly_Rent_EUR]]&lt;=0,"Rent&lt;=0","")</f>
        <v/>
      </c>
      <c r="R215">
        <f>IF(AND(tblRentRoll[[#This Row],[Status]]="Occupied", tblRentRoll[[#This Row],[Area_sqm]]&gt;0), tblRentRoll[[#This Row],[Annual_Rent_EUR]]/tblRentRoll[[#This Row],[Area_sqm]],"")</f>
        <v>127.71811320754718</v>
      </c>
      <c r="S215">
        <f>tblRentRoll[[#This Row],[Service_Charge_EUR]]+tblRentRoll[[#This Row],[Operating_Cost_EUR]]</f>
        <v>2860.37</v>
      </c>
      <c r="T215">
        <f>IF(tblRentRoll[[#This Row],[Annual_Rent_EUR]]&lt;&gt;0,tblRentRoll[[#This Row],[Annual_Rent_EUR]]-tblRentRoll[[#This Row],[Operating_Cost_EUR]], "")</f>
        <v>121165.52</v>
      </c>
      <c r="U215">
        <f ca="1">IF(AND(tblRentRoll[[#This Row],[Status]]="Occupied",tblRentRoll[[#This Row],[Lease_End]]&gt;=TODAY()),DATEDIF(TODAY(),tblRentRoll[[#This Row],[Lease_End]],"m"), 0)</f>
        <v>0</v>
      </c>
      <c r="V215" t="str">
        <f ca="1">IF(tblRentRoll[[#This Row],[Status]]&lt;&gt;"Occupied","", IF(tblRentRoll[[#This Row],[Month_to_Expiry]]&lt;=3, "0-3 Monaten",  IF(tblRentRoll[[#This Row],[Month_to_Expiry]]&lt;=6, "3-6 Monaten", IF(tblRentRoll[[#This Row],[Month_to_Expiry]]&lt;=12,"6-12 Monaten", IF(tblRentRoll[[#This Row],[Month_to_Expiry]]&gt;=12, "12 M+",)))))</f>
        <v>0-3 Monaten</v>
      </c>
      <c r="W215">
        <f>IF(tblRentRoll[[#This Row],[Status]]="Vacant", tblRentRoll[[#This Row],[Area_sqm]],0)</f>
        <v>0</v>
      </c>
      <c r="X215" s="3">
        <f>IF(tblRentRoll[[#This Row],[Status]]="Occupied", tblRentRoll[[#This Row],[Area_sqm]],0)</f>
        <v>954</v>
      </c>
      <c r="Y215" s="3">
        <f ca="1">tblRentRoll[[#This Row],[Month_to_Expiry]]/12*tblRentRoll[[#This Row],[Annual_Rent_EUR]]</f>
        <v>0</v>
      </c>
      <c r="Z215" s="3"/>
    </row>
    <row r="216" spans="1:26" x14ac:dyDescent="0.35">
      <c r="A216" t="s">
        <v>44</v>
      </c>
      <c r="B216" t="s">
        <v>361</v>
      </c>
      <c r="C216" t="s">
        <v>29</v>
      </c>
      <c r="D216">
        <v>767</v>
      </c>
      <c r="E216" t="s">
        <v>15</v>
      </c>
      <c r="F216" t="s">
        <v>362</v>
      </c>
      <c r="G216">
        <v>8212.43</v>
      </c>
      <c r="H216">
        <v>98549.16</v>
      </c>
      <c r="I216" s="2">
        <f>tblRentRoll[[#This Row],[Monthly_Rent_EUR]]*12</f>
        <v>98549.16</v>
      </c>
      <c r="J216" s="2" t="str">
        <f>IF(tblRentRoll[[#This Row],[Annual_Rent_EUR]]&lt;&gt;tblRentRoll[[#This Row],[Jahresrente_EUR]], "FALSCH", "")</f>
        <v/>
      </c>
      <c r="K216" s="1">
        <v>45151</v>
      </c>
      <c r="L216" s="1">
        <v>45358</v>
      </c>
      <c r="M216">
        <v>800.81</v>
      </c>
      <c r="N216">
        <v>1138.6199999999999</v>
      </c>
      <c r="O21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6" t="str">
        <f>IF(tblRentRoll[[#This Row],[Area_sqm]]&lt;=0,"Area&lt;=0","")</f>
        <v/>
      </c>
      <c r="Q216" t="str">
        <f>IF(tblRentRoll[[#This Row],[Monthly_Rent_EUR]]&lt;=0,"Rent&lt;=0","")</f>
        <v/>
      </c>
      <c r="R216">
        <f>IF(AND(tblRentRoll[[#This Row],[Status]]="Occupied", tblRentRoll[[#This Row],[Area_sqm]]&gt;0), tblRentRoll[[#This Row],[Annual_Rent_EUR]]/tblRentRoll[[#This Row],[Area_sqm]],"")</f>
        <v>128.48651890482398</v>
      </c>
      <c r="S216">
        <f>tblRentRoll[[#This Row],[Service_Charge_EUR]]+tblRentRoll[[#This Row],[Operating_Cost_EUR]]</f>
        <v>1939.4299999999998</v>
      </c>
      <c r="T216">
        <f>IF(tblRentRoll[[#This Row],[Annual_Rent_EUR]]&lt;&gt;0,tblRentRoll[[#This Row],[Annual_Rent_EUR]]-tblRentRoll[[#This Row],[Operating_Cost_EUR]], "")</f>
        <v>97410.540000000008</v>
      </c>
      <c r="U216">
        <f ca="1">IF(AND(tblRentRoll[[#This Row],[Status]]="Occupied",tblRentRoll[[#This Row],[Lease_End]]&gt;=TODAY()),DATEDIF(TODAY(),tblRentRoll[[#This Row],[Lease_End]],"m"), 0)</f>
        <v>0</v>
      </c>
      <c r="V216" t="str">
        <f ca="1">IF(tblRentRoll[[#This Row],[Status]]&lt;&gt;"Occupied","", IF(tblRentRoll[[#This Row],[Month_to_Expiry]]&lt;=3, "0-3 Monaten",  IF(tblRentRoll[[#This Row],[Month_to_Expiry]]&lt;=6, "3-6 Monaten", IF(tblRentRoll[[#This Row],[Month_to_Expiry]]&lt;=12,"6-12 Monaten", IF(tblRentRoll[[#This Row],[Month_to_Expiry]]&gt;=12, "12 M+",)))))</f>
        <v>0-3 Monaten</v>
      </c>
      <c r="W216">
        <f>IF(tblRentRoll[[#This Row],[Status]]="Vacant", tblRentRoll[[#This Row],[Area_sqm]],0)</f>
        <v>0</v>
      </c>
      <c r="X216" s="3">
        <f>IF(tblRentRoll[[#This Row],[Status]]="Occupied", tblRentRoll[[#This Row],[Area_sqm]],0)</f>
        <v>767</v>
      </c>
      <c r="Y216" s="3">
        <f ca="1">tblRentRoll[[#This Row],[Month_to_Expiry]]/12*tblRentRoll[[#This Row],[Annual_Rent_EUR]]</f>
        <v>0</v>
      </c>
      <c r="Z216" s="3"/>
    </row>
    <row r="217" spans="1:26" x14ac:dyDescent="0.35">
      <c r="A217" t="s">
        <v>44</v>
      </c>
      <c r="B217" t="s">
        <v>363</v>
      </c>
      <c r="C217" t="s">
        <v>29</v>
      </c>
      <c r="D217">
        <v>860</v>
      </c>
      <c r="E217" t="s">
        <v>15</v>
      </c>
      <c r="F217" t="s">
        <v>319</v>
      </c>
      <c r="G217">
        <v>5195.8500000000004</v>
      </c>
      <c r="H217">
        <v>62350.2</v>
      </c>
      <c r="I217" s="2">
        <f>tblRentRoll[[#This Row],[Monthly_Rent_EUR]]*12</f>
        <v>62350.200000000004</v>
      </c>
      <c r="J217" s="2" t="str">
        <f>IF(tblRentRoll[[#This Row],[Annual_Rent_EUR]]&lt;&gt;tblRentRoll[[#This Row],[Jahresrente_EUR]], "FALSCH", "")</f>
        <v/>
      </c>
      <c r="K217" s="1">
        <v>45140</v>
      </c>
      <c r="L217" s="1">
        <v>46886</v>
      </c>
      <c r="M217">
        <v>2367.65</v>
      </c>
      <c r="N217">
        <v>1574.67</v>
      </c>
      <c r="O21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7" t="str">
        <f>IF(tblRentRoll[[#This Row],[Area_sqm]]&lt;=0,"Area&lt;=0","")</f>
        <v/>
      </c>
      <c r="Q217" t="str">
        <f>IF(tblRentRoll[[#This Row],[Monthly_Rent_EUR]]&lt;=0,"Rent&lt;=0","")</f>
        <v/>
      </c>
      <c r="R217">
        <f>IF(AND(tblRentRoll[[#This Row],[Status]]="Occupied", tblRentRoll[[#This Row],[Area_sqm]]&gt;0), tblRentRoll[[#This Row],[Annual_Rent_EUR]]/tblRentRoll[[#This Row],[Area_sqm]],"")</f>
        <v>72.50023255813953</v>
      </c>
      <c r="S217">
        <f>tblRentRoll[[#This Row],[Service_Charge_EUR]]+tblRentRoll[[#This Row],[Operating_Cost_EUR]]</f>
        <v>3942.32</v>
      </c>
      <c r="T217">
        <f>IF(tblRentRoll[[#This Row],[Annual_Rent_EUR]]&lt;&gt;0,tblRentRoll[[#This Row],[Annual_Rent_EUR]]-tblRentRoll[[#This Row],[Operating_Cost_EUR]], "")</f>
        <v>60775.53</v>
      </c>
      <c r="U217">
        <f ca="1">IF(AND(tblRentRoll[[#This Row],[Status]]="Occupied",tblRentRoll[[#This Row],[Lease_End]]&gt;=TODAY()),DATEDIF(TODAY(),tblRentRoll[[#This Row],[Lease_End]],"m"), 0)</f>
        <v>26</v>
      </c>
      <c r="V217" t="str">
        <f ca="1">IF(tblRentRoll[[#This Row],[Status]]&lt;&gt;"Occupied","", IF(tblRentRoll[[#This Row],[Month_to_Expiry]]&lt;=3, "0-3 Monaten",  IF(tblRentRoll[[#This Row],[Month_to_Expiry]]&lt;=6, "3-6 Monaten", IF(tblRentRoll[[#This Row],[Month_to_Expiry]]&lt;=12,"6-12 Monaten", IF(tblRentRoll[[#This Row],[Month_to_Expiry]]&gt;=12, "12 M+",)))))</f>
        <v>12 M+</v>
      </c>
      <c r="W217">
        <f>IF(tblRentRoll[[#This Row],[Status]]="Vacant", tblRentRoll[[#This Row],[Area_sqm]],0)</f>
        <v>0</v>
      </c>
      <c r="X217" s="3">
        <f>IF(tblRentRoll[[#This Row],[Status]]="Occupied", tblRentRoll[[#This Row],[Area_sqm]],0)</f>
        <v>860</v>
      </c>
      <c r="Y217" s="3">
        <f ca="1">tblRentRoll[[#This Row],[Month_to_Expiry]]/12*tblRentRoll[[#This Row],[Annual_Rent_EUR]]</f>
        <v>135092.09999999998</v>
      </c>
      <c r="Z217" s="3"/>
    </row>
    <row r="218" spans="1:26" x14ac:dyDescent="0.35">
      <c r="A218" t="s">
        <v>44</v>
      </c>
      <c r="B218" t="s">
        <v>364</v>
      </c>
      <c r="C218" t="s">
        <v>14</v>
      </c>
      <c r="D218">
        <v>651</v>
      </c>
      <c r="E218" t="s">
        <v>15</v>
      </c>
      <c r="F218" t="s">
        <v>153</v>
      </c>
      <c r="G218">
        <v>6173.01</v>
      </c>
      <c r="H218">
        <v>74076.12</v>
      </c>
      <c r="I218" s="2">
        <f>tblRentRoll[[#This Row],[Monthly_Rent_EUR]]*12</f>
        <v>74076.12</v>
      </c>
      <c r="J218" s="2" t="str">
        <f>IF(tblRentRoll[[#This Row],[Annual_Rent_EUR]]&lt;&gt;tblRentRoll[[#This Row],[Jahresrente_EUR]], "FALSCH", "")</f>
        <v/>
      </c>
      <c r="K218" s="1">
        <v>45181</v>
      </c>
      <c r="L218" s="1">
        <v>46410</v>
      </c>
      <c r="M218">
        <v>1186.49</v>
      </c>
      <c r="N218">
        <v>1201.5</v>
      </c>
      <c r="O21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8" t="str">
        <f>IF(tblRentRoll[[#This Row],[Area_sqm]]&lt;=0,"Area&lt;=0","")</f>
        <v/>
      </c>
      <c r="Q218" t="str">
        <f>IF(tblRentRoll[[#This Row],[Monthly_Rent_EUR]]&lt;=0,"Rent&lt;=0","")</f>
        <v/>
      </c>
      <c r="R218">
        <f>IF(AND(tblRentRoll[[#This Row],[Status]]="Occupied", tblRentRoll[[#This Row],[Area_sqm]]&gt;0), tblRentRoll[[#This Row],[Annual_Rent_EUR]]/tblRentRoll[[#This Row],[Area_sqm]],"")</f>
        <v>113.78820276497696</v>
      </c>
      <c r="S218">
        <f>tblRentRoll[[#This Row],[Service_Charge_EUR]]+tblRentRoll[[#This Row],[Operating_Cost_EUR]]</f>
        <v>2387.9899999999998</v>
      </c>
      <c r="T218">
        <f>IF(tblRentRoll[[#This Row],[Annual_Rent_EUR]]&lt;&gt;0,tblRentRoll[[#This Row],[Annual_Rent_EUR]]-tblRentRoll[[#This Row],[Operating_Cost_EUR]], "")</f>
        <v>72874.62</v>
      </c>
      <c r="U218">
        <f ca="1">IF(AND(tblRentRoll[[#This Row],[Status]]="Occupied",tblRentRoll[[#This Row],[Lease_End]]&gt;=TODAY()),DATEDIF(TODAY(),tblRentRoll[[#This Row],[Lease_End]],"m"), 0)</f>
        <v>10</v>
      </c>
      <c r="V218" t="str">
        <f ca="1">IF(tblRentRoll[[#This Row],[Status]]&lt;&gt;"Occupied","", IF(tblRentRoll[[#This Row],[Month_to_Expiry]]&lt;=3, "0-3 Monaten",  IF(tblRentRoll[[#This Row],[Month_to_Expiry]]&lt;=6, "3-6 Monaten", IF(tblRentRoll[[#This Row],[Month_to_Expiry]]&lt;=12,"6-12 Monaten", IF(tblRentRoll[[#This Row],[Month_to_Expiry]]&gt;=12, "12 M+",)))))</f>
        <v>6-12 Monaten</v>
      </c>
      <c r="W218">
        <f>IF(tblRentRoll[[#This Row],[Status]]="Vacant", tblRentRoll[[#This Row],[Area_sqm]],0)</f>
        <v>0</v>
      </c>
      <c r="X218" s="3">
        <f>IF(tblRentRoll[[#This Row],[Status]]="Occupied", tblRentRoll[[#This Row],[Area_sqm]],0)</f>
        <v>651</v>
      </c>
      <c r="Y218" s="3">
        <f ca="1">tblRentRoll[[#This Row],[Month_to_Expiry]]/12*tblRentRoll[[#This Row],[Annual_Rent_EUR]]</f>
        <v>61730.1</v>
      </c>
      <c r="Z218" s="3"/>
    </row>
    <row r="219" spans="1:26" x14ac:dyDescent="0.35">
      <c r="A219" t="s">
        <v>17</v>
      </c>
      <c r="B219" t="s">
        <v>365</v>
      </c>
      <c r="C219" t="s">
        <v>33</v>
      </c>
      <c r="D219">
        <v>701</v>
      </c>
      <c r="E219" t="s">
        <v>15</v>
      </c>
      <c r="F219" t="s">
        <v>46</v>
      </c>
      <c r="G219">
        <v>10098.24</v>
      </c>
      <c r="H219">
        <v>121178.88</v>
      </c>
      <c r="I219" s="2">
        <f>tblRentRoll[[#This Row],[Monthly_Rent_EUR]]*12</f>
        <v>121178.88</v>
      </c>
      <c r="J219" s="2" t="str">
        <f>IF(tblRentRoll[[#This Row],[Annual_Rent_EUR]]&lt;&gt;tblRentRoll[[#This Row],[Jahresrente_EUR]], "FALSCH", "")</f>
        <v/>
      </c>
      <c r="K219" s="1">
        <v>45217</v>
      </c>
      <c r="L219" s="1">
        <v>46900</v>
      </c>
      <c r="M219">
        <v>877.49</v>
      </c>
      <c r="N219">
        <v>1095.25</v>
      </c>
      <c r="O21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19" t="str">
        <f>IF(tblRentRoll[[#This Row],[Area_sqm]]&lt;=0,"Area&lt;=0","")</f>
        <v/>
      </c>
      <c r="Q219" t="str">
        <f>IF(tblRentRoll[[#This Row],[Monthly_Rent_EUR]]&lt;=0,"Rent&lt;=0","")</f>
        <v/>
      </c>
      <c r="R219">
        <f>IF(AND(tblRentRoll[[#This Row],[Status]]="Occupied", tblRentRoll[[#This Row],[Area_sqm]]&gt;0), tblRentRoll[[#This Row],[Annual_Rent_EUR]]/tblRentRoll[[#This Row],[Area_sqm]],"")</f>
        <v>172.86573466476463</v>
      </c>
      <c r="S219">
        <f>tblRentRoll[[#This Row],[Service_Charge_EUR]]+tblRentRoll[[#This Row],[Operating_Cost_EUR]]</f>
        <v>1972.74</v>
      </c>
      <c r="T219">
        <f>IF(tblRentRoll[[#This Row],[Annual_Rent_EUR]]&lt;&gt;0,tblRentRoll[[#This Row],[Annual_Rent_EUR]]-tblRentRoll[[#This Row],[Operating_Cost_EUR]], "")</f>
        <v>120083.63</v>
      </c>
      <c r="U219">
        <f ca="1">IF(AND(tblRentRoll[[#This Row],[Status]]="Occupied",tblRentRoll[[#This Row],[Lease_End]]&gt;=TODAY()),DATEDIF(TODAY(),tblRentRoll[[#This Row],[Lease_End]],"m"), 0)</f>
        <v>26</v>
      </c>
      <c r="V219" t="str">
        <f ca="1">IF(tblRentRoll[[#This Row],[Status]]&lt;&gt;"Occupied","", IF(tblRentRoll[[#This Row],[Month_to_Expiry]]&lt;=3, "0-3 Monaten",  IF(tblRentRoll[[#This Row],[Month_to_Expiry]]&lt;=6, "3-6 Monaten", IF(tblRentRoll[[#This Row],[Month_to_Expiry]]&lt;=12,"6-12 Monaten", IF(tblRentRoll[[#This Row],[Month_to_Expiry]]&gt;=12, "12 M+",)))))</f>
        <v>12 M+</v>
      </c>
      <c r="W219">
        <f>IF(tblRentRoll[[#This Row],[Status]]="Vacant", tblRentRoll[[#This Row],[Area_sqm]],0)</f>
        <v>0</v>
      </c>
      <c r="X219" s="3">
        <f>IF(tblRentRoll[[#This Row],[Status]]="Occupied", tblRentRoll[[#This Row],[Area_sqm]],0)</f>
        <v>701</v>
      </c>
      <c r="Y219" s="3">
        <f ca="1">tblRentRoll[[#This Row],[Month_to_Expiry]]/12*tblRentRoll[[#This Row],[Annual_Rent_EUR]]</f>
        <v>262554.23999999999</v>
      </c>
      <c r="Z219" s="3"/>
    </row>
    <row r="220" spans="1:26" x14ac:dyDescent="0.35">
      <c r="A220" t="s">
        <v>21</v>
      </c>
      <c r="B220" t="s">
        <v>366</v>
      </c>
      <c r="C220" t="s">
        <v>33</v>
      </c>
      <c r="D220">
        <v>1438</v>
      </c>
      <c r="E220" t="s">
        <v>15</v>
      </c>
      <c r="F220" t="s">
        <v>169</v>
      </c>
      <c r="G220">
        <v>17825.34</v>
      </c>
      <c r="H220">
        <v>213904.08</v>
      </c>
      <c r="I220" s="2">
        <f>tblRentRoll[[#This Row],[Monthly_Rent_EUR]]*12</f>
        <v>213904.08000000002</v>
      </c>
      <c r="J220" s="2" t="str">
        <f>IF(tblRentRoll[[#This Row],[Annual_Rent_EUR]]&lt;&gt;tblRentRoll[[#This Row],[Jahresrente_EUR]], "FALSCH", "")</f>
        <v/>
      </c>
      <c r="K220" s="1">
        <v>44677</v>
      </c>
      <c r="L220" s="1">
        <v>45645</v>
      </c>
      <c r="M220">
        <v>3381.73</v>
      </c>
      <c r="N220">
        <v>1049.68</v>
      </c>
      <c r="O22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0" t="str">
        <f>IF(tblRentRoll[[#This Row],[Area_sqm]]&lt;=0,"Area&lt;=0","")</f>
        <v/>
      </c>
      <c r="Q220" t="str">
        <f>IF(tblRentRoll[[#This Row],[Monthly_Rent_EUR]]&lt;=0,"Rent&lt;=0","")</f>
        <v/>
      </c>
      <c r="R220">
        <f>IF(AND(tblRentRoll[[#This Row],[Status]]="Occupied", tblRentRoll[[#This Row],[Area_sqm]]&gt;0), tblRentRoll[[#This Row],[Annual_Rent_EUR]]/tblRentRoll[[#This Row],[Area_sqm]],"")</f>
        <v>148.75109874826146</v>
      </c>
      <c r="S220">
        <f>tblRentRoll[[#This Row],[Service_Charge_EUR]]+tblRentRoll[[#This Row],[Operating_Cost_EUR]]</f>
        <v>4431.41</v>
      </c>
      <c r="T220">
        <f>IF(tblRentRoll[[#This Row],[Annual_Rent_EUR]]&lt;&gt;0,tblRentRoll[[#This Row],[Annual_Rent_EUR]]-tblRentRoll[[#This Row],[Operating_Cost_EUR]], "")</f>
        <v>212854.39999999999</v>
      </c>
      <c r="U220">
        <f ca="1">IF(AND(tblRentRoll[[#This Row],[Status]]="Occupied",tblRentRoll[[#This Row],[Lease_End]]&gt;=TODAY()),DATEDIF(TODAY(),tblRentRoll[[#This Row],[Lease_End]],"m"), 0)</f>
        <v>0</v>
      </c>
      <c r="V220" t="str">
        <f ca="1">IF(tblRentRoll[[#This Row],[Status]]&lt;&gt;"Occupied","", IF(tblRentRoll[[#This Row],[Month_to_Expiry]]&lt;=3, "0-3 Monaten",  IF(tblRentRoll[[#This Row],[Month_to_Expiry]]&lt;=6, "3-6 Monaten", IF(tblRentRoll[[#This Row],[Month_to_Expiry]]&lt;=12,"6-12 Monaten", IF(tblRentRoll[[#This Row],[Month_to_Expiry]]&gt;=12, "12 M+",)))))</f>
        <v>0-3 Monaten</v>
      </c>
      <c r="W220">
        <f>IF(tblRentRoll[[#This Row],[Status]]="Vacant", tblRentRoll[[#This Row],[Area_sqm]],0)</f>
        <v>0</v>
      </c>
      <c r="X220" s="3">
        <f>IF(tblRentRoll[[#This Row],[Status]]="Occupied", tblRentRoll[[#This Row],[Area_sqm]],0)</f>
        <v>1438</v>
      </c>
      <c r="Y220" s="3">
        <f ca="1">tblRentRoll[[#This Row],[Month_to_Expiry]]/12*tblRentRoll[[#This Row],[Annual_Rent_EUR]]</f>
        <v>0</v>
      </c>
      <c r="Z220" s="3"/>
    </row>
    <row r="221" spans="1:26" x14ac:dyDescent="0.35">
      <c r="A221" t="s">
        <v>17</v>
      </c>
      <c r="B221" t="s">
        <v>367</v>
      </c>
      <c r="C221" t="s">
        <v>33</v>
      </c>
      <c r="D221">
        <v>848</v>
      </c>
      <c r="E221" t="s">
        <v>15</v>
      </c>
      <c r="F221" t="s">
        <v>357</v>
      </c>
      <c r="G221">
        <v>5143.63</v>
      </c>
      <c r="H221">
        <v>61723.56</v>
      </c>
      <c r="I221" s="2">
        <f>tblRentRoll[[#This Row],[Monthly_Rent_EUR]]*12</f>
        <v>61723.56</v>
      </c>
      <c r="J221" s="2" t="str">
        <f>IF(tblRentRoll[[#This Row],[Annual_Rent_EUR]]&lt;&gt;tblRentRoll[[#This Row],[Jahresrente_EUR]], "FALSCH", "")</f>
        <v/>
      </c>
      <c r="K221" s="1">
        <v>44639</v>
      </c>
      <c r="L221" s="1">
        <v>45417</v>
      </c>
      <c r="M221">
        <v>2533.9699999999998</v>
      </c>
      <c r="N221">
        <v>1538.63</v>
      </c>
      <c r="O22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1" t="str">
        <f>IF(tblRentRoll[[#This Row],[Area_sqm]]&lt;=0,"Area&lt;=0","")</f>
        <v/>
      </c>
      <c r="Q221" t="str">
        <f>IF(tblRentRoll[[#This Row],[Monthly_Rent_EUR]]&lt;=0,"Rent&lt;=0","")</f>
        <v/>
      </c>
      <c r="R221">
        <f>IF(AND(tblRentRoll[[#This Row],[Status]]="Occupied", tblRentRoll[[#This Row],[Area_sqm]]&gt;0), tblRentRoll[[#This Row],[Annual_Rent_EUR]]/tblRentRoll[[#This Row],[Area_sqm]],"")</f>
        <v>72.787216981132076</v>
      </c>
      <c r="S221">
        <f>tblRentRoll[[#This Row],[Service_Charge_EUR]]+tblRentRoll[[#This Row],[Operating_Cost_EUR]]</f>
        <v>4072.6</v>
      </c>
      <c r="T221">
        <f>IF(tblRentRoll[[#This Row],[Annual_Rent_EUR]]&lt;&gt;0,tblRentRoll[[#This Row],[Annual_Rent_EUR]]-tblRentRoll[[#This Row],[Operating_Cost_EUR]], "")</f>
        <v>60184.93</v>
      </c>
      <c r="U221">
        <f ca="1">IF(AND(tblRentRoll[[#This Row],[Status]]="Occupied",tblRentRoll[[#This Row],[Lease_End]]&gt;=TODAY()),DATEDIF(TODAY(),tblRentRoll[[#This Row],[Lease_End]],"m"), 0)</f>
        <v>0</v>
      </c>
      <c r="V221" t="str">
        <f ca="1">IF(tblRentRoll[[#This Row],[Status]]&lt;&gt;"Occupied","", IF(tblRentRoll[[#This Row],[Month_to_Expiry]]&lt;=3, "0-3 Monaten",  IF(tblRentRoll[[#This Row],[Month_to_Expiry]]&lt;=6, "3-6 Monaten", IF(tblRentRoll[[#This Row],[Month_to_Expiry]]&lt;=12,"6-12 Monaten", IF(tblRentRoll[[#This Row],[Month_to_Expiry]]&gt;=12, "12 M+",)))))</f>
        <v>0-3 Monaten</v>
      </c>
      <c r="W221">
        <f>IF(tblRentRoll[[#This Row],[Status]]="Vacant", tblRentRoll[[#This Row],[Area_sqm]],0)</f>
        <v>0</v>
      </c>
      <c r="X221" s="3">
        <f>IF(tblRentRoll[[#This Row],[Status]]="Occupied", tblRentRoll[[#This Row],[Area_sqm]],0)</f>
        <v>848</v>
      </c>
      <c r="Y221" s="3">
        <f ca="1">tblRentRoll[[#This Row],[Month_to_Expiry]]/12*tblRentRoll[[#This Row],[Annual_Rent_EUR]]</f>
        <v>0</v>
      </c>
      <c r="Z221" s="3"/>
    </row>
    <row r="222" spans="1:26" x14ac:dyDescent="0.35">
      <c r="A222" t="s">
        <v>21</v>
      </c>
      <c r="B222" t="s">
        <v>368</v>
      </c>
      <c r="C222" t="s">
        <v>14</v>
      </c>
      <c r="D222">
        <v>485</v>
      </c>
      <c r="E222" t="s">
        <v>15</v>
      </c>
      <c r="F222" t="s">
        <v>307</v>
      </c>
      <c r="G222">
        <v>5728.47</v>
      </c>
      <c r="H222">
        <v>68741.64</v>
      </c>
      <c r="I222" s="2">
        <f>tblRentRoll[[#This Row],[Monthly_Rent_EUR]]*12</f>
        <v>68741.64</v>
      </c>
      <c r="J222" s="2" t="str">
        <f>IF(tblRentRoll[[#This Row],[Annual_Rent_EUR]]&lt;&gt;tblRentRoll[[#This Row],[Jahresrente_EUR]], "FALSCH", "")</f>
        <v/>
      </c>
      <c r="K222" s="1">
        <v>44505</v>
      </c>
      <c r="L222" s="1">
        <v>44948</v>
      </c>
      <c r="M222">
        <v>975.59</v>
      </c>
      <c r="N222">
        <v>1182.75</v>
      </c>
      <c r="O22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2" t="str">
        <f>IF(tblRentRoll[[#This Row],[Area_sqm]]&lt;=0,"Area&lt;=0","")</f>
        <v/>
      </c>
      <c r="Q222" t="str">
        <f>IF(tblRentRoll[[#This Row],[Monthly_Rent_EUR]]&lt;=0,"Rent&lt;=0","")</f>
        <v/>
      </c>
      <c r="R222">
        <f>IF(AND(tblRentRoll[[#This Row],[Status]]="Occupied", tblRentRoll[[#This Row],[Area_sqm]]&gt;0), tblRentRoll[[#This Row],[Annual_Rent_EUR]]/tblRentRoll[[#This Row],[Area_sqm]],"")</f>
        <v>141.73534020618555</v>
      </c>
      <c r="S222">
        <f>tblRentRoll[[#This Row],[Service_Charge_EUR]]+tblRentRoll[[#This Row],[Operating_Cost_EUR]]</f>
        <v>2158.34</v>
      </c>
      <c r="T222">
        <f>IF(tblRentRoll[[#This Row],[Annual_Rent_EUR]]&lt;&gt;0,tblRentRoll[[#This Row],[Annual_Rent_EUR]]-tblRentRoll[[#This Row],[Operating_Cost_EUR]], "")</f>
        <v>67558.89</v>
      </c>
      <c r="U222">
        <f ca="1">IF(AND(tblRentRoll[[#This Row],[Status]]="Occupied",tblRentRoll[[#This Row],[Lease_End]]&gt;=TODAY()),DATEDIF(TODAY(),tblRentRoll[[#This Row],[Lease_End]],"m"), 0)</f>
        <v>0</v>
      </c>
      <c r="V222" t="str">
        <f ca="1">IF(tblRentRoll[[#This Row],[Status]]&lt;&gt;"Occupied","", IF(tblRentRoll[[#This Row],[Month_to_Expiry]]&lt;=3, "0-3 Monaten",  IF(tblRentRoll[[#This Row],[Month_to_Expiry]]&lt;=6, "3-6 Monaten", IF(tblRentRoll[[#This Row],[Month_to_Expiry]]&lt;=12,"6-12 Monaten", IF(tblRentRoll[[#This Row],[Month_to_Expiry]]&gt;=12, "12 M+",)))))</f>
        <v>0-3 Monaten</v>
      </c>
      <c r="W222">
        <f>IF(tblRentRoll[[#This Row],[Status]]="Vacant", tblRentRoll[[#This Row],[Area_sqm]],0)</f>
        <v>0</v>
      </c>
      <c r="X222" s="3">
        <f>IF(tblRentRoll[[#This Row],[Status]]="Occupied", tblRentRoll[[#This Row],[Area_sqm]],0)</f>
        <v>485</v>
      </c>
      <c r="Y222" s="3">
        <f ca="1">tblRentRoll[[#This Row],[Month_to_Expiry]]/12*tblRentRoll[[#This Row],[Annual_Rent_EUR]]</f>
        <v>0</v>
      </c>
      <c r="Z222" s="3"/>
    </row>
    <row r="223" spans="1:26" x14ac:dyDescent="0.35">
      <c r="A223" t="s">
        <v>24</v>
      </c>
      <c r="B223" t="s">
        <v>369</v>
      </c>
      <c r="C223" t="s">
        <v>29</v>
      </c>
      <c r="D223">
        <v>130</v>
      </c>
      <c r="E223" t="s">
        <v>15</v>
      </c>
      <c r="F223" t="s">
        <v>294</v>
      </c>
      <c r="G223">
        <v>2121.5</v>
      </c>
      <c r="H223">
        <v>25458</v>
      </c>
      <c r="I223" s="2">
        <f>tblRentRoll[[#This Row],[Monthly_Rent_EUR]]*12</f>
        <v>25458</v>
      </c>
      <c r="J223" s="2" t="str">
        <f>IF(tblRentRoll[[#This Row],[Annual_Rent_EUR]]&lt;&gt;tblRentRoll[[#This Row],[Jahresrente_EUR]], "FALSCH", "")</f>
        <v/>
      </c>
      <c r="K223" s="1">
        <v>44620</v>
      </c>
      <c r="L223" s="1">
        <v>45065</v>
      </c>
      <c r="M223">
        <v>334.11</v>
      </c>
      <c r="N223">
        <v>190.1</v>
      </c>
      <c r="O22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3" t="str">
        <f>IF(tblRentRoll[[#This Row],[Area_sqm]]&lt;=0,"Area&lt;=0","")</f>
        <v/>
      </c>
      <c r="Q223" t="str">
        <f>IF(tblRentRoll[[#This Row],[Monthly_Rent_EUR]]&lt;=0,"Rent&lt;=0","")</f>
        <v/>
      </c>
      <c r="R223">
        <f>IF(AND(tblRentRoll[[#This Row],[Status]]="Occupied", tblRentRoll[[#This Row],[Area_sqm]]&gt;0), tblRentRoll[[#This Row],[Annual_Rent_EUR]]/tblRentRoll[[#This Row],[Area_sqm]],"")</f>
        <v>195.83076923076922</v>
      </c>
      <c r="S223">
        <f>tblRentRoll[[#This Row],[Service_Charge_EUR]]+tblRentRoll[[#This Row],[Operating_Cost_EUR]]</f>
        <v>524.21</v>
      </c>
      <c r="T223">
        <f>IF(tblRentRoll[[#This Row],[Annual_Rent_EUR]]&lt;&gt;0,tblRentRoll[[#This Row],[Annual_Rent_EUR]]-tblRentRoll[[#This Row],[Operating_Cost_EUR]], "")</f>
        <v>25267.9</v>
      </c>
      <c r="U223">
        <f ca="1">IF(AND(tblRentRoll[[#This Row],[Status]]="Occupied",tblRentRoll[[#This Row],[Lease_End]]&gt;=TODAY()),DATEDIF(TODAY(),tblRentRoll[[#This Row],[Lease_End]],"m"), 0)</f>
        <v>0</v>
      </c>
      <c r="V223" t="str">
        <f ca="1">IF(tblRentRoll[[#This Row],[Status]]&lt;&gt;"Occupied","", IF(tblRentRoll[[#This Row],[Month_to_Expiry]]&lt;=3, "0-3 Monaten",  IF(tblRentRoll[[#This Row],[Month_to_Expiry]]&lt;=6, "3-6 Monaten", IF(tblRentRoll[[#This Row],[Month_to_Expiry]]&lt;=12,"6-12 Monaten", IF(tblRentRoll[[#This Row],[Month_to_Expiry]]&gt;=12, "12 M+",)))))</f>
        <v>0-3 Monaten</v>
      </c>
      <c r="W223">
        <f>IF(tblRentRoll[[#This Row],[Status]]="Vacant", tblRentRoll[[#This Row],[Area_sqm]],0)</f>
        <v>0</v>
      </c>
      <c r="X223" s="3">
        <f>IF(tblRentRoll[[#This Row],[Status]]="Occupied", tblRentRoll[[#This Row],[Area_sqm]],0)</f>
        <v>130</v>
      </c>
      <c r="Y223" s="3">
        <f ca="1">tblRentRoll[[#This Row],[Month_to_Expiry]]/12*tblRentRoll[[#This Row],[Annual_Rent_EUR]]</f>
        <v>0</v>
      </c>
      <c r="Z223" s="3"/>
    </row>
    <row r="224" spans="1:26" x14ac:dyDescent="0.35">
      <c r="A224" t="s">
        <v>44</v>
      </c>
      <c r="B224" t="s">
        <v>370</v>
      </c>
      <c r="C224" t="s">
        <v>33</v>
      </c>
      <c r="D224">
        <v>1468</v>
      </c>
      <c r="E224" t="s">
        <v>15</v>
      </c>
      <c r="F224" t="s">
        <v>201</v>
      </c>
      <c r="G224">
        <v>19321.05</v>
      </c>
      <c r="H224">
        <v>231852.6</v>
      </c>
      <c r="I224" s="2">
        <f>tblRentRoll[[#This Row],[Monthly_Rent_EUR]]*12</f>
        <v>231852.59999999998</v>
      </c>
      <c r="J224" s="2" t="str">
        <f>IF(tblRentRoll[[#This Row],[Annual_Rent_EUR]]&lt;&gt;tblRentRoll[[#This Row],[Jahresrente_EUR]], "FALSCH", "")</f>
        <v/>
      </c>
      <c r="K224" s="1">
        <v>45072</v>
      </c>
      <c r="L224" s="1">
        <v>46357</v>
      </c>
      <c r="M224">
        <v>1474.02</v>
      </c>
      <c r="N224">
        <v>1438.13</v>
      </c>
      <c r="O22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4" t="str">
        <f>IF(tblRentRoll[[#This Row],[Area_sqm]]&lt;=0,"Area&lt;=0","")</f>
        <v/>
      </c>
      <c r="Q224" t="str">
        <f>IF(tblRentRoll[[#This Row],[Monthly_Rent_EUR]]&lt;=0,"Rent&lt;=0","")</f>
        <v/>
      </c>
      <c r="R224">
        <f>IF(AND(tblRentRoll[[#This Row],[Status]]="Occupied", tblRentRoll[[#This Row],[Area_sqm]]&gt;0), tblRentRoll[[#This Row],[Annual_Rent_EUR]]/tblRentRoll[[#This Row],[Area_sqm]],"")</f>
        <v>157.93773841961854</v>
      </c>
      <c r="S224">
        <f>tblRentRoll[[#This Row],[Service_Charge_EUR]]+tblRentRoll[[#This Row],[Operating_Cost_EUR]]</f>
        <v>2912.15</v>
      </c>
      <c r="T224">
        <f>IF(tblRentRoll[[#This Row],[Annual_Rent_EUR]]&lt;&gt;0,tblRentRoll[[#This Row],[Annual_Rent_EUR]]-tblRentRoll[[#This Row],[Operating_Cost_EUR]], "")</f>
        <v>230414.47</v>
      </c>
      <c r="U224">
        <f ca="1">IF(AND(tblRentRoll[[#This Row],[Status]]="Occupied",tblRentRoll[[#This Row],[Lease_End]]&gt;=TODAY()),DATEDIF(TODAY(),tblRentRoll[[#This Row],[Lease_End]],"m"), 0)</f>
        <v>8</v>
      </c>
      <c r="V224" t="str">
        <f ca="1">IF(tblRentRoll[[#This Row],[Status]]&lt;&gt;"Occupied","", IF(tblRentRoll[[#This Row],[Month_to_Expiry]]&lt;=3, "0-3 Monaten",  IF(tblRentRoll[[#This Row],[Month_to_Expiry]]&lt;=6, "3-6 Monaten", IF(tblRentRoll[[#This Row],[Month_to_Expiry]]&lt;=12,"6-12 Monaten", IF(tblRentRoll[[#This Row],[Month_to_Expiry]]&gt;=12, "12 M+",)))))</f>
        <v>6-12 Monaten</v>
      </c>
      <c r="W224">
        <f>IF(tblRentRoll[[#This Row],[Status]]="Vacant", tblRentRoll[[#This Row],[Area_sqm]],0)</f>
        <v>0</v>
      </c>
      <c r="X224" s="3">
        <f>IF(tblRentRoll[[#This Row],[Status]]="Occupied", tblRentRoll[[#This Row],[Area_sqm]],0)</f>
        <v>1468</v>
      </c>
      <c r="Y224" s="3">
        <f ca="1">tblRentRoll[[#This Row],[Month_to_Expiry]]/12*tblRentRoll[[#This Row],[Annual_Rent_EUR]]</f>
        <v>154568.4</v>
      </c>
      <c r="Z224" s="3"/>
    </row>
    <row r="225" spans="1:26" x14ac:dyDescent="0.35">
      <c r="A225" t="s">
        <v>31</v>
      </c>
      <c r="B225" t="s">
        <v>371</v>
      </c>
      <c r="C225" t="s">
        <v>14</v>
      </c>
      <c r="D225">
        <v>909</v>
      </c>
      <c r="E225" t="s">
        <v>15</v>
      </c>
      <c r="F225" t="s">
        <v>86</v>
      </c>
      <c r="G225">
        <v>8886.81</v>
      </c>
      <c r="H225">
        <v>106641.72</v>
      </c>
      <c r="I225" s="2">
        <f>tblRentRoll[[#This Row],[Monthly_Rent_EUR]]*12</f>
        <v>106641.72</v>
      </c>
      <c r="J225" s="2" t="str">
        <f>IF(tblRentRoll[[#This Row],[Annual_Rent_EUR]]&lt;&gt;tblRentRoll[[#This Row],[Jahresrente_EUR]], "FALSCH", "")</f>
        <v/>
      </c>
      <c r="K225" s="1">
        <v>44324</v>
      </c>
      <c r="L225" s="1">
        <v>44603</v>
      </c>
      <c r="M225">
        <v>2025.1</v>
      </c>
      <c r="N225">
        <v>685.1</v>
      </c>
      <c r="O22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5" t="str">
        <f>IF(tblRentRoll[[#This Row],[Area_sqm]]&lt;=0,"Area&lt;=0","")</f>
        <v/>
      </c>
      <c r="Q225" t="str">
        <f>IF(tblRentRoll[[#This Row],[Monthly_Rent_EUR]]&lt;=0,"Rent&lt;=0","")</f>
        <v/>
      </c>
      <c r="R225">
        <f>IF(AND(tblRentRoll[[#This Row],[Status]]="Occupied", tblRentRoll[[#This Row],[Area_sqm]]&gt;0), tblRentRoll[[#This Row],[Annual_Rent_EUR]]/tblRentRoll[[#This Row],[Area_sqm]],"")</f>
        <v>117.31762376237624</v>
      </c>
      <c r="S225">
        <f>tblRentRoll[[#This Row],[Service_Charge_EUR]]+tblRentRoll[[#This Row],[Operating_Cost_EUR]]</f>
        <v>2710.2</v>
      </c>
      <c r="T225">
        <f>IF(tblRentRoll[[#This Row],[Annual_Rent_EUR]]&lt;&gt;0,tblRentRoll[[#This Row],[Annual_Rent_EUR]]-tblRentRoll[[#This Row],[Operating_Cost_EUR]], "")</f>
        <v>105956.62</v>
      </c>
      <c r="U225">
        <f ca="1">IF(AND(tblRentRoll[[#This Row],[Status]]="Occupied",tblRentRoll[[#This Row],[Lease_End]]&gt;=TODAY()),DATEDIF(TODAY(),tblRentRoll[[#This Row],[Lease_End]],"m"), 0)</f>
        <v>0</v>
      </c>
      <c r="V225" t="str">
        <f ca="1">IF(tblRentRoll[[#This Row],[Status]]&lt;&gt;"Occupied","", IF(tblRentRoll[[#This Row],[Month_to_Expiry]]&lt;=3, "0-3 Monaten",  IF(tblRentRoll[[#This Row],[Month_to_Expiry]]&lt;=6, "3-6 Monaten", IF(tblRentRoll[[#This Row],[Month_to_Expiry]]&lt;=12,"6-12 Monaten", IF(tblRentRoll[[#This Row],[Month_to_Expiry]]&gt;=12, "12 M+",)))))</f>
        <v>0-3 Monaten</v>
      </c>
      <c r="W225">
        <f>IF(tblRentRoll[[#This Row],[Status]]="Vacant", tblRentRoll[[#This Row],[Area_sqm]],0)</f>
        <v>0</v>
      </c>
      <c r="X225" s="3">
        <f>IF(tblRentRoll[[#This Row],[Status]]="Occupied", tblRentRoll[[#This Row],[Area_sqm]],0)</f>
        <v>909</v>
      </c>
      <c r="Y225" s="3">
        <f ca="1">tblRentRoll[[#This Row],[Month_to_Expiry]]/12*tblRentRoll[[#This Row],[Annual_Rent_EUR]]</f>
        <v>0</v>
      </c>
      <c r="Z225" s="3"/>
    </row>
    <row r="226" spans="1:26" x14ac:dyDescent="0.35">
      <c r="A226" t="s">
        <v>12</v>
      </c>
      <c r="B226" t="s">
        <v>372</v>
      </c>
      <c r="C226" t="s">
        <v>19</v>
      </c>
      <c r="D226">
        <v>1060</v>
      </c>
      <c r="E226" t="s">
        <v>15</v>
      </c>
      <c r="F226" t="s">
        <v>177</v>
      </c>
      <c r="G226">
        <v>18311.439999999999</v>
      </c>
      <c r="H226">
        <v>219737.28</v>
      </c>
      <c r="I226" s="2">
        <f>tblRentRoll[[#This Row],[Monthly_Rent_EUR]]*12</f>
        <v>219737.27999999997</v>
      </c>
      <c r="J226" s="2" t="str">
        <f>IF(tblRentRoll[[#This Row],[Annual_Rent_EUR]]&lt;&gt;tblRentRoll[[#This Row],[Jahresrente_EUR]], "FALSCH", "")</f>
        <v/>
      </c>
      <c r="K226" s="1">
        <v>45003</v>
      </c>
      <c r="L226" s="1">
        <v>45391</v>
      </c>
      <c r="M226">
        <v>1672.67</v>
      </c>
      <c r="N226">
        <v>1173.54</v>
      </c>
      <c r="O22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6" t="str">
        <f>IF(tblRentRoll[[#This Row],[Area_sqm]]&lt;=0,"Area&lt;=0","")</f>
        <v/>
      </c>
      <c r="Q226" t="str">
        <f>IF(tblRentRoll[[#This Row],[Monthly_Rent_EUR]]&lt;=0,"Rent&lt;=0","")</f>
        <v/>
      </c>
      <c r="R226">
        <f>IF(AND(tblRentRoll[[#This Row],[Status]]="Occupied", tblRentRoll[[#This Row],[Area_sqm]]&gt;0), tblRentRoll[[#This Row],[Annual_Rent_EUR]]/tblRentRoll[[#This Row],[Area_sqm]],"")</f>
        <v>207.29932075471697</v>
      </c>
      <c r="S226">
        <f>tblRentRoll[[#This Row],[Service_Charge_EUR]]+tblRentRoll[[#This Row],[Operating_Cost_EUR]]</f>
        <v>2846.21</v>
      </c>
      <c r="T226">
        <f>IF(tblRentRoll[[#This Row],[Annual_Rent_EUR]]&lt;&gt;0,tblRentRoll[[#This Row],[Annual_Rent_EUR]]-tblRentRoll[[#This Row],[Operating_Cost_EUR]], "")</f>
        <v>218563.74</v>
      </c>
      <c r="U226">
        <f ca="1">IF(AND(tblRentRoll[[#This Row],[Status]]="Occupied",tblRentRoll[[#This Row],[Lease_End]]&gt;=TODAY()),DATEDIF(TODAY(),tblRentRoll[[#This Row],[Lease_End]],"m"), 0)</f>
        <v>0</v>
      </c>
      <c r="V226" t="str">
        <f ca="1">IF(tblRentRoll[[#This Row],[Status]]&lt;&gt;"Occupied","", IF(tblRentRoll[[#This Row],[Month_to_Expiry]]&lt;=3, "0-3 Monaten",  IF(tblRentRoll[[#This Row],[Month_to_Expiry]]&lt;=6, "3-6 Monaten", IF(tblRentRoll[[#This Row],[Month_to_Expiry]]&lt;=12,"6-12 Monaten", IF(tblRentRoll[[#This Row],[Month_to_Expiry]]&gt;=12, "12 M+",)))))</f>
        <v>0-3 Monaten</v>
      </c>
      <c r="W226">
        <f>IF(tblRentRoll[[#This Row],[Status]]="Vacant", tblRentRoll[[#This Row],[Area_sqm]],0)</f>
        <v>0</v>
      </c>
      <c r="X226" s="3">
        <f>IF(tblRentRoll[[#This Row],[Status]]="Occupied", tblRentRoll[[#This Row],[Area_sqm]],0)</f>
        <v>1060</v>
      </c>
      <c r="Y226" s="3">
        <f ca="1">tblRentRoll[[#This Row],[Month_to_Expiry]]/12*tblRentRoll[[#This Row],[Annual_Rent_EUR]]</f>
        <v>0</v>
      </c>
      <c r="Z226" s="3"/>
    </row>
    <row r="227" spans="1:26" x14ac:dyDescent="0.35">
      <c r="A227" t="s">
        <v>12</v>
      </c>
      <c r="B227" t="s">
        <v>373</v>
      </c>
      <c r="C227" t="s">
        <v>19</v>
      </c>
      <c r="D227">
        <v>971</v>
      </c>
      <c r="E227" t="s">
        <v>15</v>
      </c>
      <c r="F227" t="s">
        <v>374</v>
      </c>
      <c r="G227">
        <v>10015.14</v>
      </c>
      <c r="H227">
        <v>120181.68</v>
      </c>
      <c r="I227" s="2">
        <f>tblRentRoll[[#This Row],[Monthly_Rent_EUR]]*12</f>
        <v>120181.68</v>
      </c>
      <c r="J227" s="2" t="str">
        <f>IF(tblRentRoll[[#This Row],[Annual_Rent_EUR]]&lt;&gt;tblRentRoll[[#This Row],[Jahresrente_EUR]], "FALSCH", "")</f>
        <v/>
      </c>
      <c r="K227" s="1">
        <v>44721</v>
      </c>
      <c r="L227" s="1">
        <v>46227</v>
      </c>
      <c r="M227">
        <v>1353.55</v>
      </c>
      <c r="N227">
        <v>1116.52</v>
      </c>
      <c r="O22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7" t="str">
        <f>IF(tblRentRoll[[#This Row],[Area_sqm]]&lt;=0,"Area&lt;=0","")</f>
        <v/>
      </c>
      <c r="Q227" t="str">
        <f>IF(tblRentRoll[[#This Row],[Monthly_Rent_EUR]]&lt;=0,"Rent&lt;=0","")</f>
        <v/>
      </c>
      <c r="R227">
        <f>IF(AND(tblRentRoll[[#This Row],[Status]]="Occupied", tblRentRoll[[#This Row],[Area_sqm]]&gt;0), tblRentRoll[[#This Row],[Annual_Rent_EUR]]/tblRentRoll[[#This Row],[Area_sqm]],"")</f>
        <v>123.77104016477857</v>
      </c>
      <c r="S227">
        <f>tblRentRoll[[#This Row],[Service_Charge_EUR]]+tblRentRoll[[#This Row],[Operating_Cost_EUR]]</f>
        <v>2470.0699999999997</v>
      </c>
      <c r="T227">
        <f>IF(tblRentRoll[[#This Row],[Annual_Rent_EUR]]&lt;&gt;0,tblRentRoll[[#This Row],[Annual_Rent_EUR]]-tblRentRoll[[#This Row],[Operating_Cost_EUR]], "")</f>
        <v>119065.15999999999</v>
      </c>
      <c r="U227">
        <f ca="1">IF(AND(tblRentRoll[[#This Row],[Status]]="Occupied",tblRentRoll[[#This Row],[Lease_End]]&gt;=TODAY()),DATEDIF(TODAY(),tblRentRoll[[#This Row],[Lease_End]],"m"), 0)</f>
        <v>4</v>
      </c>
      <c r="V227" t="str">
        <f ca="1">IF(tblRentRoll[[#This Row],[Status]]&lt;&gt;"Occupied","", IF(tblRentRoll[[#This Row],[Month_to_Expiry]]&lt;=3, "0-3 Monaten",  IF(tblRentRoll[[#This Row],[Month_to_Expiry]]&lt;=6, "3-6 Monaten", IF(tblRentRoll[[#This Row],[Month_to_Expiry]]&lt;=12,"6-12 Monaten", IF(tblRentRoll[[#This Row],[Month_to_Expiry]]&gt;=12, "12 M+",)))))</f>
        <v>3-6 Monaten</v>
      </c>
      <c r="W227">
        <f>IF(tblRentRoll[[#This Row],[Status]]="Vacant", tblRentRoll[[#This Row],[Area_sqm]],0)</f>
        <v>0</v>
      </c>
      <c r="X227" s="3">
        <f>IF(tblRentRoll[[#This Row],[Status]]="Occupied", tblRentRoll[[#This Row],[Area_sqm]],0)</f>
        <v>971</v>
      </c>
      <c r="Y227" s="3">
        <f ca="1">tblRentRoll[[#This Row],[Month_to_Expiry]]/12*tblRentRoll[[#This Row],[Annual_Rent_EUR]]</f>
        <v>40060.559999999998</v>
      </c>
      <c r="Z227" s="3"/>
    </row>
    <row r="228" spans="1:26" x14ac:dyDescent="0.35">
      <c r="A228" t="s">
        <v>24</v>
      </c>
      <c r="B228" t="s">
        <v>375</v>
      </c>
      <c r="C228" t="s">
        <v>14</v>
      </c>
      <c r="D228">
        <v>692</v>
      </c>
      <c r="E228" t="s">
        <v>15</v>
      </c>
      <c r="F228" t="s">
        <v>124</v>
      </c>
      <c r="G228">
        <v>8867.02</v>
      </c>
      <c r="H228">
        <v>106404.24</v>
      </c>
      <c r="I228" s="2">
        <f>tblRentRoll[[#This Row],[Monthly_Rent_EUR]]*12</f>
        <v>106404.24</v>
      </c>
      <c r="J228" s="2" t="str">
        <f>IF(tblRentRoll[[#This Row],[Annual_Rent_EUR]]&lt;&gt;tblRentRoll[[#This Row],[Jahresrente_EUR]], "FALSCH", "")</f>
        <v/>
      </c>
      <c r="K228" s="1">
        <v>44443</v>
      </c>
      <c r="L228" s="1">
        <v>45677</v>
      </c>
      <c r="M228">
        <v>1038.9000000000001</v>
      </c>
      <c r="N228">
        <v>1623.66</v>
      </c>
      <c r="O22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8" t="str">
        <f>IF(tblRentRoll[[#This Row],[Area_sqm]]&lt;=0,"Area&lt;=0","")</f>
        <v/>
      </c>
      <c r="Q228" t="str">
        <f>IF(tblRentRoll[[#This Row],[Monthly_Rent_EUR]]&lt;=0,"Rent&lt;=0","")</f>
        <v/>
      </c>
      <c r="R228">
        <f>IF(AND(tblRentRoll[[#This Row],[Status]]="Occupied", tblRentRoll[[#This Row],[Area_sqm]]&gt;0), tblRentRoll[[#This Row],[Annual_Rent_EUR]]/tblRentRoll[[#This Row],[Area_sqm]],"")</f>
        <v>153.76335260115607</v>
      </c>
      <c r="S228">
        <f>tblRentRoll[[#This Row],[Service_Charge_EUR]]+tblRentRoll[[#This Row],[Operating_Cost_EUR]]</f>
        <v>2662.5600000000004</v>
      </c>
      <c r="T228">
        <f>IF(tblRentRoll[[#This Row],[Annual_Rent_EUR]]&lt;&gt;0,tblRentRoll[[#This Row],[Annual_Rent_EUR]]-tblRentRoll[[#This Row],[Operating_Cost_EUR]], "")</f>
        <v>104780.58</v>
      </c>
      <c r="U228">
        <f ca="1">IF(AND(tblRentRoll[[#This Row],[Status]]="Occupied",tblRentRoll[[#This Row],[Lease_End]]&gt;=TODAY()),DATEDIF(TODAY(),tblRentRoll[[#This Row],[Lease_End]],"m"), 0)</f>
        <v>0</v>
      </c>
      <c r="V228" t="str">
        <f ca="1">IF(tblRentRoll[[#This Row],[Status]]&lt;&gt;"Occupied","", IF(tblRentRoll[[#This Row],[Month_to_Expiry]]&lt;=3, "0-3 Monaten",  IF(tblRentRoll[[#This Row],[Month_to_Expiry]]&lt;=6, "3-6 Monaten", IF(tblRentRoll[[#This Row],[Month_to_Expiry]]&lt;=12,"6-12 Monaten", IF(tblRentRoll[[#This Row],[Month_to_Expiry]]&gt;=12, "12 M+",)))))</f>
        <v>0-3 Monaten</v>
      </c>
      <c r="W228">
        <f>IF(tblRentRoll[[#This Row],[Status]]="Vacant", tblRentRoll[[#This Row],[Area_sqm]],0)</f>
        <v>0</v>
      </c>
      <c r="X228" s="3">
        <f>IF(tblRentRoll[[#This Row],[Status]]="Occupied", tblRentRoll[[#This Row],[Area_sqm]],0)</f>
        <v>692</v>
      </c>
      <c r="Y228" s="3">
        <f ca="1">tblRentRoll[[#This Row],[Month_to_Expiry]]/12*tblRentRoll[[#This Row],[Annual_Rent_EUR]]</f>
        <v>0</v>
      </c>
      <c r="Z228" s="3"/>
    </row>
    <row r="229" spans="1:26" x14ac:dyDescent="0.35">
      <c r="A229" t="s">
        <v>12</v>
      </c>
      <c r="B229" t="s">
        <v>376</v>
      </c>
      <c r="C229" t="s">
        <v>19</v>
      </c>
      <c r="D229">
        <v>1275</v>
      </c>
      <c r="E229" t="s">
        <v>20</v>
      </c>
      <c r="G229">
        <v>0</v>
      </c>
      <c r="H229">
        <v>0</v>
      </c>
      <c r="I229" s="2">
        <f>tblRentRoll[[#This Row],[Monthly_Rent_EUR]]*12</f>
        <v>0</v>
      </c>
      <c r="J229" s="2" t="str">
        <f>IF(tblRentRoll[[#This Row],[Annual_Rent_EUR]]&lt;&gt;tblRentRoll[[#This Row],[Jahresrente_EUR]], "FALSCH", "")</f>
        <v/>
      </c>
      <c r="M229">
        <v>1870.48</v>
      </c>
      <c r="N229">
        <v>2508.64</v>
      </c>
      <c r="O22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29" t="str">
        <f>IF(tblRentRoll[[#This Row],[Area_sqm]]&lt;=0,"Area&lt;=0","")</f>
        <v/>
      </c>
      <c r="Q229" t="str">
        <f>IF(tblRentRoll[[#This Row],[Monthly_Rent_EUR]]&lt;=0,"Rent&lt;=0","")</f>
        <v>Rent&lt;=0</v>
      </c>
      <c r="R229" t="str">
        <f>IF(AND(tblRentRoll[[#This Row],[Status]]="Occupied", tblRentRoll[[#This Row],[Area_sqm]]&gt;0), tblRentRoll[[#This Row],[Annual_Rent_EUR]]/tblRentRoll[[#This Row],[Area_sqm]],"")</f>
        <v/>
      </c>
      <c r="S229">
        <f>tblRentRoll[[#This Row],[Service_Charge_EUR]]+tblRentRoll[[#This Row],[Operating_Cost_EUR]]</f>
        <v>4379.12</v>
      </c>
      <c r="T229" t="str">
        <f>IF(tblRentRoll[[#This Row],[Annual_Rent_EUR]]&lt;&gt;0,tblRentRoll[[#This Row],[Annual_Rent_EUR]]-tblRentRoll[[#This Row],[Operating_Cost_EUR]], "")</f>
        <v/>
      </c>
      <c r="U229">
        <f ca="1">IF(AND(tblRentRoll[[#This Row],[Status]]="Occupied",tblRentRoll[[#This Row],[Lease_End]]&gt;=TODAY()),DATEDIF(TODAY(),tblRentRoll[[#This Row],[Lease_End]],"m"), 0)</f>
        <v>0</v>
      </c>
      <c r="V229" t="str">
        <f>IF(tblRentRoll[[#This Row],[Status]]&lt;&gt;"Occupied","", IF(tblRentRoll[[#This Row],[Month_to_Expiry]]&lt;=3, "0-3 Monaten",  IF(tblRentRoll[[#This Row],[Month_to_Expiry]]&lt;=6, "3-6 Monaten", IF(tblRentRoll[[#This Row],[Month_to_Expiry]]&lt;=12,"6-12 Monaten", IF(tblRentRoll[[#This Row],[Month_to_Expiry]]&gt;=12, "12 M+",)))))</f>
        <v/>
      </c>
      <c r="W229">
        <f>IF(tblRentRoll[[#This Row],[Status]]="Vacant", tblRentRoll[[#This Row],[Area_sqm]],0)</f>
        <v>1275</v>
      </c>
      <c r="X229" s="3">
        <f>IF(tblRentRoll[[#This Row],[Status]]="Occupied", tblRentRoll[[#This Row],[Area_sqm]],0)</f>
        <v>0</v>
      </c>
      <c r="Y229" s="3">
        <f ca="1">tblRentRoll[[#This Row],[Month_to_Expiry]]/12*tblRentRoll[[#This Row],[Annual_Rent_EUR]]</f>
        <v>0</v>
      </c>
      <c r="Z229" s="3"/>
    </row>
    <row r="230" spans="1:26" x14ac:dyDescent="0.35">
      <c r="A230" t="s">
        <v>24</v>
      </c>
      <c r="B230" t="s">
        <v>377</v>
      </c>
      <c r="C230" t="s">
        <v>19</v>
      </c>
      <c r="D230">
        <v>1317</v>
      </c>
      <c r="E230" t="s">
        <v>15</v>
      </c>
      <c r="F230" t="s">
        <v>164</v>
      </c>
      <c r="G230">
        <v>22950.58</v>
      </c>
      <c r="H230">
        <v>275406.96000000002</v>
      </c>
      <c r="I230" s="2">
        <f>tblRentRoll[[#This Row],[Monthly_Rent_EUR]]*12</f>
        <v>275406.96000000002</v>
      </c>
      <c r="J230" s="2" t="str">
        <f>IF(tblRentRoll[[#This Row],[Annual_Rent_EUR]]&lt;&gt;tblRentRoll[[#This Row],[Jahresrente_EUR]], "FALSCH", "")</f>
        <v/>
      </c>
      <c r="K230" s="1">
        <v>44578</v>
      </c>
      <c r="L230" s="1">
        <v>45271</v>
      </c>
      <c r="M230">
        <v>3833.91</v>
      </c>
      <c r="N230">
        <v>931.14</v>
      </c>
      <c r="O23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0" t="str">
        <f>IF(tblRentRoll[[#This Row],[Area_sqm]]&lt;=0,"Area&lt;=0","")</f>
        <v/>
      </c>
      <c r="Q230" t="str">
        <f>IF(tblRentRoll[[#This Row],[Monthly_Rent_EUR]]&lt;=0,"Rent&lt;=0","")</f>
        <v/>
      </c>
      <c r="R230">
        <f>IF(AND(tblRentRoll[[#This Row],[Status]]="Occupied", tblRentRoll[[#This Row],[Area_sqm]]&gt;0), tblRentRoll[[#This Row],[Annual_Rent_EUR]]/tblRentRoll[[#This Row],[Area_sqm]],"")</f>
        <v>209.11690205011391</v>
      </c>
      <c r="S230">
        <f>tblRentRoll[[#This Row],[Service_Charge_EUR]]+tblRentRoll[[#This Row],[Operating_Cost_EUR]]</f>
        <v>4765.05</v>
      </c>
      <c r="T230">
        <f>IF(tblRentRoll[[#This Row],[Annual_Rent_EUR]]&lt;&gt;0,tblRentRoll[[#This Row],[Annual_Rent_EUR]]-tblRentRoll[[#This Row],[Operating_Cost_EUR]], "")</f>
        <v>274475.82</v>
      </c>
      <c r="U230">
        <f ca="1">IF(AND(tblRentRoll[[#This Row],[Status]]="Occupied",tblRentRoll[[#This Row],[Lease_End]]&gt;=TODAY()),DATEDIF(TODAY(),tblRentRoll[[#This Row],[Lease_End]],"m"), 0)</f>
        <v>0</v>
      </c>
      <c r="V230" t="str">
        <f ca="1">IF(tblRentRoll[[#This Row],[Status]]&lt;&gt;"Occupied","", IF(tblRentRoll[[#This Row],[Month_to_Expiry]]&lt;=3, "0-3 Monaten",  IF(tblRentRoll[[#This Row],[Month_to_Expiry]]&lt;=6, "3-6 Monaten", IF(tblRentRoll[[#This Row],[Month_to_Expiry]]&lt;=12,"6-12 Monaten", IF(tblRentRoll[[#This Row],[Month_to_Expiry]]&gt;=12, "12 M+",)))))</f>
        <v>0-3 Monaten</v>
      </c>
      <c r="W230">
        <f>IF(tblRentRoll[[#This Row],[Status]]="Vacant", tblRentRoll[[#This Row],[Area_sqm]],0)</f>
        <v>0</v>
      </c>
      <c r="X230" s="3">
        <f>IF(tblRentRoll[[#This Row],[Status]]="Occupied", tblRentRoll[[#This Row],[Area_sqm]],0)</f>
        <v>1317</v>
      </c>
      <c r="Y230" s="3">
        <f ca="1">tblRentRoll[[#This Row],[Month_to_Expiry]]/12*tblRentRoll[[#This Row],[Annual_Rent_EUR]]</f>
        <v>0</v>
      </c>
      <c r="Z230" s="3"/>
    </row>
    <row r="231" spans="1:26" x14ac:dyDescent="0.35">
      <c r="A231" t="s">
        <v>31</v>
      </c>
      <c r="B231" t="s">
        <v>378</v>
      </c>
      <c r="C231" t="s">
        <v>29</v>
      </c>
      <c r="D231">
        <v>861</v>
      </c>
      <c r="E231" t="s">
        <v>15</v>
      </c>
      <c r="F231" t="s">
        <v>319</v>
      </c>
      <c r="G231">
        <v>7278.1</v>
      </c>
      <c r="H231">
        <v>87337.2</v>
      </c>
      <c r="I231" s="2">
        <f>tblRentRoll[[#This Row],[Monthly_Rent_EUR]]*12</f>
        <v>87337.200000000012</v>
      </c>
      <c r="J231" s="2" t="str">
        <f>IF(tblRentRoll[[#This Row],[Annual_Rent_EUR]]&lt;&gt;tblRentRoll[[#This Row],[Jahresrente_EUR]], "FALSCH", "")</f>
        <v/>
      </c>
      <c r="K231" s="1">
        <v>44975</v>
      </c>
      <c r="L231" s="1">
        <v>45162</v>
      </c>
      <c r="M231">
        <v>2075.2199999999998</v>
      </c>
      <c r="N231">
        <v>1798.75</v>
      </c>
      <c r="O23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1" t="str">
        <f>IF(tblRentRoll[[#This Row],[Area_sqm]]&lt;=0,"Area&lt;=0","")</f>
        <v/>
      </c>
      <c r="Q231" t="str">
        <f>IF(tblRentRoll[[#This Row],[Monthly_Rent_EUR]]&lt;=0,"Rent&lt;=0","")</f>
        <v/>
      </c>
      <c r="R231">
        <f>IF(AND(tblRentRoll[[#This Row],[Status]]="Occupied", tblRentRoll[[#This Row],[Area_sqm]]&gt;0), tblRentRoll[[#This Row],[Annual_Rent_EUR]]/tblRentRoll[[#This Row],[Area_sqm]],"")</f>
        <v>101.4369337979094</v>
      </c>
      <c r="S231">
        <f>tblRentRoll[[#This Row],[Service_Charge_EUR]]+tblRentRoll[[#This Row],[Operating_Cost_EUR]]</f>
        <v>3873.97</v>
      </c>
      <c r="T231">
        <f>IF(tblRentRoll[[#This Row],[Annual_Rent_EUR]]&lt;&gt;0,tblRentRoll[[#This Row],[Annual_Rent_EUR]]-tblRentRoll[[#This Row],[Operating_Cost_EUR]], "")</f>
        <v>85538.45</v>
      </c>
      <c r="U231">
        <f ca="1">IF(AND(tblRentRoll[[#This Row],[Status]]="Occupied",tblRentRoll[[#This Row],[Lease_End]]&gt;=TODAY()),DATEDIF(TODAY(),tblRentRoll[[#This Row],[Lease_End]],"m"), 0)</f>
        <v>0</v>
      </c>
      <c r="V231" t="str">
        <f ca="1">IF(tblRentRoll[[#This Row],[Status]]&lt;&gt;"Occupied","", IF(tblRentRoll[[#This Row],[Month_to_Expiry]]&lt;=3, "0-3 Monaten",  IF(tblRentRoll[[#This Row],[Month_to_Expiry]]&lt;=6, "3-6 Monaten", IF(tblRentRoll[[#This Row],[Month_to_Expiry]]&lt;=12,"6-12 Monaten", IF(tblRentRoll[[#This Row],[Month_to_Expiry]]&gt;=12, "12 M+",)))))</f>
        <v>0-3 Monaten</v>
      </c>
      <c r="W231">
        <f>IF(tblRentRoll[[#This Row],[Status]]="Vacant", tblRentRoll[[#This Row],[Area_sqm]],0)</f>
        <v>0</v>
      </c>
      <c r="X231" s="3">
        <f>IF(tblRentRoll[[#This Row],[Status]]="Occupied", tblRentRoll[[#This Row],[Area_sqm]],0)</f>
        <v>861</v>
      </c>
      <c r="Y231" s="3">
        <f ca="1">tblRentRoll[[#This Row],[Month_to_Expiry]]/12*tblRentRoll[[#This Row],[Annual_Rent_EUR]]</f>
        <v>0</v>
      </c>
      <c r="Z231" s="3"/>
    </row>
    <row r="232" spans="1:26" x14ac:dyDescent="0.35">
      <c r="A232" t="s">
        <v>17</v>
      </c>
      <c r="B232" t="s">
        <v>379</v>
      </c>
      <c r="C232" t="s">
        <v>29</v>
      </c>
      <c r="D232">
        <v>870</v>
      </c>
      <c r="E232" t="s">
        <v>20</v>
      </c>
      <c r="G232">
        <v>0</v>
      </c>
      <c r="H232">
        <v>0</v>
      </c>
      <c r="I232" s="2">
        <f>tblRentRoll[[#This Row],[Monthly_Rent_EUR]]*12</f>
        <v>0</v>
      </c>
      <c r="J232" s="2" t="str">
        <f>IF(tblRentRoll[[#This Row],[Annual_Rent_EUR]]&lt;&gt;tblRentRoll[[#This Row],[Jahresrente_EUR]], "FALSCH", "")</f>
        <v/>
      </c>
      <c r="M232">
        <v>2583.94</v>
      </c>
      <c r="N232">
        <v>1783.89</v>
      </c>
      <c r="O23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2" t="str">
        <f>IF(tblRentRoll[[#This Row],[Area_sqm]]&lt;=0,"Area&lt;=0","")</f>
        <v/>
      </c>
      <c r="Q232" t="str">
        <f>IF(tblRentRoll[[#This Row],[Monthly_Rent_EUR]]&lt;=0,"Rent&lt;=0","")</f>
        <v>Rent&lt;=0</v>
      </c>
      <c r="R232" t="str">
        <f>IF(AND(tblRentRoll[[#This Row],[Status]]="Occupied", tblRentRoll[[#This Row],[Area_sqm]]&gt;0), tblRentRoll[[#This Row],[Annual_Rent_EUR]]/tblRentRoll[[#This Row],[Area_sqm]],"")</f>
        <v/>
      </c>
      <c r="S232">
        <f>tblRentRoll[[#This Row],[Service_Charge_EUR]]+tblRentRoll[[#This Row],[Operating_Cost_EUR]]</f>
        <v>4367.83</v>
      </c>
      <c r="T232" t="str">
        <f>IF(tblRentRoll[[#This Row],[Annual_Rent_EUR]]&lt;&gt;0,tblRentRoll[[#This Row],[Annual_Rent_EUR]]-tblRentRoll[[#This Row],[Operating_Cost_EUR]], "")</f>
        <v/>
      </c>
      <c r="U232">
        <f ca="1">IF(AND(tblRentRoll[[#This Row],[Status]]="Occupied",tblRentRoll[[#This Row],[Lease_End]]&gt;=TODAY()),DATEDIF(TODAY(),tblRentRoll[[#This Row],[Lease_End]],"m"), 0)</f>
        <v>0</v>
      </c>
      <c r="V232" t="str">
        <f>IF(tblRentRoll[[#This Row],[Status]]&lt;&gt;"Occupied","", IF(tblRentRoll[[#This Row],[Month_to_Expiry]]&lt;=3, "0-3 Monaten",  IF(tblRentRoll[[#This Row],[Month_to_Expiry]]&lt;=6, "3-6 Monaten", IF(tblRentRoll[[#This Row],[Month_to_Expiry]]&lt;=12,"6-12 Monaten", IF(tblRentRoll[[#This Row],[Month_to_Expiry]]&gt;=12, "12 M+",)))))</f>
        <v/>
      </c>
      <c r="W232">
        <f>IF(tblRentRoll[[#This Row],[Status]]="Vacant", tblRentRoll[[#This Row],[Area_sqm]],0)</f>
        <v>870</v>
      </c>
      <c r="X232" s="3">
        <f>IF(tblRentRoll[[#This Row],[Status]]="Occupied", tblRentRoll[[#This Row],[Area_sqm]],0)</f>
        <v>0</v>
      </c>
      <c r="Y232" s="3">
        <f ca="1">tblRentRoll[[#This Row],[Month_to_Expiry]]/12*tblRentRoll[[#This Row],[Annual_Rent_EUR]]</f>
        <v>0</v>
      </c>
      <c r="Z232" s="3"/>
    </row>
    <row r="233" spans="1:26" x14ac:dyDescent="0.35">
      <c r="A233" t="s">
        <v>31</v>
      </c>
      <c r="B233" t="s">
        <v>380</v>
      </c>
      <c r="C233" t="s">
        <v>29</v>
      </c>
      <c r="D233">
        <v>320</v>
      </c>
      <c r="E233" t="s">
        <v>15</v>
      </c>
      <c r="F233" t="s">
        <v>381</v>
      </c>
      <c r="G233">
        <v>3240.91</v>
      </c>
      <c r="H233">
        <v>38890.92</v>
      </c>
      <c r="I233" s="2">
        <f>tblRentRoll[[#This Row],[Monthly_Rent_EUR]]*12</f>
        <v>38890.92</v>
      </c>
      <c r="J233" s="2" t="str">
        <f>IF(tblRentRoll[[#This Row],[Annual_Rent_EUR]]&lt;&gt;tblRentRoll[[#This Row],[Jahresrente_EUR]], "FALSCH", "")</f>
        <v/>
      </c>
      <c r="K233" s="1">
        <v>44614</v>
      </c>
      <c r="L233" s="1">
        <v>46230</v>
      </c>
      <c r="M233">
        <v>680.39</v>
      </c>
      <c r="N233">
        <v>564.66999999999996</v>
      </c>
      <c r="O23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3" t="str">
        <f>IF(tblRentRoll[[#This Row],[Area_sqm]]&lt;=0,"Area&lt;=0","")</f>
        <v/>
      </c>
      <c r="Q233" t="str">
        <f>IF(tblRentRoll[[#This Row],[Monthly_Rent_EUR]]&lt;=0,"Rent&lt;=0","")</f>
        <v/>
      </c>
      <c r="R233">
        <f>IF(AND(tblRentRoll[[#This Row],[Status]]="Occupied", tblRentRoll[[#This Row],[Area_sqm]]&gt;0), tblRentRoll[[#This Row],[Annual_Rent_EUR]]/tblRentRoll[[#This Row],[Area_sqm]],"")</f>
        <v>121.53412499999999</v>
      </c>
      <c r="S233">
        <f>tblRentRoll[[#This Row],[Service_Charge_EUR]]+tblRentRoll[[#This Row],[Operating_Cost_EUR]]</f>
        <v>1245.06</v>
      </c>
      <c r="T233">
        <f>IF(tblRentRoll[[#This Row],[Annual_Rent_EUR]]&lt;&gt;0,tblRentRoll[[#This Row],[Annual_Rent_EUR]]-tblRentRoll[[#This Row],[Operating_Cost_EUR]], "")</f>
        <v>38326.25</v>
      </c>
      <c r="U233">
        <f ca="1">IF(AND(tblRentRoll[[#This Row],[Status]]="Occupied",tblRentRoll[[#This Row],[Lease_End]]&gt;=TODAY()),DATEDIF(TODAY(),tblRentRoll[[#This Row],[Lease_End]],"m"), 0)</f>
        <v>4</v>
      </c>
      <c r="V233" t="str">
        <f ca="1">IF(tblRentRoll[[#This Row],[Status]]&lt;&gt;"Occupied","", IF(tblRentRoll[[#This Row],[Month_to_Expiry]]&lt;=3, "0-3 Monaten",  IF(tblRentRoll[[#This Row],[Month_to_Expiry]]&lt;=6, "3-6 Monaten", IF(tblRentRoll[[#This Row],[Month_to_Expiry]]&lt;=12,"6-12 Monaten", IF(tblRentRoll[[#This Row],[Month_to_Expiry]]&gt;=12, "12 M+",)))))</f>
        <v>3-6 Monaten</v>
      </c>
      <c r="W233">
        <f>IF(tblRentRoll[[#This Row],[Status]]="Vacant", tblRentRoll[[#This Row],[Area_sqm]],0)</f>
        <v>0</v>
      </c>
      <c r="X233" s="3">
        <f>IF(tblRentRoll[[#This Row],[Status]]="Occupied", tblRentRoll[[#This Row],[Area_sqm]],0)</f>
        <v>320</v>
      </c>
      <c r="Y233" s="3">
        <f ca="1">tblRentRoll[[#This Row],[Month_to_Expiry]]/12*tblRentRoll[[#This Row],[Annual_Rent_EUR]]</f>
        <v>12963.64</v>
      </c>
      <c r="Z233" s="3"/>
    </row>
    <row r="234" spans="1:26" x14ac:dyDescent="0.35">
      <c r="A234" t="s">
        <v>12</v>
      </c>
      <c r="B234" t="s">
        <v>382</v>
      </c>
      <c r="C234" t="s">
        <v>33</v>
      </c>
      <c r="D234">
        <v>985</v>
      </c>
      <c r="E234" t="s">
        <v>15</v>
      </c>
      <c r="F234" t="s">
        <v>177</v>
      </c>
      <c r="G234">
        <v>7078.44</v>
      </c>
      <c r="H234">
        <v>84941.28</v>
      </c>
      <c r="I234" s="2">
        <f>tblRentRoll[[#This Row],[Monthly_Rent_EUR]]*12</f>
        <v>84941.28</v>
      </c>
      <c r="J234" s="2" t="str">
        <f>IF(tblRentRoll[[#This Row],[Annual_Rent_EUR]]&lt;&gt;tblRentRoll[[#This Row],[Jahresrente_EUR]], "FALSCH", "")</f>
        <v/>
      </c>
      <c r="K234" s="1">
        <v>44545</v>
      </c>
      <c r="L234" s="1">
        <v>46329</v>
      </c>
      <c r="M234">
        <v>2236.4899999999998</v>
      </c>
      <c r="N234">
        <v>2319.52</v>
      </c>
      <c r="O23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4" t="str">
        <f>IF(tblRentRoll[[#This Row],[Area_sqm]]&lt;=0,"Area&lt;=0","")</f>
        <v/>
      </c>
      <c r="Q234" t="str">
        <f>IF(tblRentRoll[[#This Row],[Monthly_Rent_EUR]]&lt;=0,"Rent&lt;=0","")</f>
        <v/>
      </c>
      <c r="R234">
        <f>IF(AND(tblRentRoll[[#This Row],[Status]]="Occupied", tblRentRoll[[#This Row],[Area_sqm]]&gt;0), tblRentRoll[[#This Row],[Annual_Rent_EUR]]/tblRentRoll[[#This Row],[Area_sqm]],"")</f>
        <v>86.234802030456848</v>
      </c>
      <c r="S234">
        <f>tblRentRoll[[#This Row],[Service_Charge_EUR]]+tblRentRoll[[#This Row],[Operating_Cost_EUR]]</f>
        <v>4556.01</v>
      </c>
      <c r="T234">
        <f>IF(tblRentRoll[[#This Row],[Annual_Rent_EUR]]&lt;&gt;0,tblRentRoll[[#This Row],[Annual_Rent_EUR]]-tblRentRoll[[#This Row],[Operating_Cost_EUR]], "")</f>
        <v>82621.759999999995</v>
      </c>
      <c r="U234">
        <f ca="1">IF(AND(tblRentRoll[[#This Row],[Status]]="Occupied",tblRentRoll[[#This Row],[Lease_End]]&gt;=TODAY()),DATEDIF(TODAY(),tblRentRoll[[#This Row],[Lease_End]],"m"), 0)</f>
        <v>7</v>
      </c>
      <c r="V234" t="str">
        <f ca="1">IF(tblRentRoll[[#This Row],[Status]]&lt;&gt;"Occupied","", IF(tblRentRoll[[#This Row],[Month_to_Expiry]]&lt;=3, "0-3 Monaten",  IF(tblRentRoll[[#This Row],[Month_to_Expiry]]&lt;=6, "3-6 Monaten", IF(tblRentRoll[[#This Row],[Month_to_Expiry]]&lt;=12,"6-12 Monaten", IF(tblRentRoll[[#This Row],[Month_to_Expiry]]&gt;=12, "12 M+",)))))</f>
        <v>6-12 Monaten</v>
      </c>
      <c r="W234">
        <f>IF(tblRentRoll[[#This Row],[Status]]="Vacant", tblRentRoll[[#This Row],[Area_sqm]],0)</f>
        <v>0</v>
      </c>
      <c r="X234" s="3">
        <f>IF(tblRentRoll[[#This Row],[Status]]="Occupied", tblRentRoll[[#This Row],[Area_sqm]],0)</f>
        <v>985</v>
      </c>
      <c r="Y234" s="3">
        <f ca="1">tblRentRoll[[#This Row],[Month_to_Expiry]]/12*tblRentRoll[[#This Row],[Annual_Rent_EUR]]</f>
        <v>49549.08</v>
      </c>
      <c r="Z234" s="3"/>
    </row>
    <row r="235" spans="1:26" x14ac:dyDescent="0.35">
      <c r="A235" t="s">
        <v>31</v>
      </c>
      <c r="B235" t="s">
        <v>383</v>
      </c>
      <c r="C235" t="s">
        <v>29</v>
      </c>
      <c r="D235">
        <v>1275</v>
      </c>
      <c r="E235" t="s">
        <v>15</v>
      </c>
      <c r="F235" t="s">
        <v>233</v>
      </c>
      <c r="G235">
        <v>17154.490000000002</v>
      </c>
      <c r="H235">
        <v>205853.88</v>
      </c>
      <c r="I235" s="2">
        <f>tblRentRoll[[#This Row],[Monthly_Rent_EUR]]*12</f>
        <v>205853.88</v>
      </c>
      <c r="J235" s="2" t="str">
        <f>IF(tblRentRoll[[#This Row],[Annual_Rent_EUR]]&lt;&gt;tblRentRoll[[#This Row],[Jahresrente_EUR]], "FALSCH", "")</f>
        <v/>
      </c>
      <c r="K235" s="1">
        <v>45098</v>
      </c>
      <c r="L235" s="1">
        <v>45612</v>
      </c>
      <c r="M235">
        <v>2336.5300000000002</v>
      </c>
      <c r="N235">
        <v>1047.57</v>
      </c>
      <c r="O23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5" t="str">
        <f>IF(tblRentRoll[[#This Row],[Area_sqm]]&lt;=0,"Area&lt;=0","")</f>
        <v/>
      </c>
      <c r="Q235" t="str">
        <f>IF(tblRentRoll[[#This Row],[Monthly_Rent_EUR]]&lt;=0,"Rent&lt;=0","")</f>
        <v/>
      </c>
      <c r="R235">
        <f>IF(AND(tblRentRoll[[#This Row],[Status]]="Occupied", tblRentRoll[[#This Row],[Area_sqm]]&gt;0), tblRentRoll[[#This Row],[Annual_Rent_EUR]]/tblRentRoll[[#This Row],[Area_sqm]],"")</f>
        <v>161.45402352941176</v>
      </c>
      <c r="S235">
        <f>tblRentRoll[[#This Row],[Service_Charge_EUR]]+tblRentRoll[[#This Row],[Operating_Cost_EUR]]</f>
        <v>3384.1000000000004</v>
      </c>
      <c r="T235">
        <f>IF(tblRentRoll[[#This Row],[Annual_Rent_EUR]]&lt;&gt;0,tblRentRoll[[#This Row],[Annual_Rent_EUR]]-tblRentRoll[[#This Row],[Operating_Cost_EUR]], "")</f>
        <v>204806.31</v>
      </c>
      <c r="U235">
        <f ca="1">IF(AND(tblRentRoll[[#This Row],[Status]]="Occupied",tblRentRoll[[#This Row],[Lease_End]]&gt;=TODAY()),DATEDIF(TODAY(),tblRentRoll[[#This Row],[Lease_End]],"m"), 0)</f>
        <v>0</v>
      </c>
      <c r="V235" t="str">
        <f ca="1">IF(tblRentRoll[[#This Row],[Status]]&lt;&gt;"Occupied","", IF(tblRentRoll[[#This Row],[Month_to_Expiry]]&lt;=3, "0-3 Monaten",  IF(tblRentRoll[[#This Row],[Month_to_Expiry]]&lt;=6, "3-6 Monaten", IF(tblRentRoll[[#This Row],[Month_to_Expiry]]&lt;=12,"6-12 Monaten", IF(tblRentRoll[[#This Row],[Month_to_Expiry]]&gt;=12, "12 M+",)))))</f>
        <v>0-3 Monaten</v>
      </c>
      <c r="W235">
        <f>IF(tblRentRoll[[#This Row],[Status]]="Vacant", tblRentRoll[[#This Row],[Area_sqm]],0)</f>
        <v>0</v>
      </c>
      <c r="X235" s="3">
        <f>IF(tblRentRoll[[#This Row],[Status]]="Occupied", tblRentRoll[[#This Row],[Area_sqm]],0)</f>
        <v>1275</v>
      </c>
      <c r="Y235" s="3">
        <f ca="1">tblRentRoll[[#This Row],[Month_to_Expiry]]/12*tblRentRoll[[#This Row],[Annual_Rent_EUR]]</f>
        <v>0</v>
      </c>
      <c r="Z235" s="3"/>
    </row>
    <row r="236" spans="1:26" x14ac:dyDescent="0.35">
      <c r="A236" t="s">
        <v>27</v>
      </c>
      <c r="B236" t="s">
        <v>384</v>
      </c>
      <c r="C236" t="s">
        <v>19</v>
      </c>
      <c r="D236">
        <v>667</v>
      </c>
      <c r="E236" t="s">
        <v>15</v>
      </c>
      <c r="F236" t="s">
        <v>74</v>
      </c>
      <c r="G236">
        <v>11218.99</v>
      </c>
      <c r="H236">
        <v>134627.88</v>
      </c>
      <c r="I236" s="2">
        <f>tblRentRoll[[#This Row],[Monthly_Rent_EUR]]*12</f>
        <v>134627.88</v>
      </c>
      <c r="J236" s="2" t="str">
        <f>IF(tblRentRoll[[#This Row],[Annual_Rent_EUR]]&lt;&gt;tblRentRoll[[#This Row],[Jahresrente_EUR]], "FALSCH", "")</f>
        <v/>
      </c>
      <c r="K236" s="1">
        <v>44503</v>
      </c>
      <c r="L236" s="1">
        <v>45155</v>
      </c>
      <c r="M236">
        <v>1245.32</v>
      </c>
      <c r="N236">
        <v>1037.68</v>
      </c>
      <c r="O23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6" t="str">
        <f>IF(tblRentRoll[[#This Row],[Area_sqm]]&lt;=0,"Area&lt;=0","")</f>
        <v/>
      </c>
      <c r="Q236" t="str">
        <f>IF(tblRentRoll[[#This Row],[Monthly_Rent_EUR]]&lt;=0,"Rent&lt;=0","")</f>
        <v/>
      </c>
      <c r="R236">
        <f>IF(AND(tblRentRoll[[#This Row],[Status]]="Occupied", tblRentRoll[[#This Row],[Area_sqm]]&gt;0), tblRentRoll[[#This Row],[Annual_Rent_EUR]]/tblRentRoll[[#This Row],[Area_sqm]],"")</f>
        <v>201.84089955022489</v>
      </c>
      <c r="S236">
        <f>tblRentRoll[[#This Row],[Service_Charge_EUR]]+tblRentRoll[[#This Row],[Operating_Cost_EUR]]</f>
        <v>2283</v>
      </c>
      <c r="T236">
        <f>IF(tblRentRoll[[#This Row],[Annual_Rent_EUR]]&lt;&gt;0,tblRentRoll[[#This Row],[Annual_Rent_EUR]]-tblRentRoll[[#This Row],[Operating_Cost_EUR]], "")</f>
        <v>133590.20000000001</v>
      </c>
      <c r="U236">
        <f ca="1">IF(AND(tblRentRoll[[#This Row],[Status]]="Occupied",tblRentRoll[[#This Row],[Lease_End]]&gt;=TODAY()),DATEDIF(TODAY(),tblRentRoll[[#This Row],[Lease_End]],"m"), 0)</f>
        <v>0</v>
      </c>
      <c r="V236" t="str">
        <f ca="1">IF(tblRentRoll[[#This Row],[Status]]&lt;&gt;"Occupied","", IF(tblRentRoll[[#This Row],[Month_to_Expiry]]&lt;=3, "0-3 Monaten",  IF(tblRentRoll[[#This Row],[Month_to_Expiry]]&lt;=6, "3-6 Monaten", IF(tblRentRoll[[#This Row],[Month_to_Expiry]]&lt;=12,"6-12 Monaten", IF(tblRentRoll[[#This Row],[Month_to_Expiry]]&gt;=12, "12 M+",)))))</f>
        <v>0-3 Monaten</v>
      </c>
      <c r="W236">
        <f>IF(tblRentRoll[[#This Row],[Status]]="Vacant", tblRentRoll[[#This Row],[Area_sqm]],0)</f>
        <v>0</v>
      </c>
      <c r="X236" s="3">
        <f>IF(tblRentRoll[[#This Row],[Status]]="Occupied", tblRentRoll[[#This Row],[Area_sqm]],0)</f>
        <v>667</v>
      </c>
      <c r="Y236" s="3">
        <f ca="1">tblRentRoll[[#This Row],[Month_to_Expiry]]/12*tblRentRoll[[#This Row],[Annual_Rent_EUR]]</f>
        <v>0</v>
      </c>
      <c r="Z236" s="3"/>
    </row>
    <row r="237" spans="1:26" x14ac:dyDescent="0.35">
      <c r="A237" t="s">
        <v>44</v>
      </c>
      <c r="B237" t="s">
        <v>385</v>
      </c>
      <c r="C237" t="s">
        <v>14</v>
      </c>
      <c r="D237">
        <v>1426</v>
      </c>
      <c r="E237" t="s">
        <v>15</v>
      </c>
      <c r="F237" t="s">
        <v>76</v>
      </c>
      <c r="G237">
        <v>14591.64</v>
      </c>
      <c r="H237">
        <v>175099.68</v>
      </c>
      <c r="I237" s="2">
        <f>tblRentRoll[[#This Row],[Monthly_Rent_EUR]]*12</f>
        <v>175099.68</v>
      </c>
      <c r="J237" s="2" t="str">
        <f>IF(tblRentRoll[[#This Row],[Annual_Rent_EUR]]&lt;&gt;tblRentRoll[[#This Row],[Jahresrente_EUR]], "FALSCH", "")</f>
        <v/>
      </c>
      <c r="K237" s="1">
        <v>45218</v>
      </c>
      <c r="L237" s="1">
        <v>46064</v>
      </c>
      <c r="M237">
        <v>3859.89</v>
      </c>
      <c r="N237">
        <v>2761.71</v>
      </c>
      <c r="O23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7" t="str">
        <f>IF(tblRentRoll[[#This Row],[Area_sqm]]&lt;=0,"Area&lt;=0","")</f>
        <v/>
      </c>
      <c r="Q237" t="str">
        <f>IF(tblRentRoll[[#This Row],[Monthly_Rent_EUR]]&lt;=0,"Rent&lt;=0","")</f>
        <v/>
      </c>
      <c r="R237">
        <f>IF(AND(tblRentRoll[[#This Row],[Status]]="Occupied", tblRentRoll[[#This Row],[Area_sqm]]&gt;0), tblRentRoll[[#This Row],[Annual_Rent_EUR]]/tblRentRoll[[#This Row],[Area_sqm]],"")</f>
        <v>122.79079943899018</v>
      </c>
      <c r="S237">
        <f>tblRentRoll[[#This Row],[Service_Charge_EUR]]+tblRentRoll[[#This Row],[Operating_Cost_EUR]]</f>
        <v>6621.6</v>
      </c>
      <c r="T237">
        <f>IF(tblRentRoll[[#This Row],[Annual_Rent_EUR]]&lt;&gt;0,tblRentRoll[[#This Row],[Annual_Rent_EUR]]-tblRentRoll[[#This Row],[Operating_Cost_EUR]], "")</f>
        <v>172337.97</v>
      </c>
      <c r="U237">
        <f ca="1">IF(AND(tblRentRoll[[#This Row],[Status]]="Occupied",tblRentRoll[[#This Row],[Lease_End]]&gt;=TODAY()),DATEDIF(TODAY(),tblRentRoll[[#This Row],[Lease_End]],"m"), 0)</f>
        <v>0</v>
      </c>
      <c r="V237" t="str">
        <f ca="1">IF(tblRentRoll[[#This Row],[Status]]&lt;&gt;"Occupied","", IF(tblRentRoll[[#This Row],[Month_to_Expiry]]&lt;=3, "0-3 Monaten",  IF(tblRentRoll[[#This Row],[Month_to_Expiry]]&lt;=6, "3-6 Monaten", IF(tblRentRoll[[#This Row],[Month_to_Expiry]]&lt;=12,"6-12 Monaten", IF(tblRentRoll[[#This Row],[Month_to_Expiry]]&gt;=12, "12 M+",)))))</f>
        <v>0-3 Monaten</v>
      </c>
      <c r="W237">
        <f>IF(tblRentRoll[[#This Row],[Status]]="Vacant", tblRentRoll[[#This Row],[Area_sqm]],0)</f>
        <v>0</v>
      </c>
      <c r="X237" s="3">
        <f>IF(tblRentRoll[[#This Row],[Status]]="Occupied", tblRentRoll[[#This Row],[Area_sqm]],0)</f>
        <v>1426</v>
      </c>
      <c r="Y237" s="3">
        <f ca="1">tblRentRoll[[#This Row],[Month_to_Expiry]]/12*tblRentRoll[[#This Row],[Annual_Rent_EUR]]</f>
        <v>0</v>
      </c>
      <c r="Z237" s="3"/>
    </row>
    <row r="238" spans="1:26" x14ac:dyDescent="0.35">
      <c r="A238" t="s">
        <v>24</v>
      </c>
      <c r="B238" t="s">
        <v>386</v>
      </c>
      <c r="C238" t="s">
        <v>33</v>
      </c>
      <c r="D238">
        <v>1205</v>
      </c>
      <c r="E238" t="s">
        <v>15</v>
      </c>
      <c r="F238" t="s">
        <v>387</v>
      </c>
      <c r="G238">
        <v>14186.75</v>
      </c>
      <c r="H238">
        <v>170241</v>
      </c>
      <c r="I238" s="2">
        <f>tblRentRoll[[#This Row],[Monthly_Rent_EUR]]*12</f>
        <v>170241</v>
      </c>
      <c r="J238" s="2" t="str">
        <f>IF(tblRentRoll[[#This Row],[Annual_Rent_EUR]]&lt;&gt;tblRentRoll[[#This Row],[Jahresrente_EUR]], "FALSCH", "")</f>
        <v/>
      </c>
      <c r="K238" s="1">
        <v>44866</v>
      </c>
      <c r="L238" s="1">
        <v>45149</v>
      </c>
      <c r="M238">
        <v>1442.18</v>
      </c>
      <c r="N238">
        <v>2416.7600000000002</v>
      </c>
      <c r="O23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8" t="str">
        <f>IF(tblRentRoll[[#This Row],[Area_sqm]]&lt;=0,"Area&lt;=0","")</f>
        <v/>
      </c>
      <c r="Q238" t="str">
        <f>IF(tblRentRoll[[#This Row],[Monthly_Rent_EUR]]&lt;=0,"Rent&lt;=0","")</f>
        <v/>
      </c>
      <c r="R238">
        <f>IF(AND(tblRentRoll[[#This Row],[Status]]="Occupied", tblRentRoll[[#This Row],[Area_sqm]]&gt;0), tblRentRoll[[#This Row],[Annual_Rent_EUR]]/tblRentRoll[[#This Row],[Area_sqm]],"")</f>
        <v>141.27883817427386</v>
      </c>
      <c r="S238">
        <f>tblRentRoll[[#This Row],[Service_Charge_EUR]]+tblRentRoll[[#This Row],[Operating_Cost_EUR]]</f>
        <v>3858.9400000000005</v>
      </c>
      <c r="T238">
        <f>IF(tblRentRoll[[#This Row],[Annual_Rent_EUR]]&lt;&gt;0,tblRentRoll[[#This Row],[Annual_Rent_EUR]]-tblRentRoll[[#This Row],[Operating_Cost_EUR]], "")</f>
        <v>167824.24</v>
      </c>
      <c r="U238">
        <f ca="1">IF(AND(tblRentRoll[[#This Row],[Status]]="Occupied",tblRentRoll[[#This Row],[Lease_End]]&gt;=TODAY()),DATEDIF(TODAY(),tblRentRoll[[#This Row],[Lease_End]],"m"), 0)</f>
        <v>0</v>
      </c>
      <c r="V238" t="str">
        <f ca="1">IF(tblRentRoll[[#This Row],[Status]]&lt;&gt;"Occupied","", IF(tblRentRoll[[#This Row],[Month_to_Expiry]]&lt;=3, "0-3 Monaten",  IF(tblRentRoll[[#This Row],[Month_to_Expiry]]&lt;=6, "3-6 Monaten", IF(tblRentRoll[[#This Row],[Month_to_Expiry]]&lt;=12,"6-12 Monaten", IF(tblRentRoll[[#This Row],[Month_to_Expiry]]&gt;=12, "12 M+",)))))</f>
        <v>0-3 Monaten</v>
      </c>
      <c r="W238">
        <f>IF(tblRentRoll[[#This Row],[Status]]="Vacant", tblRentRoll[[#This Row],[Area_sqm]],0)</f>
        <v>0</v>
      </c>
      <c r="X238" s="3">
        <f>IF(tblRentRoll[[#This Row],[Status]]="Occupied", tblRentRoll[[#This Row],[Area_sqm]],0)</f>
        <v>1205</v>
      </c>
      <c r="Y238" s="3">
        <f ca="1">tblRentRoll[[#This Row],[Month_to_Expiry]]/12*tblRentRoll[[#This Row],[Annual_Rent_EUR]]</f>
        <v>0</v>
      </c>
      <c r="Z238" s="3"/>
    </row>
    <row r="239" spans="1:26" x14ac:dyDescent="0.35">
      <c r="A239" t="s">
        <v>24</v>
      </c>
      <c r="B239" t="s">
        <v>388</v>
      </c>
      <c r="C239" t="s">
        <v>33</v>
      </c>
      <c r="D239">
        <v>361</v>
      </c>
      <c r="E239" t="s">
        <v>20</v>
      </c>
      <c r="G239">
        <v>0</v>
      </c>
      <c r="H239">
        <v>0</v>
      </c>
      <c r="I239" s="2">
        <f>tblRentRoll[[#This Row],[Monthly_Rent_EUR]]*12</f>
        <v>0</v>
      </c>
      <c r="J239" s="2" t="str">
        <f>IF(tblRentRoll[[#This Row],[Annual_Rent_EUR]]&lt;&gt;tblRentRoll[[#This Row],[Jahresrente_EUR]], "FALSCH", "")</f>
        <v/>
      </c>
      <c r="M239">
        <v>1074.4000000000001</v>
      </c>
      <c r="N239">
        <v>732.51</v>
      </c>
      <c r="O23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39" t="str">
        <f>IF(tblRentRoll[[#This Row],[Area_sqm]]&lt;=0,"Area&lt;=0","")</f>
        <v/>
      </c>
      <c r="Q239" t="str">
        <f>IF(tblRentRoll[[#This Row],[Monthly_Rent_EUR]]&lt;=0,"Rent&lt;=0","")</f>
        <v>Rent&lt;=0</v>
      </c>
      <c r="R239" t="str">
        <f>IF(AND(tblRentRoll[[#This Row],[Status]]="Occupied", tblRentRoll[[#This Row],[Area_sqm]]&gt;0), tblRentRoll[[#This Row],[Annual_Rent_EUR]]/tblRentRoll[[#This Row],[Area_sqm]],"")</f>
        <v/>
      </c>
      <c r="S239">
        <f>tblRentRoll[[#This Row],[Service_Charge_EUR]]+tblRentRoll[[#This Row],[Operating_Cost_EUR]]</f>
        <v>1806.91</v>
      </c>
      <c r="T239" t="str">
        <f>IF(tblRentRoll[[#This Row],[Annual_Rent_EUR]]&lt;&gt;0,tblRentRoll[[#This Row],[Annual_Rent_EUR]]-tblRentRoll[[#This Row],[Operating_Cost_EUR]], "")</f>
        <v/>
      </c>
      <c r="U239">
        <f ca="1">IF(AND(tblRentRoll[[#This Row],[Status]]="Occupied",tblRentRoll[[#This Row],[Lease_End]]&gt;=TODAY()),DATEDIF(TODAY(),tblRentRoll[[#This Row],[Lease_End]],"m"), 0)</f>
        <v>0</v>
      </c>
      <c r="V239" t="str">
        <f>IF(tblRentRoll[[#This Row],[Status]]&lt;&gt;"Occupied","", IF(tblRentRoll[[#This Row],[Month_to_Expiry]]&lt;=3, "0-3 Monaten",  IF(tblRentRoll[[#This Row],[Month_to_Expiry]]&lt;=6, "3-6 Monaten", IF(tblRentRoll[[#This Row],[Month_to_Expiry]]&lt;=12,"6-12 Monaten", IF(tblRentRoll[[#This Row],[Month_to_Expiry]]&gt;=12, "12 M+",)))))</f>
        <v/>
      </c>
      <c r="W239">
        <f>IF(tblRentRoll[[#This Row],[Status]]="Vacant", tblRentRoll[[#This Row],[Area_sqm]],0)</f>
        <v>361</v>
      </c>
      <c r="X239" s="3">
        <f>IF(tblRentRoll[[#This Row],[Status]]="Occupied", tblRentRoll[[#This Row],[Area_sqm]],0)</f>
        <v>0</v>
      </c>
      <c r="Y239" s="3">
        <f ca="1">tblRentRoll[[#This Row],[Month_to_Expiry]]/12*tblRentRoll[[#This Row],[Annual_Rent_EUR]]</f>
        <v>0</v>
      </c>
      <c r="Z239" s="3"/>
    </row>
    <row r="240" spans="1:26" x14ac:dyDescent="0.35">
      <c r="A240" t="s">
        <v>21</v>
      </c>
      <c r="B240" t="s">
        <v>389</v>
      </c>
      <c r="C240" t="s">
        <v>33</v>
      </c>
      <c r="D240">
        <v>787</v>
      </c>
      <c r="E240" t="s">
        <v>15</v>
      </c>
      <c r="F240" t="s">
        <v>210</v>
      </c>
      <c r="G240">
        <v>11863.97</v>
      </c>
      <c r="H240">
        <v>142367.64000000001</v>
      </c>
      <c r="I240" s="2">
        <f>tblRentRoll[[#This Row],[Monthly_Rent_EUR]]*12</f>
        <v>142367.63999999998</v>
      </c>
      <c r="J240" s="2" t="str">
        <f>IF(tblRentRoll[[#This Row],[Annual_Rent_EUR]]&lt;&gt;tblRentRoll[[#This Row],[Jahresrente_EUR]], "FALSCH", "")</f>
        <v/>
      </c>
      <c r="K240" s="1">
        <v>44931</v>
      </c>
      <c r="L240" s="1">
        <v>45128</v>
      </c>
      <c r="M240">
        <v>832.76</v>
      </c>
      <c r="N240">
        <v>488.84</v>
      </c>
      <c r="O24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0" t="str">
        <f>IF(tblRentRoll[[#This Row],[Area_sqm]]&lt;=0,"Area&lt;=0","")</f>
        <v/>
      </c>
      <c r="Q240" t="str">
        <f>IF(tblRentRoll[[#This Row],[Monthly_Rent_EUR]]&lt;=0,"Rent&lt;=0","")</f>
        <v/>
      </c>
      <c r="R240">
        <f>IF(AND(tblRentRoll[[#This Row],[Status]]="Occupied", tblRentRoll[[#This Row],[Area_sqm]]&gt;0), tblRentRoll[[#This Row],[Annual_Rent_EUR]]/tblRentRoll[[#This Row],[Area_sqm]],"")</f>
        <v>180.89916137229989</v>
      </c>
      <c r="S240">
        <f>tblRentRoll[[#This Row],[Service_Charge_EUR]]+tblRentRoll[[#This Row],[Operating_Cost_EUR]]</f>
        <v>1321.6</v>
      </c>
      <c r="T240">
        <f>IF(tblRentRoll[[#This Row],[Annual_Rent_EUR]]&lt;&gt;0,tblRentRoll[[#This Row],[Annual_Rent_EUR]]-tblRentRoll[[#This Row],[Operating_Cost_EUR]], "")</f>
        <v>141878.80000000002</v>
      </c>
      <c r="U240">
        <f ca="1">IF(AND(tblRentRoll[[#This Row],[Status]]="Occupied",tblRentRoll[[#This Row],[Lease_End]]&gt;=TODAY()),DATEDIF(TODAY(),tblRentRoll[[#This Row],[Lease_End]],"m"), 0)</f>
        <v>0</v>
      </c>
      <c r="V240" t="str">
        <f ca="1">IF(tblRentRoll[[#This Row],[Status]]&lt;&gt;"Occupied","", IF(tblRentRoll[[#This Row],[Month_to_Expiry]]&lt;=3, "0-3 Monaten",  IF(tblRentRoll[[#This Row],[Month_to_Expiry]]&lt;=6, "3-6 Monaten", IF(tblRentRoll[[#This Row],[Month_to_Expiry]]&lt;=12,"6-12 Monaten", IF(tblRentRoll[[#This Row],[Month_to_Expiry]]&gt;=12, "12 M+",)))))</f>
        <v>0-3 Monaten</v>
      </c>
      <c r="W240">
        <f>IF(tblRentRoll[[#This Row],[Status]]="Vacant", tblRentRoll[[#This Row],[Area_sqm]],0)</f>
        <v>0</v>
      </c>
      <c r="X240" s="3">
        <f>IF(tblRentRoll[[#This Row],[Status]]="Occupied", tblRentRoll[[#This Row],[Area_sqm]],0)</f>
        <v>787</v>
      </c>
      <c r="Y240" s="3">
        <f ca="1">tblRentRoll[[#This Row],[Month_to_Expiry]]/12*tblRentRoll[[#This Row],[Annual_Rent_EUR]]</f>
        <v>0</v>
      </c>
      <c r="Z240" s="3"/>
    </row>
    <row r="241" spans="1:26" x14ac:dyDescent="0.35">
      <c r="A241" t="s">
        <v>21</v>
      </c>
      <c r="B241" t="s">
        <v>390</v>
      </c>
      <c r="C241" t="s">
        <v>19</v>
      </c>
      <c r="D241">
        <v>199</v>
      </c>
      <c r="E241" t="s">
        <v>15</v>
      </c>
      <c r="F241" t="s">
        <v>289</v>
      </c>
      <c r="G241">
        <v>3522.71</v>
      </c>
      <c r="H241">
        <v>42272.52</v>
      </c>
      <c r="I241" s="2">
        <f>tblRentRoll[[#This Row],[Monthly_Rent_EUR]]*12</f>
        <v>42272.520000000004</v>
      </c>
      <c r="J241" s="2" t="str">
        <f>IF(tblRentRoll[[#This Row],[Annual_Rent_EUR]]&lt;&gt;tblRentRoll[[#This Row],[Jahresrente_EUR]], "FALSCH", "")</f>
        <v/>
      </c>
      <c r="K241" s="1">
        <v>44988</v>
      </c>
      <c r="L241" s="1">
        <v>46153</v>
      </c>
      <c r="M241">
        <v>338.68</v>
      </c>
      <c r="N241">
        <v>122.67</v>
      </c>
      <c r="O24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1" t="str">
        <f>IF(tblRentRoll[[#This Row],[Area_sqm]]&lt;=0,"Area&lt;=0","")</f>
        <v/>
      </c>
      <c r="Q241" t="str">
        <f>IF(tblRentRoll[[#This Row],[Monthly_Rent_EUR]]&lt;=0,"Rent&lt;=0","")</f>
        <v/>
      </c>
      <c r="R241">
        <f>IF(AND(tblRentRoll[[#This Row],[Status]]="Occupied", tblRentRoll[[#This Row],[Area_sqm]]&gt;0), tblRentRoll[[#This Row],[Annual_Rent_EUR]]/tblRentRoll[[#This Row],[Area_sqm]],"")</f>
        <v>212.42472361809044</v>
      </c>
      <c r="S241">
        <f>tblRentRoll[[#This Row],[Service_Charge_EUR]]+tblRentRoll[[#This Row],[Operating_Cost_EUR]]</f>
        <v>461.35</v>
      </c>
      <c r="T241">
        <f>IF(tblRentRoll[[#This Row],[Annual_Rent_EUR]]&lt;&gt;0,tblRentRoll[[#This Row],[Annual_Rent_EUR]]-tblRentRoll[[#This Row],[Operating_Cost_EUR]], "")</f>
        <v>42149.85</v>
      </c>
      <c r="U241">
        <f ca="1">IF(AND(tblRentRoll[[#This Row],[Status]]="Occupied",tblRentRoll[[#This Row],[Lease_End]]&gt;=TODAY()),DATEDIF(TODAY(),tblRentRoll[[#This Row],[Lease_End]],"m"), 0)</f>
        <v>1</v>
      </c>
      <c r="V241" t="str">
        <f ca="1">IF(tblRentRoll[[#This Row],[Status]]&lt;&gt;"Occupied","", IF(tblRentRoll[[#This Row],[Month_to_Expiry]]&lt;=3, "0-3 Monaten",  IF(tblRentRoll[[#This Row],[Month_to_Expiry]]&lt;=6, "3-6 Monaten", IF(tblRentRoll[[#This Row],[Month_to_Expiry]]&lt;=12,"6-12 Monaten", IF(tblRentRoll[[#This Row],[Month_to_Expiry]]&gt;=12, "12 M+",)))))</f>
        <v>0-3 Monaten</v>
      </c>
      <c r="W241">
        <f>IF(tblRentRoll[[#This Row],[Status]]="Vacant", tblRentRoll[[#This Row],[Area_sqm]],0)</f>
        <v>0</v>
      </c>
      <c r="X241" s="3">
        <f>IF(tblRentRoll[[#This Row],[Status]]="Occupied", tblRentRoll[[#This Row],[Area_sqm]],0)</f>
        <v>199</v>
      </c>
      <c r="Y241" s="3">
        <f ca="1">tblRentRoll[[#This Row],[Month_to_Expiry]]/12*tblRentRoll[[#This Row],[Annual_Rent_EUR]]</f>
        <v>3522.7099999999996</v>
      </c>
      <c r="Z241" s="3"/>
    </row>
    <row r="242" spans="1:26" x14ac:dyDescent="0.35">
      <c r="A242" t="s">
        <v>17</v>
      </c>
      <c r="B242" t="s">
        <v>391</v>
      </c>
      <c r="C242" t="s">
        <v>29</v>
      </c>
      <c r="D242">
        <v>578</v>
      </c>
      <c r="E242" t="s">
        <v>15</v>
      </c>
      <c r="F242" t="s">
        <v>111</v>
      </c>
      <c r="G242">
        <v>3806.78</v>
      </c>
      <c r="H242">
        <v>45681.36</v>
      </c>
      <c r="I242" s="2">
        <f>tblRentRoll[[#This Row],[Monthly_Rent_EUR]]*12</f>
        <v>45681.36</v>
      </c>
      <c r="J242" s="2" t="str">
        <f>IF(tblRentRoll[[#This Row],[Annual_Rent_EUR]]&lt;&gt;tblRentRoll[[#This Row],[Jahresrente_EUR]], "FALSCH", "")</f>
        <v/>
      </c>
      <c r="K242" s="1">
        <v>44435</v>
      </c>
      <c r="L242" s="1">
        <v>44822</v>
      </c>
      <c r="M242">
        <v>804.25</v>
      </c>
      <c r="N242">
        <v>686.24</v>
      </c>
      <c r="O24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2" t="str">
        <f>IF(tblRentRoll[[#This Row],[Area_sqm]]&lt;=0,"Area&lt;=0","")</f>
        <v/>
      </c>
      <c r="Q242" t="str">
        <f>IF(tblRentRoll[[#This Row],[Monthly_Rent_EUR]]&lt;=0,"Rent&lt;=0","")</f>
        <v/>
      </c>
      <c r="R242">
        <f>IF(AND(tblRentRoll[[#This Row],[Status]]="Occupied", tblRentRoll[[#This Row],[Area_sqm]]&gt;0), tblRentRoll[[#This Row],[Annual_Rent_EUR]]/tblRentRoll[[#This Row],[Area_sqm]],"")</f>
        <v>79.033494809688577</v>
      </c>
      <c r="S242">
        <f>tblRentRoll[[#This Row],[Service_Charge_EUR]]+tblRentRoll[[#This Row],[Operating_Cost_EUR]]</f>
        <v>1490.49</v>
      </c>
      <c r="T242">
        <f>IF(tblRentRoll[[#This Row],[Annual_Rent_EUR]]&lt;&gt;0,tblRentRoll[[#This Row],[Annual_Rent_EUR]]-tblRentRoll[[#This Row],[Operating_Cost_EUR]], "")</f>
        <v>44995.12</v>
      </c>
      <c r="U242">
        <f ca="1">IF(AND(tblRentRoll[[#This Row],[Status]]="Occupied",tblRentRoll[[#This Row],[Lease_End]]&gt;=TODAY()),DATEDIF(TODAY(),tblRentRoll[[#This Row],[Lease_End]],"m"), 0)</f>
        <v>0</v>
      </c>
      <c r="V242" t="str">
        <f ca="1">IF(tblRentRoll[[#This Row],[Status]]&lt;&gt;"Occupied","", IF(tblRentRoll[[#This Row],[Month_to_Expiry]]&lt;=3, "0-3 Monaten",  IF(tblRentRoll[[#This Row],[Month_to_Expiry]]&lt;=6, "3-6 Monaten", IF(tblRentRoll[[#This Row],[Month_to_Expiry]]&lt;=12,"6-12 Monaten", IF(tblRentRoll[[#This Row],[Month_to_Expiry]]&gt;=12, "12 M+",)))))</f>
        <v>0-3 Monaten</v>
      </c>
      <c r="W242">
        <f>IF(tblRentRoll[[#This Row],[Status]]="Vacant", tblRentRoll[[#This Row],[Area_sqm]],0)</f>
        <v>0</v>
      </c>
      <c r="X242" s="3">
        <f>IF(tblRentRoll[[#This Row],[Status]]="Occupied", tblRentRoll[[#This Row],[Area_sqm]],0)</f>
        <v>578</v>
      </c>
      <c r="Y242" s="3">
        <f ca="1">tblRentRoll[[#This Row],[Month_to_Expiry]]/12*tblRentRoll[[#This Row],[Annual_Rent_EUR]]</f>
        <v>0</v>
      </c>
      <c r="Z242" s="3"/>
    </row>
    <row r="243" spans="1:26" x14ac:dyDescent="0.35">
      <c r="A243" t="s">
        <v>44</v>
      </c>
      <c r="B243" t="s">
        <v>392</v>
      </c>
      <c r="C243" t="s">
        <v>29</v>
      </c>
      <c r="D243">
        <v>566</v>
      </c>
      <c r="E243" t="s">
        <v>15</v>
      </c>
      <c r="F243" t="s">
        <v>26</v>
      </c>
      <c r="G243">
        <v>8728.09</v>
      </c>
      <c r="H243">
        <v>104737.08</v>
      </c>
      <c r="I243" s="2">
        <f>tblRentRoll[[#This Row],[Monthly_Rent_EUR]]*12</f>
        <v>104737.08</v>
      </c>
      <c r="J243" s="2" t="str">
        <f>IF(tblRentRoll[[#This Row],[Annual_Rent_EUR]]&lt;&gt;tblRentRoll[[#This Row],[Jahresrente_EUR]], "FALSCH", "")</f>
        <v/>
      </c>
      <c r="K243" s="1">
        <v>45094</v>
      </c>
      <c r="L243" s="1">
        <v>46828</v>
      </c>
      <c r="M243">
        <v>616.99</v>
      </c>
      <c r="N243">
        <v>377.36</v>
      </c>
      <c r="O24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3" t="str">
        <f>IF(tblRentRoll[[#This Row],[Area_sqm]]&lt;=0,"Area&lt;=0","")</f>
        <v/>
      </c>
      <c r="Q243" t="str">
        <f>IF(tblRentRoll[[#This Row],[Monthly_Rent_EUR]]&lt;=0,"Rent&lt;=0","")</f>
        <v/>
      </c>
      <c r="R243">
        <f>IF(AND(tblRentRoll[[#This Row],[Status]]="Occupied", tblRentRoll[[#This Row],[Area_sqm]]&gt;0), tblRentRoll[[#This Row],[Annual_Rent_EUR]]/tblRentRoll[[#This Row],[Area_sqm]],"")</f>
        <v>185.04784452296821</v>
      </c>
      <c r="S243">
        <f>tblRentRoll[[#This Row],[Service_Charge_EUR]]+tblRentRoll[[#This Row],[Operating_Cost_EUR]]</f>
        <v>994.35</v>
      </c>
      <c r="T243">
        <f>IF(tblRentRoll[[#This Row],[Annual_Rent_EUR]]&lt;&gt;0,tblRentRoll[[#This Row],[Annual_Rent_EUR]]-tblRentRoll[[#This Row],[Operating_Cost_EUR]], "")</f>
        <v>104359.72</v>
      </c>
      <c r="U243">
        <f ca="1">IF(AND(tblRentRoll[[#This Row],[Status]]="Occupied",tblRentRoll[[#This Row],[Lease_End]]&gt;=TODAY()),DATEDIF(TODAY(),tblRentRoll[[#This Row],[Lease_End]],"m"), 0)</f>
        <v>24</v>
      </c>
      <c r="V243" t="str">
        <f ca="1">IF(tblRentRoll[[#This Row],[Status]]&lt;&gt;"Occupied","", IF(tblRentRoll[[#This Row],[Month_to_Expiry]]&lt;=3, "0-3 Monaten",  IF(tblRentRoll[[#This Row],[Month_to_Expiry]]&lt;=6, "3-6 Monaten", IF(tblRentRoll[[#This Row],[Month_to_Expiry]]&lt;=12,"6-12 Monaten", IF(tblRentRoll[[#This Row],[Month_to_Expiry]]&gt;=12, "12 M+",)))))</f>
        <v>12 M+</v>
      </c>
      <c r="W243">
        <f>IF(tblRentRoll[[#This Row],[Status]]="Vacant", tblRentRoll[[#This Row],[Area_sqm]],0)</f>
        <v>0</v>
      </c>
      <c r="X243" s="3">
        <f>IF(tblRentRoll[[#This Row],[Status]]="Occupied", tblRentRoll[[#This Row],[Area_sqm]],0)</f>
        <v>566</v>
      </c>
      <c r="Y243" s="3">
        <f ca="1">tblRentRoll[[#This Row],[Month_to_Expiry]]/12*tblRentRoll[[#This Row],[Annual_Rent_EUR]]</f>
        <v>209474.16</v>
      </c>
      <c r="Z243" s="3"/>
    </row>
    <row r="244" spans="1:26" x14ac:dyDescent="0.35">
      <c r="A244" t="s">
        <v>21</v>
      </c>
      <c r="B244" t="s">
        <v>393</v>
      </c>
      <c r="C244" t="s">
        <v>19</v>
      </c>
      <c r="D244">
        <v>623</v>
      </c>
      <c r="E244" t="s">
        <v>15</v>
      </c>
      <c r="F244" t="s">
        <v>394</v>
      </c>
      <c r="G244">
        <v>11101.12</v>
      </c>
      <c r="H244">
        <v>133213.44</v>
      </c>
      <c r="I244" s="2">
        <f>tblRentRoll[[#This Row],[Monthly_Rent_EUR]]*12</f>
        <v>133213.44</v>
      </c>
      <c r="J244" s="2" t="str">
        <f>IF(tblRentRoll[[#This Row],[Annual_Rent_EUR]]&lt;&gt;tblRentRoll[[#This Row],[Jahresrente_EUR]], "FALSCH", "")</f>
        <v/>
      </c>
      <c r="K244" s="1">
        <v>45060</v>
      </c>
      <c r="L244" s="1">
        <v>46071</v>
      </c>
      <c r="M244">
        <v>1431.69</v>
      </c>
      <c r="N244">
        <v>1029.93</v>
      </c>
      <c r="O24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4" t="str">
        <f>IF(tblRentRoll[[#This Row],[Area_sqm]]&lt;=0,"Area&lt;=0","")</f>
        <v/>
      </c>
      <c r="Q244" t="str">
        <f>IF(tblRentRoll[[#This Row],[Monthly_Rent_EUR]]&lt;=0,"Rent&lt;=0","")</f>
        <v/>
      </c>
      <c r="R244">
        <f>IF(AND(tblRentRoll[[#This Row],[Status]]="Occupied", tblRentRoll[[#This Row],[Area_sqm]]&gt;0), tblRentRoll[[#This Row],[Annual_Rent_EUR]]/tblRentRoll[[#This Row],[Area_sqm]],"")</f>
        <v>213.82574638844301</v>
      </c>
      <c r="S244">
        <f>tblRentRoll[[#This Row],[Service_Charge_EUR]]+tblRentRoll[[#This Row],[Operating_Cost_EUR]]</f>
        <v>2461.62</v>
      </c>
      <c r="T244">
        <f>IF(tblRentRoll[[#This Row],[Annual_Rent_EUR]]&lt;&gt;0,tblRentRoll[[#This Row],[Annual_Rent_EUR]]-tblRentRoll[[#This Row],[Operating_Cost_EUR]], "")</f>
        <v>132183.51</v>
      </c>
      <c r="U244">
        <f ca="1">IF(AND(tblRentRoll[[#This Row],[Status]]="Occupied",tblRentRoll[[#This Row],[Lease_End]]&gt;=TODAY()),DATEDIF(TODAY(),tblRentRoll[[#This Row],[Lease_End]],"m"), 0)</f>
        <v>0</v>
      </c>
      <c r="V244" t="str">
        <f ca="1">IF(tblRentRoll[[#This Row],[Status]]&lt;&gt;"Occupied","", IF(tblRentRoll[[#This Row],[Month_to_Expiry]]&lt;=3, "0-3 Monaten",  IF(tblRentRoll[[#This Row],[Month_to_Expiry]]&lt;=6, "3-6 Monaten", IF(tblRentRoll[[#This Row],[Month_to_Expiry]]&lt;=12,"6-12 Monaten", IF(tblRentRoll[[#This Row],[Month_to_Expiry]]&gt;=12, "12 M+",)))))</f>
        <v>0-3 Monaten</v>
      </c>
      <c r="W244">
        <f>IF(tblRentRoll[[#This Row],[Status]]="Vacant", tblRentRoll[[#This Row],[Area_sqm]],0)</f>
        <v>0</v>
      </c>
      <c r="X244" s="3">
        <f>IF(tblRentRoll[[#This Row],[Status]]="Occupied", tblRentRoll[[#This Row],[Area_sqm]],0)</f>
        <v>623</v>
      </c>
      <c r="Y244" s="3">
        <f ca="1">tblRentRoll[[#This Row],[Month_to_Expiry]]/12*tblRentRoll[[#This Row],[Annual_Rent_EUR]]</f>
        <v>0</v>
      </c>
      <c r="Z244" s="3"/>
    </row>
    <row r="245" spans="1:26" x14ac:dyDescent="0.35">
      <c r="A245" t="s">
        <v>12</v>
      </c>
      <c r="B245" t="s">
        <v>395</v>
      </c>
      <c r="C245" t="s">
        <v>14</v>
      </c>
      <c r="D245">
        <v>1421</v>
      </c>
      <c r="E245" t="s">
        <v>15</v>
      </c>
      <c r="F245" t="s">
        <v>249</v>
      </c>
      <c r="G245">
        <v>20684.18</v>
      </c>
      <c r="H245">
        <v>248210.16</v>
      </c>
      <c r="I245" s="2">
        <f>tblRentRoll[[#This Row],[Monthly_Rent_EUR]]*12</f>
        <v>248210.16</v>
      </c>
      <c r="J245" s="2" t="str">
        <f>IF(tblRentRoll[[#This Row],[Annual_Rent_EUR]]&lt;&gt;tblRentRoll[[#This Row],[Jahresrente_EUR]], "FALSCH", "")</f>
        <v/>
      </c>
      <c r="K245" s="1">
        <v>45240</v>
      </c>
      <c r="L245" s="1">
        <v>47014</v>
      </c>
      <c r="M245">
        <v>3247.84</v>
      </c>
      <c r="N245">
        <v>1009.17</v>
      </c>
      <c r="O24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5" t="str">
        <f>IF(tblRentRoll[[#This Row],[Area_sqm]]&lt;=0,"Area&lt;=0","")</f>
        <v/>
      </c>
      <c r="Q245" t="str">
        <f>IF(tblRentRoll[[#This Row],[Monthly_Rent_EUR]]&lt;=0,"Rent&lt;=0","")</f>
        <v/>
      </c>
      <c r="R245">
        <f>IF(AND(tblRentRoll[[#This Row],[Status]]="Occupied", tblRentRoll[[#This Row],[Area_sqm]]&gt;0), tblRentRoll[[#This Row],[Annual_Rent_EUR]]/tblRentRoll[[#This Row],[Area_sqm]],"")</f>
        <v>174.67287825475017</v>
      </c>
      <c r="S245">
        <f>tblRentRoll[[#This Row],[Service_Charge_EUR]]+tblRentRoll[[#This Row],[Operating_Cost_EUR]]</f>
        <v>4257.01</v>
      </c>
      <c r="T245">
        <f>IF(tblRentRoll[[#This Row],[Annual_Rent_EUR]]&lt;&gt;0,tblRentRoll[[#This Row],[Annual_Rent_EUR]]-tblRentRoll[[#This Row],[Operating_Cost_EUR]], "")</f>
        <v>247200.99</v>
      </c>
      <c r="U245">
        <f ca="1">IF(AND(tblRentRoll[[#This Row],[Status]]="Occupied",tblRentRoll[[#This Row],[Lease_End]]&gt;=TODAY()),DATEDIF(TODAY(),tblRentRoll[[#This Row],[Lease_End]],"m"), 0)</f>
        <v>30</v>
      </c>
      <c r="V245" t="str">
        <f ca="1">IF(tblRentRoll[[#This Row],[Status]]&lt;&gt;"Occupied","", IF(tblRentRoll[[#This Row],[Month_to_Expiry]]&lt;=3, "0-3 Monaten",  IF(tblRentRoll[[#This Row],[Month_to_Expiry]]&lt;=6, "3-6 Monaten", IF(tblRentRoll[[#This Row],[Month_to_Expiry]]&lt;=12,"6-12 Monaten", IF(tblRentRoll[[#This Row],[Month_to_Expiry]]&gt;=12, "12 M+",)))))</f>
        <v>12 M+</v>
      </c>
      <c r="W245">
        <f>IF(tblRentRoll[[#This Row],[Status]]="Vacant", tblRentRoll[[#This Row],[Area_sqm]],0)</f>
        <v>0</v>
      </c>
      <c r="X245" s="3">
        <f>IF(tblRentRoll[[#This Row],[Status]]="Occupied", tblRentRoll[[#This Row],[Area_sqm]],0)</f>
        <v>1421</v>
      </c>
      <c r="Y245" s="3">
        <f ca="1">tblRentRoll[[#This Row],[Month_to_Expiry]]/12*tblRentRoll[[#This Row],[Annual_Rent_EUR]]</f>
        <v>620525.4</v>
      </c>
      <c r="Z245" s="3"/>
    </row>
    <row r="246" spans="1:26" x14ac:dyDescent="0.35">
      <c r="A246" t="s">
        <v>44</v>
      </c>
      <c r="B246" t="s">
        <v>396</v>
      </c>
      <c r="C246" t="s">
        <v>29</v>
      </c>
      <c r="D246">
        <v>895</v>
      </c>
      <c r="E246" t="s">
        <v>15</v>
      </c>
      <c r="F246" t="s">
        <v>199</v>
      </c>
      <c r="G246">
        <v>10253.629999999999</v>
      </c>
      <c r="H246">
        <v>123043.56</v>
      </c>
      <c r="I246" s="2">
        <f>tblRentRoll[[#This Row],[Monthly_Rent_EUR]]*12</f>
        <v>123043.56</v>
      </c>
      <c r="J246" s="2" t="str">
        <f>IF(tblRentRoll[[#This Row],[Annual_Rent_EUR]]&lt;&gt;tblRentRoll[[#This Row],[Jahresrente_EUR]], "FALSCH", "")</f>
        <v/>
      </c>
      <c r="K246" s="1">
        <v>44724</v>
      </c>
      <c r="L246" s="1">
        <v>46201</v>
      </c>
      <c r="M246">
        <v>2159.2399999999998</v>
      </c>
      <c r="N246">
        <v>450.28</v>
      </c>
      <c r="O24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6" t="str">
        <f>IF(tblRentRoll[[#This Row],[Area_sqm]]&lt;=0,"Area&lt;=0","")</f>
        <v/>
      </c>
      <c r="Q246" t="str">
        <f>IF(tblRentRoll[[#This Row],[Monthly_Rent_EUR]]&lt;=0,"Rent&lt;=0","")</f>
        <v/>
      </c>
      <c r="R246">
        <f>IF(AND(tblRentRoll[[#This Row],[Status]]="Occupied", tblRentRoll[[#This Row],[Area_sqm]]&gt;0), tblRentRoll[[#This Row],[Annual_Rent_EUR]]/tblRentRoll[[#This Row],[Area_sqm]],"")</f>
        <v>137.47883798882683</v>
      </c>
      <c r="S246">
        <f>tblRentRoll[[#This Row],[Service_Charge_EUR]]+tblRentRoll[[#This Row],[Operating_Cost_EUR]]</f>
        <v>2609.5199999999995</v>
      </c>
      <c r="T246">
        <f>IF(tblRentRoll[[#This Row],[Annual_Rent_EUR]]&lt;&gt;0,tblRentRoll[[#This Row],[Annual_Rent_EUR]]-tblRentRoll[[#This Row],[Operating_Cost_EUR]], "")</f>
        <v>122593.28</v>
      </c>
      <c r="U246">
        <f ca="1">IF(AND(tblRentRoll[[#This Row],[Status]]="Occupied",tblRentRoll[[#This Row],[Lease_End]]&gt;=TODAY()),DATEDIF(TODAY(),tblRentRoll[[#This Row],[Lease_End]],"m"), 0)</f>
        <v>3</v>
      </c>
      <c r="V246" t="str">
        <f ca="1">IF(tblRentRoll[[#This Row],[Status]]&lt;&gt;"Occupied","", IF(tblRentRoll[[#This Row],[Month_to_Expiry]]&lt;=3, "0-3 Monaten",  IF(tblRentRoll[[#This Row],[Month_to_Expiry]]&lt;=6, "3-6 Monaten", IF(tblRentRoll[[#This Row],[Month_to_Expiry]]&lt;=12,"6-12 Monaten", IF(tblRentRoll[[#This Row],[Month_to_Expiry]]&gt;=12, "12 M+",)))))</f>
        <v>0-3 Monaten</v>
      </c>
      <c r="W246">
        <f>IF(tblRentRoll[[#This Row],[Status]]="Vacant", tblRentRoll[[#This Row],[Area_sqm]],0)</f>
        <v>0</v>
      </c>
      <c r="X246" s="3">
        <f>IF(tblRentRoll[[#This Row],[Status]]="Occupied", tblRentRoll[[#This Row],[Area_sqm]],0)</f>
        <v>895</v>
      </c>
      <c r="Y246" s="3">
        <f ca="1">tblRentRoll[[#This Row],[Month_to_Expiry]]/12*tblRentRoll[[#This Row],[Annual_Rent_EUR]]</f>
        <v>30760.89</v>
      </c>
      <c r="Z246" s="3"/>
    </row>
    <row r="247" spans="1:26" x14ac:dyDescent="0.35">
      <c r="A247" t="s">
        <v>24</v>
      </c>
      <c r="B247" t="s">
        <v>397</v>
      </c>
      <c r="C247" t="s">
        <v>29</v>
      </c>
      <c r="D247">
        <v>1448</v>
      </c>
      <c r="E247" t="s">
        <v>15</v>
      </c>
      <c r="F247" t="s">
        <v>194</v>
      </c>
      <c r="G247">
        <v>13469.14</v>
      </c>
      <c r="H247">
        <v>161629.68</v>
      </c>
      <c r="I247" s="2">
        <f>tblRentRoll[[#This Row],[Monthly_Rent_EUR]]*12</f>
        <v>161629.68</v>
      </c>
      <c r="J247" s="2" t="str">
        <f>IF(tblRentRoll[[#This Row],[Annual_Rent_EUR]]&lt;&gt;tblRentRoll[[#This Row],[Jahresrente_EUR]], "FALSCH", "")</f>
        <v/>
      </c>
      <c r="K247" s="1">
        <v>44312</v>
      </c>
      <c r="L247" s="1">
        <v>44824</v>
      </c>
      <c r="M247">
        <v>4164.13</v>
      </c>
      <c r="N247">
        <v>3240.89</v>
      </c>
      <c r="O24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7" t="str">
        <f>IF(tblRentRoll[[#This Row],[Area_sqm]]&lt;=0,"Area&lt;=0","")</f>
        <v/>
      </c>
      <c r="Q247" t="str">
        <f>IF(tblRentRoll[[#This Row],[Monthly_Rent_EUR]]&lt;=0,"Rent&lt;=0","")</f>
        <v/>
      </c>
      <c r="R247">
        <f>IF(AND(tblRentRoll[[#This Row],[Status]]="Occupied", tblRentRoll[[#This Row],[Area_sqm]]&gt;0), tblRentRoll[[#This Row],[Annual_Rent_EUR]]/tblRentRoll[[#This Row],[Area_sqm]],"")</f>
        <v>111.62270718232044</v>
      </c>
      <c r="S247">
        <f>tblRentRoll[[#This Row],[Service_Charge_EUR]]+tblRentRoll[[#This Row],[Operating_Cost_EUR]]</f>
        <v>7405.02</v>
      </c>
      <c r="T247">
        <f>IF(tblRentRoll[[#This Row],[Annual_Rent_EUR]]&lt;&gt;0,tblRentRoll[[#This Row],[Annual_Rent_EUR]]-tblRentRoll[[#This Row],[Operating_Cost_EUR]], "")</f>
        <v>158388.78999999998</v>
      </c>
      <c r="U247">
        <f ca="1">IF(AND(tblRentRoll[[#This Row],[Status]]="Occupied",tblRentRoll[[#This Row],[Lease_End]]&gt;=TODAY()),DATEDIF(TODAY(),tblRentRoll[[#This Row],[Lease_End]],"m"), 0)</f>
        <v>0</v>
      </c>
      <c r="V247" t="str">
        <f ca="1">IF(tblRentRoll[[#This Row],[Status]]&lt;&gt;"Occupied","", IF(tblRentRoll[[#This Row],[Month_to_Expiry]]&lt;=3, "0-3 Monaten",  IF(tblRentRoll[[#This Row],[Month_to_Expiry]]&lt;=6, "3-6 Monaten", IF(tblRentRoll[[#This Row],[Month_to_Expiry]]&lt;=12,"6-12 Monaten", IF(tblRentRoll[[#This Row],[Month_to_Expiry]]&gt;=12, "12 M+",)))))</f>
        <v>0-3 Monaten</v>
      </c>
      <c r="W247">
        <f>IF(tblRentRoll[[#This Row],[Status]]="Vacant", tblRentRoll[[#This Row],[Area_sqm]],0)</f>
        <v>0</v>
      </c>
      <c r="X247" s="3">
        <f>IF(tblRentRoll[[#This Row],[Status]]="Occupied", tblRentRoll[[#This Row],[Area_sqm]],0)</f>
        <v>1448</v>
      </c>
      <c r="Y247" s="3">
        <f ca="1">tblRentRoll[[#This Row],[Month_to_Expiry]]/12*tblRentRoll[[#This Row],[Annual_Rent_EUR]]</f>
        <v>0</v>
      </c>
      <c r="Z247" s="3"/>
    </row>
    <row r="248" spans="1:26" x14ac:dyDescent="0.35">
      <c r="A248" t="s">
        <v>44</v>
      </c>
      <c r="B248" t="s">
        <v>398</v>
      </c>
      <c r="C248" t="s">
        <v>19</v>
      </c>
      <c r="D248">
        <v>291</v>
      </c>
      <c r="E248" t="s">
        <v>15</v>
      </c>
      <c r="F248" t="s">
        <v>399</v>
      </c>
      <c r="G248">
        <v>5193.4799999999996</v>
      </c>
      <c r="H248">
        <v>62321.760000000002</v>
      </c>
      <c r="I248" s="2">
        <f>tblRentRoll[[#This Row],[Monthly_Rent_EUR]]*12</f>
        <v>62321.759999999995</v>
      </c>
      <c r="J248" s="2" t="str">
        <f>IF(tblRentRoll[[#This Row],[Annual_Rent_EUR]]&lt;&gt;tblRentRoll[[#This Row],[Jahresrente_EUR]], "FALSCH", "")</f>
        <v/>
      </c>
      <c r="K248" s="1">
        <v>45171</v>
      </c>
      <c r="L248" s="1">
        <v>46759</v>
      </c>
      <c r="M248">
        <v>815.6</v>
      </c>
      <c r="N248">
        <v>642.96</v>
      </c>
      <c r="O24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8" t="str">
        <f>IF(tblRentRoll[[#This Row],[Area_sqm]]&lt;=0,"Area&lt;=0","")</f>
        <v/>
      </c>
      <c r="Q248" t="str">
        <f>IF(tblRentRoll[[#This Row],[Monthly_Rent_EUR]]&lt;=0,"Rent&lt;=0","")</f>
        <v/>
      </c>
      <c r="R248">
        <f>IF(AND(tblRentRoll[[#This Row],[Status]]="Occupied", tblRentRoll[[#This Row],[Area_sqm]]&gt;0), tblRentRoll[[#This Row],[Annual_Rent_EUR]]/tblRentRoll[[#This Row],[Area_sqm]],"")</f>
        <v>214.16412371134021</v>
      </c>
      <c r="S248">
        <f>tblRentRoll[[#This Row],[Service_Charge_EUR]]+tblRentRoll[[#This Row],[Operating_Cost_EUR]]</f>
        <v>1458.56</v>
      </c>
      <c r="T248">
        <f>IF(tblRentRoll[[#This Row],[Annual_Rent_EUR]]&lt;&gt;0,tblRentRoll[[#This Row],[Annual_Rent_EUR]]-tblRentRoll[[#This Row],[Operating_Cost_EUR]], "")</f>
        <v>61678.8</v>
      </c>
      <c r="U248">
        <f ca="1">IF(AND(tblRentRoll[[#This Row],[Status]]="Occupied",tblRentRoll[[#This Row],[Lease_End]]&gt;=TODAY()),DATEDIF(TODAY(),tblRentRoll[[#This Row],[Lease_End]],"m"), 0)</f>
        <v>21</v>
      </c>
      <c r="V248" t="str">
        <f ca="1">IF(tblRentRoll[[#This Row],[Status]]&lt;&gt;"Occupied","", IF(tblRentRoll[[#This Row],[Month_to_Expiry]]&lt;=3, "0-3 Monaten",  IF(tblRentRoll[[#This Row],[Month_to_Expiry]]&lt;=6, "3-6 Monaten", IF(tblRentRoll[[#This Row],[Month_to_Expiry]]&lt;=12,"6-12 Monaten", IF(tblRentRoll[[#This Row],[Month_to_Expiry]]&gt;=12, "12 M+",)))))</f>
        <v>12 M+</v>
      </c>
      <c r="W248">
        <f>IF(tblRentRoll[[#This Row],[Status]]="Vacant", tblRentRoll[[#This Row],[Area_sqm]],0)</f>
        <v>0</v>
      </c>
      <c r="X248" s="3">
        <f>IF(tblRentRoll[[#This Row],[Status]]="Occupied", tblRentRoll[[#This Row],[Area_sqm]],0)</f>
        <v>291</v>
      </c>
      <c r="Y248" s="3">
        <f ca="1">tblRentRoll[[#This Row],[Month_to_Expiry]]/12*tblRentRoll[[#This Row],[Annual_Rent_EUR]]</f>
        <v>109063.08</v>
      </c>
      <c r="Z248" s="3"/>
    </row>
    <row r="249" spans="1:26" x14ac:dyDescent="0.35">
      <c r="A249" t="s">
        <v>27</v>
      </c>
      <c r="B249" t="s">
        <v>400</v>
      </c>
      <c r="C249" t="s">
        <v>19</v>
      </c>
      <c r="D249">
        <v>1284</v>
      </c>
      <c r="E249" t="s">
        <v>15</v>
      </c>
      <c r="F249" t="s">
        <v>260</v>
      </c>
      <c r="G249">
        <v>13173.91</v>
      </c>
      <c r="H249">
        <v>158086.92000000001</v>
      </c>
      <c r="I249" s="2">
        <f>tblRentRoll[[#This Row],[Monthly_Rent_EUR]]*12</f>
        <v>158086.91999999998</v>
      </c>
      <c r="J249" s="2" t="str">
        <f>IF(tblRentRoll[[#This Row],[Annual_Rent_EUR]]&lt;&gt;tblRentRoll[[#This Row],[Jahresrente_EUR]], "FALSCH", "")</f>
        <v/>
      </c>
      <c r="K249" s="1">
        <v>45276</v>
      </c>
      <c r="L249" s="1">
        <v>47030</v>
      </c>
      <c r="M249">
        <v>1546.6</v>
      </c>
      <c r="N249">
        <v>2354.67</v>
      </c>
      <c r="O24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49" t="str">
        <f>IF(tblRentRoll[[#This Row],[Area_sqm]]&lt;=0,"Area&lt;=0","")</f>
        <v/>
      </c>
      <c r="Q249" t="str">
        <f>IF(tblRentRoll[[#This Row],[Monthly_Rent_EUR]]&lt;=0,"Rent&lt;=0","")</f>
        <v/>
      </c>
      <c r="R249">
        <f>IF(AND(tblRentRoll[[#This Row],[Status]]="Occupied", tblRentRoll[[#This Row],[Area_sqm]]&gt;0), tblRentRoll[[#This Row],[Annual_Rent_EUR]]/tblRentRoll[[#This Row],[Area_sqm]],"")</f>
        <v>123.12065420560748</v>
      </c>
      <c r="S249">
        <f>tblRentRoll[[#This Row],[Service_Charge_EUR]]+tblRentRoll[[#This Row],[Operating_Cost_EUR]]</f>
        <v>3901.27</v>
      </c>
      <c r="T249">
        <f>IF(tblRentRoll[[#This Row],[Annual_Rent_EUR]]&lt;&gt;0,tblRentRoll[[#This Row],[Annual_Rent_EUR]]-tblRentRoll[[#This Row],[Operating_Cost_EUR]], "")</f>
        <v>155732.25</v>
      </c>
      <c r="U249">
        <f ca="1">IF(AND(tblRentRoll[[#This Row],[Status]]="Occupied",tblRentRoll[[#This Row],[Lease_End]]&gt;=TODAY()),DATEDIF(TODAY(),tblRentRoll[[#This Row],[Lease_End]],"m"), 0)</f>
        <v>30</v>
      </c>
      <c r="V249" t="str">
        <f ca="1">IF(tblRentRoll[[#This Row],[Status]]&lt;&gt;"Occupied","", IF(tblRentRoll[[#This Row],[Month_to_Expiry]]&lt;=3, "0-3 Monaten",  IF(tblRentRoll[[#This Row],[Month_to_Expiry]]&lt;=6, "3-6 Monaten", IF(tblRentRoll[[#This Row],[Month_to_Expiry]]&lt;=12,"6-12 Monaten", IF(tblRentRoll[[#This Row],[Month_to_Expiry]]&gt;=12, "12 M+",)))))</f>
        <v>12 M+</v>
      </c>
      <c r="W249">
        <f>IF(tblRentRoll[[#This Row],[Status]]="Vacant", tblRentRoll[[#This Row],[Area_sqm]],0)</f>
        <v>0</v>
      </c>
      <c r="X249" s="3">
        <f>IF(tblRentRoll[[#This Row],[Status]]="Occupied", tblRentRoll[[#This Row],[Area_sqm]],0)</f>
        <v>1284</v>
      </c>
      <c r="Y249" s="3">
        <f ca="1">tblRentRoll[[#This Row],[Month_to_Expiry]]/12*tblRentRoll[[#This Row],[Annual_Rent_EUR]]</f>
        <v>395217.30000000005</v>
      </c>
      <c r="Z249" s="3"/>
    </row>
    <row r="250" spans="1:26" x14ac:dyDescent="0.35">
      <c r="A250" t="s">
        <v>12</v>
      </c>
      <c r="B250" t="s">
        <v>401</v>
      </c>
      <c r="C250" t="s">
        <v>29</v>
      </c>
      <c r="D250">
        <v>113</v>
      </c>
      <c r="E250" t="s">
        <v>20</v>
      </c>
      <c r="G250">
        <v>0</v>
      </c>
      <c r="H250">
        <v>0</v>
      </c>
      <c r="I250" s="2">
        <f>tblRentRoll[[#This Row],[Monthly_Rent_EUR]]*12</f>
        <v>0</v>
      </c>
      <c r="J250" s="2" t="str">
        <f>IF(tblRentRoll[[#This Row],[Annual_Rent_EUR]]&lt;&gt;tblRentRoll[[#This Row],[Jahresrente_EUR]], "FALSCH", "")</f>
        <v/>
      </c>
      <c r="M250">
        <v>305.48</v>
      </c>
      <c r="N250">
        <v>77.94</v>
      </c>
      <c r="O25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0" t="str">
        <f>IF(tblRentRoll[[#This Row],[Area_sqm]]&lt;=0,"Area&lt;=0","")</f>
        <v/>
      </c>
      <c r="Q250" t="str">
        <f>IF(tblRentRoll[[#This Row],[Monthly_Rent_EUR]]&lt;=0,"Rent&lt;=0","")</f>
        <v>Rent&lt;=0</v>
      </c>
      <c r="R250" t="str">
        <f>IF(AND(tblRentRoll[[#This Row],[Status]]="Occupied", tblRentRoll[[#This Row],[Area_sqm]]&gt;0), tblRentRoll[[#This Row],[Annual_Rent_EUR]]/tblRentRoll[[#This Row],[Area_sqm]],"")</f>
        <v/>
      </c>
      <c r="S250">
        <f>tblRentRoll[[#This Row],[Service_Charge_EUR]]+tblRentRoll[[#This Row],[Operating_Cost_EUR]]</f>
        <v>383.42</v>
      </c>
      <c r="T250" t="str">
        <f>IF(tblRentRoll[[#This Row],[Annual_Rent_EUR]]&lt;&gt;0,tblRentRoll[[#This Row],[Annual_Rent_EUR]]-tblRentRoll[[#This Row],[Operating_Cost_EUR]], "")</f>
        <v/>
      </c>
      <c r="U250">
        <f ca="1">IF(AND(tblRentRoll[[#This Row],[Status]]="Occupied",tblRentRoll[[#This Row],[Lease_End]]&gt;=TODAY()),DATEDIF(TODAY(),tblRentRoll[[#This Row],[Lease_End]],"m"), 0)</f>
        <v>0</v>
      </c>
      <c r="V250" t="str">
        <f>IF(tblRentRoll[[#This Row],[Status]]&lt;&gt;"Occupied","", IF(tblRentRoll[[#This Row],[Month_to_Expiry]]&lt;=3, "0-3 Monaten",  IF(tblRentRoll[[#This Row],[Month_to_Expiry]]&lt;=6, "3-6 Monaten", IF(tblRentRoll[[#This Row],[Month_to_Expiry]]&lt;=12,"6-12 Monaten", IF(tblRentRoll[[#This Row],[Month_to_Expiry]]&gt;=12, "12 M+",)))))</f>
        <v/>
      </c>
      <c r="W250">
        <f>IF(tblRentRoll[[#This Row],[Status]]="Vacant", tblRentRoll[[#This Row],[Area_sqm]],0)</f>
        <v>113</v>
      </c>
      <c r="X250" s="3">
        <f>IF(tblRentRoll[[#This Row],[Status]]="Occupied", tblRentRoll[[#This Row],[Area_sqm]],0)</f>
        <v>0</v>
      </c>
      <c r="Y250" s="3">
        <f ca="1">tblRentRoll[[#This Row],[Month_to_Expiry]]/12*tblRentRoll[[#This Row],[Annual_Rent_EUR]]</f>
        <v>0</v>
      </c>
      <c r="Z250" s="3"/>
    </row>
    <row r="251" spans="1:26" x14ac:dyDescent="0.35">
      <c r="A251" t="s">
        <v>27</v>
      </c>
      <c r="B251" t="s">
        <v>402</v>
      </c>
      <c r="C251" t="s">
        <v>14</v>
      </c>
      <c r="D251">
        <v>1319</v>
      </c>
      <c r="E251" t="s">
        <v>15</v>
      </c>
      <c r="F251" t="s">
        <v>403</v>
      </c>
      <c r="G251">
        <v>13727.44</v>
      </c>
      <c r="H251">
        <v>164729.28</v>
      </c>
      <c r="I251" s="2">
        <f>tblRentRoll[[#This Row],[Monthly_Rent_EUR]]*12</f>
        <v>164729.28</v>
      </c>
      <c r="J251" s="2" t="str">
        <f>IF(tblRentRoll[[#This Row],[Annual_Rent_EUR]]&lt;&gt;tblRentRoll[[#This Row],[Jahresrente_EUR]], "FALSCH", "")</f>
        <v/>
      </c>
      <c r="K251" s="1">
        <v>44402</v>
      </c>
      <c r="L251" s="1">
        <v>45065</v>
      </c>
      <c r="M251">
        <v>2644.35</v>
      </c>
      <c r="N251">
        <v>3270.93</v>
      </c>
      <c r="O25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1" t="str">
        <f>IF(tblRentRoll[[#This Row],[Area_sqm]]&lt;=0,"Area&lt;=0","")</f>
        <v/>
      </c>
      <c r="Q251" t="str">
        <f>IF(tblRentRoll[[#This Row],[Monthly_Rent_EUR]]&lt;=0,"Rent&lt;=0","")</f>
        <v/>
      </c>
      <c r="R251">
        <f>IF(AND(tblRentRoll[[#This Row],[Status]]="Occupied", tblRentRoll[[#This Row],[Area_sqm]]&gt;0), tblRentRoll[[#This Row],[Annual_Rent_EUR]]/tblRentRoll[[#This Row],[Area_sqm]],"")</f>
        <v>124.88952236542835</v>
      </c>
      <c r="S251">
        <f>tblRentRoll[[#This Row],[Service_Charge_EUR]]+tblRentRoll[[#This Row],[Operating_Cost_EUR]]</f>
        <v>5915.28</v>
      </c>
      <c r="T251">
        <f>IF(tblRentRoll[[#This Row],[Annual_Rent_EUR]]&lt;&gt;0,tblRentRoll[[#This Row],[Annual_Rent_EUR]]-tblRentRoll[[#This Row],[Operating_Cost_EUR]], "")</f>
        <v>161458.35</v>
      </c>
      <c r="U251">
        <f ca="1">IF(AND(tblRentRoll[[#This Row],[Status]]="Occupied",tblRentRoll[[#This Row],[Lease_End]]&gt;=TODAY()),DATEDIF(TODAY(),tblRentRoll[[#This Row],[Lease_End]],"m"), 0)</f>
        <v>0</v>
      </c>
      <c r="V251" t="str">
        <f ca="1">IF(tblRentRoll[[#This Row],[Status]]&lt;&gt;"Occupied","", IF(tblRentRoll[[#This Row],[Month_to_Expiry]]&lt;=3, "0-3 Monaten",  IF(tblRentRoll[[#This Row],[Month_to_Expiry]]&lt;=6, "3-6 Monaten", IF(tblRentRoll[[#This Row],[Month_to_Expiry]]&lt;=12,"6-12 Monaten", IF(tblRentRoll[[#This Row],[Month_to_Expiry]]&gt;=12, "12 M+",)))))</f>
        <v>0-3 Monaten</v>
      </c>
      <c r="W251">
        <f>IF(tblRentRoll[[#This Row],[Status]]="Vacant", tblRentRoll[[#This Row],[Area_sqm]],0)</f>
        <v>0</v>
      </c>
      <c r="X251" s="3">
        <f>IF(tblRentRoll[[#This Row],[Status]]="Occupied", tblRentRoll[[#This Row],[Area_sqm]],0)</f>
        <v>1319</v>
      </c>
      <c r="Y251" s="3">
        <f ca="1">tblRentRoll[[#This Row],[Month_to_Expiry]]/12*tblRentRoll[[#This Row],[Annual_Rent_EUR]]</f>
        <v>0</v>
      </c>
      <c r="Z251" s="3"/>
    </row>
    <row r="252" spans="1:26" x14ac:dyDescent="0.35">
      <c r="A252" t="s">
        <v>17</v>
      </c>
      <c r="B252" t="s">
        <v>404</v>
      </c>
      <c r="C252" t="s">
        <v>33</v>
      </c>
      <c r="D252">
        <v>1182</v>
      </c>
      <c r="E252" t="s">
        <v>15</v>
      </c>
      <c r="F252" t="s">
        <v>405</v>
      </c>
      <c r="G252">
        <v>11810.83</v>
      </c>
      <c r="H252">
        <v>141729.96</v>
      </c>
      <c r="I252" s="2">
        <f>tblRentRoll[[#This Row],[Monthly_Rent_EUR]]*12</f>
        <v>141729.96</v>
      </c>
      <c r="J252" s="2" t="str">
        <f>IF(tblRentRoll[[#This Row],[Annual_Rent_EUR]]&lt;&gt;tblRentRoll[[#This Row],[Jahresrente_EUR]], "FALSCH", "")</f>
        <v/>
      </c>
      <c r="K252" s="1">
        <v>44486</v>
      </c>
      <c r="L252" s="1">
        <v>45380</v>
      </c>
      <c r="M252">
        <v>3069.43</v>
      </c>
      <c r="N252">
        <v>821.43</v>
      </c>
      <c r="O25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2" t="str">
        <f>IF(tblRentRoll[[#This Row],[Area_sqm]]&lt;=0,"Area&lt;=0","")</f>
        <v/>
      </c>
      <c r="Q252" t="str">
        <f>IF(tblRentRoll[[#This Row],[Monthly_Rent_EUR]]&lt;=0,"Rent&lt;=0","")</f>
        <v/>
      </c>
      <c r="R252">
        <f>IF(AND(tblRentRoll[[#This Row],[Status]]="Occupied", tblRentRoll[[#This Row],[Area_sqm]]&gt;0), tblRentRoll[[#This Row],[Annual_Rent_EUR]]/tblRentRoll[[#This Row],[Area_sqm]],"")</f>
        <v>119.90690355329949</v>
      </c>
      <c r="S252">
        <f>tblRentRoll[[#This Row],[Service_Charge_EUR]]+tblRentRoll[[#This Row],[Operating_Cost_EUR]]</f>
        <v>3890.8599999999997</v>
      </c>
      <c r="T252">
        <f>IF(tblRentRoll[[#This Row],[Annual_Rent_EUR]]&lt;&gt;0,tblRentRoll[[#This Row],[Annual_Rent_EUR]]-tblRentRoll[[#This Row],[Operating_Cost_EUR]], "")</f>
        <v>140908.53</v>
      </c>
      <c r="U252">
        <f ca="1">IF(AND(tblRentRoll[[#This Row],[Status]]="Occupied",tblRentRoll[[#This Row],[Lease_End]]&gt;=TODAY()),DATEDIF(TODAY(),tblRentRoll[[#This Row],[Lease_End]],"m"), 0)</f>
        <v>0</v>
      </c>
      <c r="V252" t="str">
        <f ca="1">IF(tblRentRoll[[#This Row],[Status]]&lt;&gt;"Occupied","", IF(tblRentRoll[[#This Row],[Month_to_Expiry]]&lt;=3, "0-3 Monaten",  IF(tblRentRoll[[#This Row],[Month_to_Expiry]]&lt;=6, "3-6 Monaten", IF(tblRentRoll[[#This Row],[Month_to_Expiry]]&lt;=12,"6-12 Monaten", IF(tblRentRoll[[#This Row],[Month_to_Expiry]]&gt;=12, "12 M+",)))))</f>
        <v>0-3 Monaten</v>
      </c>
      <c r="W252">
        <f>IF(tblRentRoll[[#This Row],[Status]]="Vacant", tblRentRoll[[#This Row],[Area_sqm]],0)</f>
        <v>0</v>
      </c>
      <c r="X252" s="3">
        <f>IF(tblRentRoll[[#This Row],[Status]]="Occupied", tblRentRoll[[#This Row],[Area_sqm]],0)</f>
        <v>1182</v>
      </c>
      <c r="Y252" s="3">
        <f ca="1">tblRentRoll[[#This Row],[Month_to_Expiry]]/12*tblRentRoll[[#This Row],[Annual_Rent_EUR]]</f>
        <v>0</v>
      </c>
      <c r="Z252" s="3"/>
    </row>
    <row r="253" spans="1:26" x14ac:dyDescent="0.35">
      <c r="A253" t="s">
        <v>17</v>
      </c>
      <c r="B253" t="s">
        <v>406</v>
      </c>
      <c r="C253" t="s">
        <v>33</v>
      </c>
      <c r="D253">
        <v>663</v>
      </c>
      <c r="E253" t="s">
        <v>15</v>
      </c>
      <c r="F253" t="s">
        <v>407</v>
      </c>
      <c r="G253">
        <v>9581.48</v>
      </c>
      <c r="H253">
        <v>114977.76</v>
      </c>
      <c r="I253" s="2">
        <f>tblRentRoll[[#This Row],[Monthly_Rent_EUR]]*12</f>
        <v>114977.76</v>
      </c>
      <c r="J253" s="2" t="str">
        <f>IF(tblRentRoll[[#This Row],[Annual_Rent_EUR]]&lt;&gt;tblRentRoll[[#This Row],[Jahresrente_EUR]], "FALSCH", "")</f>
        <v/>
      </c>
      <c r="K253" s="1">
        <v>45062</v>
      </c>
      <c r="L253" s="1">
        <v>46051</v>
      </c>
      <c r="M253">
        <v>1371.59</v>
      </c>
      <c r="N253">
        <v>773.13</v>
      </c>
      <c r="O25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3" t="str">
        <f>IF(tblRentRoll[[#This Row],[Area_sqm]]&lt;=0,"Area&lt;=0","")</f>
        <v/>
      </c>
      <c r="Q253" t="str">
        <f>IF(tblRentRoll[[#This Row],[Monthly_Rent_EUR]]&lt;=0,"Rent&lt;=0","")</f>
        <v/>
      </c>
      <c r="R253">
        <f>IF(AND(tblRentRoll[[#This Row],[Status]]="Occupied", tblRentRoll[[#This Row],[Area_sqm]]&gt;0), tblRentRoll[[#This Row],[Annual_Rent_EUR]]/tblRentRoll[[#This Row],[Area_sqm]],"")</f>
        <v>173.42045248868777</v>
      </c>
      <c r="S253">
        <f>tblRentRoll[[#This Row],[Service_Charge_EUR]]+tblRentRoll[[#This Row],[Operating_Cost_EUR]]</f>
        <v>2144.7199999999998</v>
      </c>
      <c r="T253">
        <f>IF(tblRentRoll[[#This Row],[Annual_Rent_EUR]]&lt;&gt;0,tblRentRoll[[#This Row],[Annual_Rent_EUR]]-tblRentRoll[[#This Row],[Operating_Cost_EUR]], "")</f>
        <v>114204.62999999999</v>
      </c>
      <c r="U253">
        <f ca="1">IF(AND(tblRentRoll[[#This Row],[Status]]="Occupied",tblRentRoll[[#This Row],[Lease_End]]&gt;=TODAY()),DATEDIF(TODAY(),tblRentRoll[[#This Row],[Lease_End]],"m"), 0)</f>
        <v>0</v>
      </c>
      <c r="V253" t="str">
        <f ca="1">IF(tblRentRoll[[#This Row],[Status]]&lt;&gt;"Occupied","", IF(tblRentRoll[[#This Row],[Month_to_Expiry]]&lt;=3, "0-3 Monaten",  IF(tblRentRoll[[#This Row],[Month_to_Expiry]]&lt;=6, "3-6 Monaten", IF(tblRentRoll[[#This Row],[Month_to_Expiry]]&lt;=12,"6-12 Monaten", IF(tblRentRoll[[#This Row],[Month_to_Expiry]]&gt;=12, "12 M+",)))))</f>
        <v>0-3 Monaten</v>
      </c>
      <c r="W253">
        <f>IF(tblRentRoll[[#This Row],[Status]]="Vacant", tblRentRoll[[#This Row],[Area_sqm]],0)</f>
        <v>0</v>
      </c>
      <c r="X253" s="3">
        <f>IF(tblRentRoll[[#This Row],[Status]]="Occupied", tblRentRoll[[#This Row],[Area_sqm]],0)</f>
        <v>663</v>
      </c>
      <c r="Y253" s="3">
        <f ca="1">tblRentRoll[[#This Row],[Month_to_Expiry]]/12*tblRentRoll[[#This Row],[Annual_Rent_EUR]]</f>
        <v>0</v>
      </c>
      <c r="Z253" s="3"/>
    </row>
    <row r="254" spans="1:26" x14ac:dyDescent="0.35">
      <c r="A254" t="s">
        <v>12</v>
      </c>
      <c r="B254" t="s">
        <v>408</v>
      </c>
      <c r="C254" t="s">
        <v>29</v>
      </c>
      <c r="D254">
        <v>1125</v>
      </c>
      <c r="E254" t="s">
        <v>15</v>
      </c>
      <c r="F254" t="s">
        <v>86</v>
      </c>
      <c r="G254">
        <v>12123.8</v>
      </c>
      <c r="H254">
        <v>145485.6</v>
      </c>
      <c r="I254" s="2">
        <f>tblRentRoll[[#This Row],[Monthly_Rent_EUR]]*12</f>
        <v>145485.59999999998</v>
      </c>
      <c r="J254" s="2" t="str">
        <f>IF(tblRentRoll[[#This Row],[Annual_Rent_EUR]]&lt;&gt;tblRentRoll[[#This Row],[Jahresrente_EUR]], "FALSCH", "")</f>
        <v/>
      </c>
      <c r="K254" s="1">
        <v>44708</v>
      </c>
      <c r="L254" s="1">
        <v>46001</v>
      </c>
      <c r="M254">
        <v>2341.34</v>
      </c>
      <c r="N254">
        <v>2169.87</v>
      </c>
      <c r="O25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4" t="str">
        <f>IF(tblRentRoll[[#This Row],[Area_sqm]]&lt;=0,"Area&lt;=0","")</f>
        <v/>
      </c>
      <c r="Q254" t="str">
        <f>IF(tblRentRoll[[#This Row],[Monthly_Rent_EUR]]&lt;=0,"Rent&lt;=0","")</f>
        <v/>
      </c>
      <c r="R254">
        <f>IF(AND(tblRentRoll[[#This Row],[Status]]="Occupied", tblRentRoll[[#This Row],[Area_sqm]]&gt;0), tblRentRoll[[#This Row],[Annual_Rent_EUR]]/tblRentRoll[[#This Row],[Area_sqm]],"")</f>
        <v>129.32053333333334</v>
      </c>
      <c r="S254">
        <f>tblRentRoll[[#This Row],[Service_Charge_EUR]]+tblRentRoll[[#This Row],[Operating_Cost_EUR]]</f>
        <v>4511.21</v>
      </c>
      <c r="T254">
        <f>IF(tblRentRoll[[#This Row],[Annual_Rent_EUR]]&lt;&gt;0,tblRentRoll[[#This Row],[Annual_Rent_EUR]]-tblRentRoll[[#This Row],[Operating_Cost_EUR]], "")</f>
        <v>143315.73000000001</v>
      </c>
      <c r="U254">
        <f ca="1">IF(AND(tblRentRoll[[#This Row],[Status]]="Occupied",tblRentRoll[[#This Row],[Lease_End]]&gt;=TODAY()),DATEDIF(TODAY(),tblRentRoll[[#This Row],[Lease_End]],"m"), 0)</f>
        <v>0</v>
      </c>
      <c r="V254" t="str">
        <f ca="1">IF(tblRentRoll[[#This Row],[Status]]&lt;&gt;"Occupied","", IF(tblRentRoll[[#This Row],[Month_to_Expiry]]&lt;=3, "0-3 Monaten",  IF(tblRentRoll[[#This Row],[Month_to_Expiry]]&lt;=6, "3-6 Monaten", IF(tblRentRoll[[#This Row],[Month_to_Expiry]]&lt;=12,"6-12 Monaten", IF(tblRentRoll[[#This Row],[Month_to_Expiry]]&gt;=12, "12 M+",)))))</f>
        <v>0-3 Monaten</v>
      </c>
      <c r="W254">
        <f>IF(tblRentRoll[[#This Row],[Status]]="Vacant", tblRentRoll[[#This Row],[Area_sqm]],0)</f>
        <v>0</v>
      </c>
      <c r="X254" s="3">
        <f>IF(tblRentRoll[[#This Row],[Status]]="Occupied", tblRentRoll[[#This Row],[Area_sqm]],0)</f>
        <v>1125</v>
      </c>
      <c r="Y254" s="3">
        <f ca="1">tblRentRoll[[#This Row],[Month_to_Expiry]]/12*tblRentRoll[[#This Row],[Annual_Rent_EUR]]</f>
        <v>0</v>
      </c>
      <c r="Z254" s="3"/>
    </row>
    <row r="255" spans="1:26" x14ac:dyDescent="0.35">
      <c r="A255" t="s">
        <v>27</v>
      </c>
      <c r="B255" t="s">
        <v>409</v>
      </c>
      <c r="C255" t="s">
        <v>29</v>
      </c>
      <c r="D255">
        <v>868</v>
      </c>
      <c r="E255" t="s">
        <v>15</v>
      </c>
      <c r="F255" t="s">
        <v>142</v>
      </c>
      <c r="G255">
        <v>12028.24</v>
      </c>
      <c r="H255">
        <v>144338.88</v>
      </c>
      <c r="I255" s="2">
        <f>tblRentRoll[[#This Row],[Monthly_Rent_EUR]]*12</f>
        <v>144338.88</v>
      </c>
      <c r="J255" s="2" t="str">
        <f>IF(tblRentRoll[[#This Row],[Annual_Rent_EUR]]&lt;&gt;tblRentRoll[[#This Row],[Jahresrente_EUR]], "FALSCH", "")</f>
        <v/>
      </c>
      <c r="K255" s="1">
        <v>44576</v>
      </c>
      <c r="L255" s="1">
        <v>45856</v>
      </c>
      <c r="M255">
        <v>2394.36</v>
      </c>
      <c r="N255">
        <v>1357.48</v>
      </c>
      <c r="O25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5" t="str">
        <f>IF(tblRentRoll[[#This Row],[Area_sqm]]&lt;=0,"Area&lt;=0","")</f>
        <v/>
      </c>
      <c r="Q255" t="str">
        <f>IF(tblRentRoll[[#This Row],[Monthly_Rent_EUR]]&lt;=0,"Rent&lt;=0","")</f>
        <v/>
      </c>
      <c r="R255">
        <f>IF(AND(tblRentRoll[[#This Row],[Status]]="Occupied", tblRentRoll[[#This Row],[Area_sqm]]&gt;0), tblRentRoll[[#This Row],[Annual_Rent_EUR]]/tblRentRoll[[#This Row],[Area_sqm]],"")</f>
        <v>166.28903225806451</v>
      </c>
      <c r="S255">
        <f>tblRentRoll[[#This Row],[Service_Charge_EUR]]+tblRentRoll[[#This Row],[Operating_Cost_EUR]]</f>
        <v>3751.84</v>
      </c>
      <c r="T255">
        <f>IF(tblRentRoll[[#This Row],[Annual_Rent_EUR]]&lt;&gt;0,tblRentRoll[[#This Row],[Annual_Rent_EUR]]-tblRentRoll[[#This Row],[Operating_Cost_EUR]], "")</f>
        <v>142981.4</v>
      </c>
      <c r="U255">
        <f ca="1">IF(AND(tblRentRoll[[#This Row],[Status]]="Occupied",tblRentRoll[[#This Row],[Lease_End]]&gt;=TODAY()),DATEDIF(TODAY(),tblRentRoll[[#This Row],[Lease_End]],"m"), 0)</f>
        <v>0</v>
      </c>
      <c r="V255" t="str">
        <f ca="1">IF(tblRentRoll[[#This Row],[Status]]&lt;&gt;"Occupied","", IF(tblRentRoll[[#This Row],[Month_to_Expiry]]&lt;=3, "0-3 Monaten",  IF(tblRentRoll[[#This Row],[Month_to_Expiry]]&lt;=6, "3-6 Monaten", IF(tblRentRoll[[#This Row],[Month_to_Expiry]]&lt;=12,"6-12 Monaten", IF(tblRentRoll[[#This Row],[Month_to_Expiry]]&gt;=12, "12 M+",)))))</f>
        <v>0-3 Monaten</v>
      </c>
      <c r="W255">
        <f>IF(tblRentRoll[[#This Row],[Status]]="Vacant", tblRentRoll[[#This Row],[Area_sqm]],0)</f>
        <v>0</v>
      </c>
      <c r="X255" s="3">
        <f>IF(tblRentRoll[[#This Row],[Status]]="Occupied", tblRentRoll[[#This Row],[Area_sqm]],0)</f>
        <v>868</v>
      </c>
      <c r="Y255" s="3">
        <f ca="1">tblRentRoll[[#This Row],[Month_to_Expiry]]/12*tblRentRoll[[#This Row],[Annual_Rent_EUR]]</f>
        <v>0</v>
      </c>
      <c r="Z255" s="3"/>
    </row>
    <row r="256" spans="1:26" x14ac:dyDescent="0.35">
      <c r="A256" t="s">
        <v>24</v>
      </c>
      <c r="B256" t="s">
        <v>410</v>
      </c>
      <c r="C256" t="s">
        <v>19</v>
      </c>
      <c r="D256">
        <v>1211</v>
      </c>
      <c r="E256" t="s">
        <v>15</v>
      </c>
      <c r="F256" t="s">
        <v>411</v>
      </c>
      <c r="G256">
        <v>11158.92</v>
      </c>
      <c r="H256">
        <v>133907.04</v>
      </c>
      <c r="I256" s="2">
        <f>tblRentRoll[[#This Row],[Monthly_Rent_EUR]]*12</f>
        <v>133907.04</v>
      </c>
      <c r="J256" s="2" t="str">
        <f>IF(tblRentRoll[[#This Row],[Annual_Rent_EUR]]&lt;&gt;tblRentRoll[[#This Row],[Jahresrente_EUR]], "FALSCH", "")</f>
        <v/>
      </c>
      <c r="K256" s="1">
        <v>44618</v>
      </c>
      <c r="L256" s="1">
        <v>45747</v>
      </c>
      <c r="M256">
        <v>1380.35</v>
      </c>
      <c r="N256">
        <v>1312.52</v>
      </c>
      <c r="O25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6" t="str">
        <f>IF(tblRentRoll[[#This Row],[Area_sqm]]&lt;=0,"Area&lt;=0","")</f>
        <v/>
      </c>
      <c r="Q256" t="str">
        <f>IF(tblRentRoll[[#This Row],[Monthly_Rent_EUR]]&lt;=0,"Rent&lt;=0","")</f>
        <v/>
      </c>
      <c r="R256">
        <f>IF(AND(tblRentRoll[[#This Row],[Status]]="Occupied", tblRentRoll[[#This Row],[Area_sqm]]&gt;0), tblRentRoll[[#This Row],[Annual_Rent_EUR]]/tblRentRoll[[#This Row],[Area_sqm]],"")</f>
        <v>110.57559042113957</v>
      </c>
      <c r="S256">
        <f>tblRentRoll[[#This Row],[Service_Charge_EUR]]+tblRentRoll[[#This Row],[Operating_Cost_EUR]]</f>
        <v>2692.87</v>
      </c>
      <c r="T256">
        <f>IF(tblRentRoll[[#This Row],[Annual_Rent_EUR]]&lt;&gt;0,tblRentRoll[[#This Row],[Annual_Rent_EUR]]-tblRentRoll[[#This Row],[Operating_Cost_EUR]], "")</f>
        <v>132594.52000000002</v>
      </c>
      <c r="U256">
        <f ca="1">IF(AND(tblRentRoll[[#This Row],[Status]]="Occupied",tblRentRoll[[#This Row],[Lease_End]]&gt;=TODAY()),DATEDIF(TODAY(),tblRentRoll[[#This Row],[Lease_End]],"m"), 0)</f>
        <v>0</v>
      </c>
      <c r="V256" t="str">
        <f ca="1">IF(tblRentRoll[[#This Row],[Status]]&lt;&gt;"Occupied","", IF(tblRentRoll[[#This Row],[Month_to_Expiry]]&lt;=3, "0-3 Monaten",  IF(tblRentRoll[[#This Row],[Month_to_Expiry]]&lt;=6, "3-6 Monaten", IF(tblRentRoll[[#This Row],[Month_to_Expiry]]&lt;=12,"6-12 Monaten", IF(tblRentRoll[[#This Row],[Month_to_Expiry]]&gt;=12, "12 M+",)))))</f>
        <v>0-3 Monaten</v>
      </c>
      <c r="W256">
        <f>IF(tblRentRoll[[#This Row],[Status]]="Vacant", tblRentRoll[[#This Row],[Area_sqm]],0)</f>
        <v>0</v>
      </c>
      <c r="X256" s="3">
        <f>IF(tblRentRoll[[#This Row],[Status]]="Occupied", tblRentRoll[[#This Row],[Area_sqm]],0)</f>
        <v>1211</v>
      </c>
      <c r="Y256" s="3">
        <f ca="1">tblRentRoll[[#This Row],[Month_to_Expiry]]/12*tblRentRoll[[#This Row],[Annual_Rent_EUR]]</f>
        <v>0</v>
      </c>
      <c r="Z256" s="3"/>
    </row>
    <row r="257" spans="1:26" x14ac:dyDescent="0.35">
      <c r="A257" t="s">
        <v>27</v>
      </c>
      <c r="B257" t="s">
        <v>412</v>
      </c>
      <c r="C257" t="s">
        <v>14</v>
      </c>
      <c r="D257">
        <v>1306</v>
      </c>
      <c r="E257" t="s">
        <v>15</v>
      </c>
      <c r="F257" t="s">
        <v>323</v>
      </c>
      <c r="G257">
        <v>21377.51</v>
      </c>
      <c r="H257">
        <v>256530.12</v>
      </c>
      <c r="I257" s="2">
        <f>tblRentRoll[[#This Row],[Monthly_Rent_EUR]]*12</f>
        <v>256530.12</v>
      </c>
      <c r="J257" s="2" t="str">
        <f>IF(tblRentRoll[[#This Row],[Annual_Rent_EUR]]&lt;&gt;tblRentRoll[[#This Row],[Jahresrente_EUR]], "FALSCH", "")</f>
        <v/>
      </c>
      <c r="K257" s="1">
        <v>44759</v>
      </c>
      <c r="L257" s="1">
        <v>45682</v>
      </c>
      <c r="M257">
        <v>1798.49</v>
      </c>
      <c r="N257">
        <v>1707.22</v>
      </c>
      <c r="O25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7" t="str">
        <f>IF(tblRentRoll[[#This Row],[Area_sqm]]&lt;=0,"Area&lt;=0","")</f>
        <v/>
      </c>
      <c r="Q257" t="str">
        <f>IF(tblRentRoll[[#This Row],[Monthly_Rent_EUR]]&lt;=0,"Rent&lt;=0","")</f>
        <v/>
      </c>
      <c r="R257">
        <f>IF(AND(tblRentRoll[[#This Row],[Status]]="Occupied", tblRentRoll[[#This Row],[Area_sqm]]&gt;0), tblRentRoll[[#This Row],[Annual_Rent_EUR]]/tblRentRoll[[#This Row],[Area_sqm]],"")</f>
        <v>196.42428790199079</v>
      </c>
      <c r="S257">
        <f>tblRentRoll[[#This Row],[Service_Charge_EUR]]+tblRentRoll[[#This Row],[Operating_Cost_EUR]]</f>
        <v>3505.71</v>
      </c>
      <c r="T257">
        <f>IF(tblRentRoll[[#This Row],[Annual_Rent_EUR]]&lt;&gt;0,tblRentRoll[[#This Row],[Annual_Rent_EUR]]-tblRentRoll[[#This Row],[Operating_Cost_EUR]], "")</f>
        <v>254822.9</v>
      </c>
      <c r="U257">
        <f ca="1">IF(AND(tblRentRoll[[#This Row],[Status]]="Occupied",tblRentRoll[[#This Row],[Lease_End]]&gt;=TODAY()),DATEDIF(TODAY(),tblRentRoll[[#This Row],[Lease_End]],"m"), 0)</f>
        <v>0</v>
      </c>
      <c r="V257" t="str">
        <f ca="1">IF(tblRentRoll[[#This Row],[Status]]&lt;&gt;"Occupied","", IF(tblRentRoll[[#This Row],[Month_to_Expiry]]&lt;=3, "0-3 Monaten",  IF(tblRentRoll[[#This Row],[Month_to_Expiry]]&lt;=6, "3-6 Monaten", IF(tblRentRoll[[#This Row],[Month_to_Expiry]]&lt;=12,"6-12 Monaten", IF(tblRentRoll[[#This Row],[Month_to_Expiry]]&gt;=12, "12 M+",)))))</f>
        <v>0-3 Monaten</v>
      </c>
      <c r="W257">
        <f>IF(tblRentRoll[[#This Row],[Status]]="Vacant", tblRentRoll[[#This Row],[Area_sqm]],0)</f>
        <v>0</v>
      </c>
      <c r="X257" s="3">
        <f>IF(tblRentRoll[[#This Row],[Status]]="Occupied", tblRentRoll[[#This Row],[Area_sqm]],0)</f>
        <v>1306</v>
      </c>
      <c r="Y257" s="3">
        <f ca="1">tblRentRoll[[#This Row],[Month_to_Expiry]]/12*tblRentRoll[[#This Row],[Annual_Rent_EUR]]</f>
        <v>0</v>
      </c>
      <c r="Z257" s="3"/>
    </row>
    <row r="258" spans="1:26" x14ac:dyDescent="0.35">
      <c r="A258" t="s">
        <v>17</v>
      </c>
      <c r="B258" t="s">
        <v>413</v>
      </c>
      <c r="C258" t="s">
        <v>19</v>
      </c>
      <c r="D258">
        <v>1065</v>
      </c>
      <c r="E258" t="s">
        <v>15</v>
      </c>
      <c r="F258" t="s">
        <v>280</v>
      </c>
      <c r="G258">
        <v>9261.65</v>
      </c>
      <c r="H258">
        <v>111139.8</v>
      </c>
      <c r="I258" s="2">
        <f>tblRentRoll[[#This Row],[Monthly_Rent_EUR]]*12</f>
        <v>111139.79999999999</v>
      </c>
      <c r="J258" s="2" t="str">
        <f>IF(tblRentRoll[[#This Row],[Annual_Rent_EUR]]&lt;&gt;tblRentRoll[[#This Row],[Jahresrente_EUR]], "FALSCH", "")</f>
        <v/>
      </c>
      <c r="K258" s="1">
        <v>45069</v>
      </c>
      <c r="L258" s="1">
        <v>46721</v>
      </c>
      <c r="M258">
        <v>1869.29</v>
      </c>
      <c r="N258">
        <v>1399.89</v>
      </c>
      <c r="O25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8" t="str">
        <f>IF(tblRentRoll[[#This Row],[Area_sqm]]&lt;=0,"Area&lt;=0","")</f>
        <v/>
      </c>
      <c r="Q258" t="str">
        <f>IF(tblRentRoll[[#This Row],[Monthly_Rent_EUR]]&lt;=0,"Rent&lt;=0","")</f>
        <v/>
      </c>
      <c r="R258">
        <f>IF(AND(tblRentRoll[[#This Row],[Status]]="Occupied", tblRentRoll[[#This Row],[Area_sqm]]&gt;0), tblRentRoll[[#This Row],[Annual_Rent_EUR]]/tblRentRoll[[#This Row],[Area_sqm]],"")</f>
        <v>104.35661971830986</v>
      </c>
      <c r="S258">
        <f>tblRentRoll[[#This Row],[Service_Charge_EUR]]+tblRentRoll[[#This Row],[Operating_Cost_EUR]]</f>
        <v>3269.1800000000003</v>
      </c>
      <c r="T258">
        <f>IF(tblRentRoll[[#This Row],[Annual_Rent_EUR]]&lt;&gt;0,tblRentRoll[[#This Row],[Annual_Rent_EUR]]-tblRentRoll[[#This Row],[Operating_Cost_EUR]], "")</f>
        <v>109739.91</v>
      </c>
      <c r="U258">
        <f ca="1">IF(AND(tblRentRoll[[#This Row],[Status]]="Occupied",tblRentRoll[[#This Row],[Lease_End]]&gt;=TODAY()),DATEDIF(TODAY(),tblRentRoll[[#This Row],[Lease_End]],"m"), 0)</f>
        <v>20</v>
      </c>
      <c r="V258" t="str">
        <f ca="1">IF(tblRentRoll[[#This Row],[Status]]&lt;&gt;"Occupied","", IF(tblRentRoll[[#This Row],[Month_to_Expiry]]&lt;=3, "0-3 Monaten",  IF(tblRentRoll[[#This Row],[Month_to_Expiry]]&lt;=6, "3-6 Monaten", IF(tblRentRoll[[#This Row],[Month_to_Expiry]]&lt;=12,"6-12 Monaten", IF(tblRentRoll[[#This Row],[Month_to_Expiry]]&gt;=12, "12 M+",)))))</f>
        <v>12 M+</v>
      </c>
      <c r="W258">
        <f>IF(tblRentRoll[[#This Row],[Status]]="Vacant", tblRentRoll[[#This Row],[Area_sqm]],0)</f>
        <v>0</v>
      </c>
      <c r="X258" s="3">
        <f>IF(tblRentRoll[[#This Row],[Status]]="Occupied", tblRentRoll[[#This Row],[Area_sqm]],0)</f>
        <v>1065</v>
      </c>
      <c r="Y258" s="3">
        <f ca="1">tblRentRoll[[#This Row],[Month_to_Expiry]]/12*tblRentRoll[[#This Row],[Annual_Rent_EUR]]</f>
        <v>185233</v>
      </c>
      <c r="Z258" s="3"/>
    </row>
    <row r="259" spans="1:26" x14ac:dyDescent="0.35">
      <c r="A259" t="s">
        <v>44</v>
      </c>
      <c r="B259" t="s">
        <v>414</v>
      </c>
      <c r="C259" t="s">
        <v>19</v>
      </c>
      <c r="D259">
        <v>606</v>
      </c>
      <c r="E259" t="s">
        <v>15</v>
      </c>
      <c r="F259" t="s">
        <v>128</v>
      </c>
      <c r="G259">
        <v>9430.5300000000007</v>
      </c>
      <c r="H259">
        <v>113166.36</v>
      </c>
      <c r="I259" s="2">
        <f>tblRentRoll[[#This Row],[Monthly_Rent_EUR]]*12</f>
        <v>113166.36000000002</v>
      </c>
      <c r="J259" s="2" t="str">
        <f>IF(tblRentRoll[[#This Row],[Annual_Rent_EUR]]&lt;&gt;tblRentRoll[[#This Row],[Jahresrente_EUR]], "FALSCH", "")</f>
        <v/>
      </c>
      <c r="K259" s="1">
        <v>44362</v>
      </c>
      <c r="L259" s="1">
        <v>45438</v>
      </c>
      <c r="M259">
        <v>1647.28</v>
      </c>
      <c r="N259">
        <v>1135.04</v>
      </c>
      <c r="O25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59" t="str">
        <f>IF(tblRentRoll[[#This Row],[Area_sqm]]&lt;=0,"Area&lt;=0","")</f>
        <v/>
      </c>
      <c r="Q259" t="str">
        <f>IF(tblRentRoll[[#This Row],[Monthly_Rent_EUR]]&lt;=0,"Rent&lt;=0","")</f>
        <v/>
      </c>
      <c r="R259">
        <f>IF(AND(tblRentRoll[[#This Row],[Status]]="Occupied", tblRentRoll[[#This Row],[Area_sqm]]&gt;0), tblRentRoll[[#This Row],[Annual_Rent_EUR]]/tblRentRoll[[#This Row],[Area_sqm]],"")</f>
        <v>186.74316831683169</v>
      </c>
      <c r="S259">
        <f>tblRentRoll[[#This Row],[Service_Charge_EUR]]+tblRentRoll[[#This Row],[Operating_Cost_EUR]]</f>
        <v>2782.3199999999997</v>
      </c>
      <c r="T259">
        <f>IF(tblRentRoll[[#This Row],[Annual_Rent_EUR]]&lt;&gt;0,tblRentRoll[[#This Row],[Annual_Rent_EUR]]-tblRentRoll[[#This Row],[Operating_Cost_EUR]], "")</f>
        <v>112031.32</v>
      </c>
      <c r="U259">
        <f ca="1">IF(AND(tblRentRoll[[#This Row],[Status]]="Occupied",tblRentRoll[[#This Row],[Lease_End]]&gt;=TODAY()),DATEDIF(TODAY(),tblRentRoll[[#This Row],[Lease_End]],"m"), 0)</f>
        <v>0</v>
      </c>
      <c r="V259" t="str">
        <f ca="1">IF(tblRentRoll[[#This Row],[Status]]&lt;&gt;"Occupied","", IF(tblRentRoll[[#This Row],[Month_to_Expiry]]&lt;=3, "0-3 Monaten",  IF(tblRentRoll[[#This Row],[Month_to_Expiry]]&lt;=6, "3-6 Monaten", IF(tblRentRoll[[#This Row],[Month_to_Expiry]]&lt;=12,"6-12 Monaten", IF(tblRentRoll[[#This Row],[Month_to_Expiry]]&gt;=12, "12 M+",)))))</f>
        <v>0-3 Monaten</v>
      </c>
      <c r="W259">
        <f>IF(tblRentRoll[[#This Row],[Status]]="Vacant", tblRentRoll[[#This Row],[Area_sqm]],0)</f>
        <v>0</v>
      </c>
      <c r="X259" s="3">
        <f>IF(tblRentRoll[[#This Row],[Status]]="Occupied", tblRentRoll[[#This Row],[Area_sqm]],0)</f>
        <v>606</v>
      </c>
      <c r="Y259" s="3">
        <f ca="1">tblRentRoll[[#This Row],[Month_to_Expiry]]/12*tblRentRoll[[#This Row],[Annual_Rent_EUR]]</f>
        <v>0</v>
      </c>
      <c r="Z259" s="3"/>
    </row>
    <row r="260" spans="1:26" x14ac:dyDescent="0.35">
      <c r="A260" t="s">
        <v>27</v>
      </c>
      <c r="B260" t="s">
        <v>415</v>
      </c>
      <c r="C260" t="s">
        <v>14</v>
      </c>
      <c r="D260">
        <v>1292</v>
      </c>
      <c r="E260" t="s">
        <v>15</v>
      </c>
      <c r="F260" t="s">
        <v>88</v>
      </c>
      <c r="G260">
        <v>13841.72</v>
      </c>
      <c r="H260">
        <v>166100.64000000001</v>
      </c>
      <c r="I260" s="2">
        <f>tblRentRoll[[#This Row],[Monthly_Rent_EUR]]*12</f>
        <v>166100.63999999998</v>
      </c>
      <c r="J260" s="2" t="str">
        <f>IF(tblRentRoll[[#This Row],[Annual_Rent_EUR]]&lt;&gt;tblRentRoll[[#This Row],[Jahresrente_EUR]], "FALSCH", "")</f>
        <v/>
      </c>
      <c r="K260" s="1">
        <v>45089</v>
      </c>
      <c r="L260" s="1">
        <v>45769</v>
      </c>
      <c r="M260">
        <v>1464.11</v>
      </c>
      <c r="N260">
        <v>2822.58</v>
      </c>
      <c r="O26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0" t="str">
        <f>IF(tblRentRoll[[#This Row],[Area_sqm]]&lt;=0,"Area&lt;=0","")</f>
        <v/>
      </c>
      <c r="Q260" t="str">
        <f>IF(tblRentRoll[[#This Row],[Monthly_Rent_EUR]]&lt;=0,"Rent&lt;=0","")</f>
        <v/>
      </c>
      <c r="R260">
        <f>IF(AND(tblRentRoll[[#This Row],[Status]]="Occupied", tblRentRoll[[#This Row],[Area_sqm]]&gt;0), tblRentRoll[[#This Row],[Annual_Rent_EUR]]/tblRentRoll[[#This Row],[Area_sqm]],"")</f>
        <v>128.56086687306504</v>
      </c>
      <c r="S260">
        <f>tblRentRoll[[#This Row],[Service_Charge_EUR]]+tblRentRoll[[#This Row],[Operating_Cost_EUR]]</f>
        <v>4286.6899999999996</v>
      </c>
      <c r="T260">
        <f>IF(tblRentRoll[[#This Row],[Annual_Rent_EUR]]&lt;&gt;0,tblRentRoll[[#This Row],[Annual_Rent_EUR]]-tblRentRoll[[#This Row],[Operating_Cost_EUR]], "")</f>
        <v>163278.06000000003</v>
      </c>
      <c r="U260">
        <f ca="1">IF(AND(tblRentRoll[[#This Row],[Status]]="Occupied",tblRentRoll[[#This Row],[Lease_End]]&gt;=TODAY()),DATEDIF(TODAY(),tblRentRoll[[#This Row],[Lease_End]],"m"), 0)</f>
        <v>0</v>
      </c>
      <c r="V260" t="str">
        <f ca="1">IF(tblRentRoll[[#This Row],[Status]]&lt;&gt;"Occupied","", IF(tblRentRoll[[#This Row],[Month_to_Expiry]]&lt;=3, "0-3 Monaten",  IF(tblRentRoll[[#This Row],[Month_to_Expiry]]&lt;=6, "3-6 Monaten", IF(tblRentRoll[[#This Row],[Month_to_Expiry]]&lt;=12,"6-12 Monaten", IF(tblRentRoll[[#This Row],[Month_to_Expiry]]&gt;=12, "12 M+",)))))</f>
        <v>0-3 Monaten</v>
      </c>
      <c r="W260">
        <f>IF(tblRentRoll[[#This Row],[Status]]="Vacant", tblRentRoll[[#This Row],[Area_sqm]],0)</f>
        <v>0</v>
      </c>
      <c r="X260" s="3">
        <f>IF(tblRentRoll[[#This Row],[Status]]="Occupied", tblRentRoll[[#This Row],[Area_sqm]],0)</f>
        <v>1292</v>
      </c>
      <c r="Y260" s="3">
        <f ca="1">tblRentRoll[[#This Row],[Month_to_Expiry]]/12*tblRentRoll[[#This Row],[Annual_Rent_EUR]]</f>
        <v>0</v>
      </c>
      <c r="Z260" s="3"/>
    </row>
    <row r="261" spans="1:26" x14ac:dyDescent="0.35">
      <c r="A261" t="s">
        <v>31</v>
      </c>
      <c r="B261" t="s">
        <v>416</v>
      </c>
      <c r="C261" t="s">
        <v>14</v>
      </c>
      <c r="D261">
        <v>737</v>
      </c>
      <c r="E261" t="s">
        <v>15</v>
      </c>
      <c r="F261" t="s">
        <v>417</v>
      </c>
      <c r="G261">
        <v>11569.91</v>
      </c>
      <c r="H261">
        <v>138838.92000000001</v>
      </c>
      <c r="I261" s="2">
        <f>tblRentRoll[[#This Row],[Monthly_Rent_EUR]]*12</f>
        <v>138838.91999999998</v>
      </c>
      <c r="J261" s="2" t="str">
        <f>IF(tblRentRoll[[#This Row],[Annual_Rent_EUR]]&lt;&gt;tblRentRoll[[#This Row],[Jahresrente_EUR]], "FALSCH", "")</f>
        <v/>
      </c>
      <c r="K261" s="1">
        <v>44345</v>
      </c>
      <c r="L261" s="1">
        <v>45591</v>
      </c>
      <c r="M261">
        <v>1021.83</v>
      </c>
      <c r="N261">
        <v>795.58</v>
      </c>
      <c r="O26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1" t="str">
        <f>IF(tblRentRoll[[#This Row],[Area_sqm]]&lt;=0,"Area&lt;=0","")</f>
        <v/>
      </c>
      <c r="Q261" t="str">
        <f>IF(tblRentRoll[[#This Row],[Monthly_Rent_EUR]]&lt;=0,"Rent&lt;=0","")</f>
        <v/>
      </c>
      <c r="R261">
        <f>IF(AND(tblRentRoll[[#This Row],[Status]]="Occupied", tblRentRoll[[#This Row],[Area_sqm]]&gt;0), tblRentRoll[[#This Row],[Annual_Rent_EUR]]/tblRentRoll[[#This Row],[Area_sqm]],"")</f>
        <v>188.38388059701495</v>
      </c>
      <c r="S261">
        <f>tblRentRoll[[#This Row],[Service_Charge_EUR]]+tblRentRoll[[#This Row],[Operating_Cost_EUR]]</f>
        <v>1817.41</v>
      </c>
      <c r="T261">
        <f>IF(tblRentRoll[[#This Row],[Annual_Rent_EUR]]&lt;&gt;0,tblRentRoll[[#This Row],[Annual_Rent_EUR]]-tblRentRoll[[#This Row],[Operating_Cost_EUR]], "")</f>
        <v>138043.34000000003</v>
      </c>
      <c r="U261">
        <f ca="1">IF(AND(tblRentRoll[[#This Row],[Status]]="Occupied",tblRentRoll[[#This Row],[Lease_End]]&gt;=TODAY()),DATEDIF(TODAY(),tblRentRoll[[#This Row],[Lease_End]],"m"), 0)</f>
        <v>0</v>
      </c>
      <c r="V261" t="str">
        <f ca="1">IF(tblRentRoll[[#This Row],[Status]]&lt;&gt;"Occupied","", IF(tblRentRoll[[#This Row],[Month_to_Expiry]]&lt;=3, "0-3 Monaten",  IF(tblRentRoll[[#This Row],[Month_to_Expiry]]&lt;=6, "3-6 Monaten", IF(tblRentRoll[[#This Row],[Month_to_Expiry]]&lt;=12,"6-12 Monaten", IF(tblRentRoll[[#This Row],[Month_to_Expiry]]&gt;=12, "12 M+",)))))</f>
        <v>0-3 Monaten</v>
      </c>
      <c r="W261">
        <f>IF(tblRentRoll[[#This Row],[Status]]="Vacant", tblRentRoll[[#This Row],[Area_sqm]],0)</f>
        <v>0</v>
      </c>
      <c r="X261" s="3">
        <f>IF(tblRentRoll[[#This Row],[Status]]="Occupied", tblRentRoll[[#This Row],[Area_sqm]],0)</f>
        <v>737</v>
      </c>
      <c r="Y261" s="3">
        <f ca="1">tblRentRoll[[#This Row],[Month_to_Expiry]]/12*tblRentRoll[[#This Row],[Annual_Rent_EUR]]</f>
        <v>0</v>
      </c>
      <c r="Z261" s="3"/>
    </row>
    <row r="262" spans="1:26" x14ac:dyDescent="0.35">
      <c r="A262" t="s">
        <v>24</v>
      </c>
      <c r="B262" t="s">
        <v>418</v>
      </c>
      <c r="C262" t="s">
        <v>19</v>
      </c>
      <c r="D262">
        <v>932</v>
      </c>
      <c r="E262" t="s">
        <v>15</v>
      </c>
      <c r="F262" t="s">
        <v>98</v>
      </c>
      <c r="G262">
        <v>7401.95</v>
      </c>
      <c r="H262">
        <v>88823.4</v>
      </c>
      <c r="I262" s="2">
        <f>tblRentRoll[[#This Row],[Monthly_Rent_EUR]]*12</f>
        <v>88823.4</v>
      </c>
      <c r="J262" s="2" t="str">
        <f>IF(tblRentRoll[[#This Row],[Annual_Rent_EUR]]&lt;&gt;tblRentRoll[[#This Row],[Jahresrente_EUR]], "FALSCH", "")</f>
        <v/>
      </c>
      <c r="K262" s="1">
        <v>44695</v>
      </c>
      <c r="L262" s="1">
        <v>45034</v>
      </c>
      <c r="M262">
        <v>2443.35</v>
      </c>
      <c r="N262">
        <v>757.45</v>
      </c>
      <c r="O26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2" t="str">
        <f>IF(tblRentRoll[[#This Row],[Area_sqm]]&lt;=0,"Area&lt;=0","")</f>
        <v/>
      </c>
      <c r="Q262" t="str">
        <f>IF(tblRentRoll[[#This Row],[Monthly_Rent_EUR]]&lt;=0,"Rent&lt;=0","")</f>
        <v/>
      </c>
      <c r="R262">
        <f>IF(AND(tblRentRoll[[#This Row],[Status]]="Occupied", tblRentRoll[[#This Row],[Area_sqm]]&gt;0), tblRentRoll[[#This Row],[Annual_Rent_EUR]]/tblRentRoll[[#This Row],[Area_sqm]],"")</f>
        <v>95.304077253218878</v>
      </c>
      <c r="S262">
        <f>tblRentRoll[[#This Row],[Service_Charge_EUR]]+tblRentRoll[[#This Row],[Operating_Cost_EUR]]</f>
        <v>3200.8</v>
      </c>
      <c r="T262">
        <f>IF(tblRentRoll[[#This Row],[Annual_Rent_EUR]]&lt;&gt;0,tblRentRoll[[#This Row],[Annual_Rent_EUR]]-tblRentRoll[[#This Row],[Operating_Cost_EUR]], "")</f>
        <v>88065.95</v>
      </c>
      <c r="U262">
        <f ca="1">IF(AND(tblRentRoll[[#This Row],[Status]]="Occupied",tblRentRoll[[#This Row],[Lease_End]]&gt;=TODAY()),DATEDIF(TODAY(),tblRentRoll[[#This Row],[Lease_End]],"m"), 0)</f>
        <v>0</v>
      </c>
      <c r="V262" t="str">
        <f ca="1">IF(tblRentRoll[[#This Row],[Status]]&lt;&gt;"Occupied","", IF(tblRentRoll[[#This Row],[Month_to_Expiry]]&lt;=3, "0-3 Monaten",  IF(tblRentRoll[[#This Row],[Month_to_Expiry]]&lt;=6, "3-6 Monaten", IF(tblRentRoll[[#This Row],[Month_to_Expiry]]&lt;=12,"6-12 Monaten", IF(tblRentRoll[[#This Row],[Month_to_Expiry]]&gt;=12, "12 M+",)))))</f>
        <v>0-3 Monaten</v>
      </c>
      <c r="W262">
        <f>IF(tblRentRoll[[#This Row],[Status]]="Vacant", tblRentRoll[[#This Row],[Area_sqm]],0)</f>
        <v>0</v>
      </c>
      <c r="X262" s="3">
        <f>IF(tblRentRoll[[#This Row],[Status]]="Occupied", tblRentRoll[[#This Row],[Area_sqm]],0)</f>
        <v>932</v>
      </c>
      <c r="Y262" s="3">
        <f ca="1">tblRentRoll[[#This Row],[Month_to_Expiry]]/12*tblRentRoll[[#This Row],[Annual_Rent_EUR]]</f>
        <v>0</v>
      </c>
      <c r="Z262" s="3"/>
    </row>
    <row r="263" spans="1:26" x14ac:dyDescent="0.35">
      <c r="A263" t="s">
        <v>31</v>
      </c>
      <c r="B263" t="s">
        <v>419</v>
      </c>
      <c r="C263" t="s">
        <v>29</v>
      </c>
      <c r="D263">
        <v>907</v>
      </c>
      <c r="E263" t="s">
        <v>15</v>
      </c>
      <c r="F263" t="s">
        <v>199</v>
      </c>
      <c r="G263">
        <v>12409.13</v>
      </c>
      <c r="H263">
        <v>148909.56</v>
      </c>
      <c r="I263" s="2">
        <f>tblRentRoll[[#This Row],[Monthly_Rent_EUR]]*12</f>
        <v>148909.56</v>
      </c>
      <c r="J263" s="2" t="str">
        <f>IF(tblRentRoll[[#This Row],[Annual_Rent_EUR]]&lt;&gt;tblRentRoll[[#This Row],[Jahresrente_EUR]], "FALSCH", "")</f>
        <v/>
      </c>
      <c r="K263" s="1">
        <v>45014</v>
      </c>
      <c r="L263" s="1">
        <v>45700</v>
      </c>
      <c r="M263">
        <v>1980.97</v>
      </c>
      <c r="N263">
        <v>1518.78</v>
      </c>
      <c r="O26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3" t="str">
        <f>IF(tblRentRoll[[#This Row],[Area_sqm]]&lt;=0,"Area&lt;=0","")</f>
        <v/>
      </c>
      <c r="Q263" t="str">
        <f>IF(tblRentRoll[[#This Row],[Monthly_Rent_EUR]]&lt;=0,"Rent&lt;=0","")</f>
        <v/>
      </c>
      <c r="R263">
        <f>IF(AND(tblRentRoll[[#This Row],[Status]]="Occupied", tblRentRoll[[#This Row],[Area_sqm]]&gt;0), tblRentRoll[[#This Row],[Annual_Rent_EUR]]/tblRentRoll[[#This Row],[Area_sqm]],"")</f>
        <v>164.17812568908488</v>
      </c>
      <c r="S263">
        <f>tblRentRoll[[#This Row],[Service_Charge_EUR]]+tblRentRoll[[#This Row],[Operating_Cost_EUR]]</f>
        <v>3499.75</v>
      </c>
      <c r="T263">
        <f>IF(tblRentRoll[[#This Row],[Annual_Rent_EUR]]&lt;&gt;0,tblRentRoll[[#This Row],[Annual_Rent_EUR]]-tblRentRoll[[#This Row],[Operating_Cost_EUR]], "")</f>
        <v>147390.78</v>
      </c>
      <c r="U263">
        <f ca="1">IF(AND(tblRentRoll[[#This Row],[Status]]="Occupied",tblRentRoll[[#This Row],[Lease_End]]&gt;=TODAY()),DATEDIF(TODAY(),tblRentRoll[[#This Row],[Lease_End]],"m"), 0)</f>
        <v>0</v>
      </c>
      <c r="V263" t="str">
        <f ca="1">IF(tblRentRoll[[#This Row],[Status]]&lt;&gt;"Occupied","", IF(tblRentRoll[[#This Row],[Month_to_Expiry]]&lt;=3, "0-3 Monaten",  IF(tblRentRoll[[#This Row],[Month_to_Expiry]]&lt;=6, "3-6 Monaten", IF(tblRentRoll[[#This Row],[Month_to_Expiry]]&lt;=12,"6-12 Monaten", IF(tblRentRoll[[#This Row],[Month_to_Expiry]]&gt;=12, "12 M+",)))))</f>
        <v>0-3 Monaten</v>
      </c>
      <c r="W263">
        <f>IF(tblRentRoll[[#This Row],[Status]]="Vacant", tblRentRoll[[#This Row],[Area_sqm]],0)</f>
        <v>0</v>
      </c>
      <c r="X263" s="3">
        <f>IF(tblRentRoll[[#This Row],[Status]]="Occupied", tblRentRoll[[#This Row],[Area_sqm]],0)</f>
        <v>907</v>
      </c>
      <c r="Y263" s="3">
        <f ca="1">tblRentRoll[[#This Row],[Month_to_Expiry]]/12*tblRentRoll[[#This Row],[Annual_Rent_EUR]]</f>
        <v>0</v>
      </c>
      <c r="Z263" s="3"/>
    </row>
    <row r="264" spans="1:26" x14ac:dyDescent="0.35">
      <c r="A264" t="s">
        <v>17</v>
      </c>
      <c r="B264" t="s">
        <v>420</v>
      </c>
      <c r="C264" t="s">
        <v>29</v>
      </c>
      <c r="D264">
        <v>1243</v>
      </c>
      <c r="E264" t="s">
        <v>15</v>
      </c>
      <c r="F264" t="s">
        <v>421</v>
      </c>
      <c r="G264">
        <v>14047.51</v>
      </c>
      <c r="H264">
        <v>168570.12</v>
      </c>
      <c r="I264" s="2">
        <f>tblRentRoll[[#This Row],[Monthly_Rent_EUR]]*12</f>
        <v>168570.12</v>
      </c>
      <c r="J264" s="2" t="str">
        <f>IF(tblRentRoll[[#This Row],[Annual_Rent_EUR]]&lt;&gt;tblRentRoll[[#This Row],[Jahresrente_EUR]], "FALSCH", "")</f>
        <v/>
      </c>
      <c r="K264" s="1">
        <v>44356</v>
      </c>
      <c r="L264" s="1">
        <v>44537</v>
      </c>
      <c r="M264">
        <v>3340.25</v>
      </c>
      <c r="N264">
        <v>1271.97</v>
      </c>
      <c r="O26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4" t="str">
        <f>IF(tblRentRoll[[#This Row],[Area_sqm]]&lt;=0,"Area&lt;=0","")</f>
        <v/>
      </c>
      <c r="Q264" t="str">
        <f>IF(tblRentRoll[[#This Row],[Monthly_Rent_EUR]]&lt;=0,"Rent&lt;=0","")</f>
        <v/>
      </c>
      <c r="R264">
        <f>IF(AND(tblRentRoll[[#This Row],[Status]]="Occupied", tblRentRoll[[#This Row],[Area_sqm]]&gt;0), tblRentRoll[[#This Row],[Annual_Rent_EUR]]/tblRentRoll[[#This Row],[Area_sqm]],"")</f>
        <v>135.61554304102975</v>
      </c>
      <c r="S264">
        <f>tblRentRoll[[#This Row],[Service_Charge_EUR]]+tblRentRoll[[#This Row],[Operating_Cost_EUR]]</f>
        <v>4612.22</v>
      </c>
      <c r="T264">
        <f>IF(tblRentRoll[[#This Row],[Annual_Rent_EUR]]&lt;&gt;0,tblRentRoll[[#This Row],[Annual_Rent_EUR]]-tblRentRoll[[#This Row],[Operating_Cost_EUR]], "")</f>
        <v>167298.15</v>
      </c>
      <c r="U264">
        <f ca="1">IF(AND(tblRentRoll[[#This Row],[Status]]="Occupied",tblRentRoll[[#This Row],[Lease_End]]&gt;=TODAY()),DATEDIF(TODAY(),tblRentRoll[[#This Row],[Lease_End]],"m"), 0)</f>
        <v>0</v>
      </c>
      <c r="V264" t="str">
        <f ca="1">IF(tblRentRoll[[#This Row],[Status]]&lt;&gt;"Occupied","", IF(tblRentRoll[[#This Row],[Month_to_Expiry]]&lt;=3, "0-3 Monaten",  IF(tblRentRoll[[#This Row],[Month_to_Expiry]]&lt;=6, "3-6 Monaten", IF(tblRentRoll[[#This Row],[Month_to_Expiry]]&lt;=12,"6-12 Monaten", IF(tblRentRoll[[#This Row],[Month_to_Expiry]]&gt;=12, "12 M+",)))))</f>
        <v>0-3 Monaten</v>
      </c>
      <c r="W264">
        <f>IF(tblRentRoll[[#This Row],[Status]]="Vacant", tblRentRoll[[#This Row],[Area_sqm]],0)</f>
        <v>0</v>
      </c>
      <c r="X264" s="3">
        <f>IF(tblRentRoll[[#This Row],[Status]]="Occupied", tblRentRoll[[#This Row],[Area_sqm]],0)</f>
        <v>1243</v>
      </c>
      <c r="Y264" s="3">
        <f ca="1">tblRentRoll[[#This Row],[Month_to_Expiry]]/12*tblRentRoll[[#This Row],[Annual_Rent_EUR]]</f>
        <v>0</v>
      </c>
      <c r="Z264" s="3"/>
    </row>
    <row r="265" spans="1:26" x14ac:dyDescent="0.35">
      <c r="A265" t="s">
        <v>12</v>
      </c>
      <c r="B265" t="s">
        <v>422</v>
      </c>
      <c r="C265" t="s">
        <v>33</v>
      </c>
      <c r="D265">
        <v>1219</v>
      </c>
      <c r="E265" t="s">
        <v>15</v>
      </c>
      <c r="F265" t="s">
        <v>148</v>
      </c>
      <c r="G265">
        <v>14433.44</v>
      </c>
      <c r="H265">
        <v>173201.28</v>
      </c>
      <c r="I265" s="2">
        <f>tblRentRoll[[#This Row],[Monthly_Rent_EUR]]*12</f>
        <v>173201.28</v>
      </c>
      <c r="J265" s="2" t="str">
        <f>IF(tblRentRoll[[#This Row],[Annual_Rent_EUR]]&lt;&gt;tblRentRoll[[#This Row],[Jahresrente_EUR]], "FALSCH", "")</f>
        <v/>
      </c>
      <c r="K265" s="1">
        <v>44413</v>
      </c>
      <c r="L265" s="1">
        <v>44787</v>
      </c>
      <c r="M265">
        <v>3482.79</v>
      </c>
      <c r="N265">
        <v>1141.3900000000001</v>
      </c>
      <c r="O26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5" t="str">
        <f>IF(tblRentRoll[[#This Row],[Area_sqm]]&lt;=0,"Area&lt;=0","")</f>
        <v/>
      </c>
      <c r="Q265" t="str">
        <f>IF(tblRentRoll[[#This Row],[Monthly_Rent_EUR]]&lt;=0,"Rent&lt;=0","")</f>
        <v/>
      </c>
      <c r="R265">
        <f>IF(AND(tblRentRoll[[#This Row],[Status]]="Occupied", tblRentRoll[[#This Row],[Area_sqm]]&gt;0), tblRentRoll[[#This Row],[Annual_Rent_EUR]]/tblRentRoll[[#This Row],[Area_sqm]],"")</f>
        <v>142.08472518457751</v>
      </c>
      <c r="S265">
        <f>tblRentRoll[[#This Row],[Service_Charge_EUR]]+tblRentRoll[[#This Row],[Operating_Cost_EUR]]</f>
        <v>4624.18</v>
      </c>
      <c r="T265">
        <f>IF(tblRentRoll[[#This Row],[Annual_Rent_EUR]]&lt;&gt;0,tblRentRoll[[#This Row],[Annual_Rent_EUR]]-tblRentRoll[[#This Row],[Operating_Cost_EUR]], "")</f>
        <v>172059.88999999998</v>
      </c>
      <c r="U265">
        <f ca="1">IF(AND(tblRentRoll[[#This Row],[Status]]="Occupied",tblRentRoll[[#This Row],[Lease_End]]&gt;=TODAY()),DATEDIF(TODAY(),tblRentRoll[[#This Row],[Lease_End]],"m"), 0)</f>
        <v>0</v>
      </c>
      <c r="V265" t="str">
        <f ca="1">IF(tblRentRoll[[#This Row],[Status]]&lt;&gt;"Occupied","", IF(tblRentRoll[[#This Row],[Month_to_Expiry]]&lt;=3, "0-3 Monaten",  IF(tblRentRoll[[#This Row],[Month_to_Expiry]]&lt;=6, "3-6 Monaten", IF(tblRentRoll[[#This Row],[Month_to_Expiry]]&lt;=12,"6-12 Monaten", IF(tblRentRoll[[#This Row],[Month_to_Expiry]]&gt;=12, "12 M+",)))))</f>
        <v>0-3 Monaten</v>
      </c>
      <c r="W265">
        <f>IF(tblRentRoll[[#This Row],[Status]]="Vacant", tblRentRoll[[#This Row],[Area_sqm]],0)</f>
        <v>0</v>
      </c>
      <c r="X265" s="3">
        <f>IF(tblRentRoll[[#This Row],[Status]]="Occupied", tblRentRoll[[#This Row],[Area_sqm]],0)</f>
        <v>1219</v>
      </c>
      <c r="Y265" s="3">
        <f ca="1">tblRentRoll[[#This Row],[Month_to_Expiry]]/12*tblRentRoll[[#This Row],[Annual_Rent_EUR]]</f>
        <v>0</v>
      </c>
      <c r="Z265" s="3"/>
    </row>
    <row r="266" spans="1:26" x14ac:dyDescent="0.35">
      <c r="A266" t="s">
        <v>21</v>
      </c>
      <c r="B266" t="s">
        <v>423</v>
      </c>
      <c r="C266" t="s">
        <v>29</v>
      </c>
      <c r="D266">
        <v>1121</v>
      </c>
      <c r="E266" t="s">
        <v>15</v>
      </c>
      <c r="F266" t="s">
        <v>360</v>
      </c>
      <c r="G266">
        <v>10977.23</v>
      </c>
      <c r="H266">
        <v>131726.76</v>
      </c>
      <c r="I266" s="2">
        <f>tblRentRoll[[#This Row],[Monthly_Rent_EUR]]*12</f>
        <v>131726.76</v>
      </c>
      <c r="J266" s="2" t="str">
        <f>IF(tblRentRoll[[#This Row],[Annual_Rent_EUR]]&lt;&gt;tblRentRoll[[#This Row],[Jahresrente_EUR]], "FALSCH", "")</f>
        <v/>
      </c>
      <c r="K266" s="1">
        <v>44436</v>
      </c>
      <c r="L266" s="1">
        <v>45104</v>
      </c>
      <c r="M266">
        <v>1740.74</v>
      </c>
      <c r="N266">
        <v>2055.2399999999998</v>
      </c>
      <c r="O26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6" t="str">
        <f>IF(tblRentRoll[[#This Row],[Area_sqm]]&lt;=0,"Area&lt;=0","")</f>
        <v/>
      </c>
      <c r="Q266" t="str">
        <f>IF(tblRentRoll[[#This Row],[Monthly_Rent_EUR]]&lt;=0,"Rent&lt;=0","")</f>
        <v/>
      </c>
      <c r="R266">
        <f>IF(AND(tblRentRoll[[#This Row],[Status]]="Occupied", tblRentRoll[[#This Row],[Area_sqm]]&gt;0), tblRentRoll[[#This Row],[Annual_Rent_EUR]]/tblRentRoll[[#This Row],[Area_sqm]],"")</f>
        <v>117.50826048171277</v>
      </c>
      <c r="S266">
        <f>tblRentRoll[[#This Row],[Service_Charge_EUR]]+tblRentRoll[[#This Row],[Operating_Cost_EUR]]</f>
        <v>3795.9799999999996</v>
      </c>
      <c r="T266">
        <f>IF(tblRentRoll[[#This Row],[Annual_Rent_EUR]]&lt;&gt;0,tblRentRoll[[#This Row],[Annual_Rent_EUR]]-tblRentRoll[[#This Row],[Operating_Cost_EUR]], "")</f>
        <v>129671.52</v>
      </c>
      <c r="U266">
        <f ca="1">IF(AND(tblRentRoll[[#This Row],[Status]]="Occupied",tblRentRoll[[#This Row],[Lease_End]]&gt;=TODAY()),DATEDIF(TODAY(),tblRentRoll[[#This Row],[Lease_End]],"m"), 0)</f>
        <v>0</v>
      </c>
      <c r="V266" t="str">
        <f ca="1">IF(tblRentRoll[[#This Row],[Status]]&lt;&gt;"Occupied","", IF(tblRentRoll[[#This Row],[Month_to_Expiry]]&lt;=3, "0-3 Monaten",  IF(tblRentRoll[[#This Row],[Month_to_Expiry]]&lt;=6, "3-6 Monaten", IF(tblRentRoll[[#This Row],[Month_to_Expiry]]&lt;=12,"6-12 Monaten", IF(tblRentRoll[[#This Row],[Month_to_Expiry]]&gt;=12, "12 M+",)))))</f>
        <v>0-3 Monaten</v>
      </c>
      <c r="W266">
        <f>IF(tblRentRoll[[#This Row],[Status]]="Vacant", tblRentRoll[[#This Row],[Area_sqm]],0)</f>
        <v>0</v>
      </c>
      <c r="X266" s="3">
        <f>IF(tblRentRoll[[#This Row],[Status]]="Occupied", tblRentRoll[[#This Row],[Area_sqm]],0)</f>
        <v>1121</v>
      </c>
      <c r="Y266" s="3">
        <f ca="1">tblRentRoll[[#This Row],[Month_to_Expiry]]/12*tblRentRoll[[#This Row],[Annual_Rent_EUR]]</f>
        <v>0</v>
      </c>
      <c r="Z266" s="3"/>
    </row>
    <row r="267" spans="1:26" x14ac:dyDescent="0.35">
      <c r="A267" t="s">
        <v>24</v>
      </c>
      <c r="B267" t="s">
        <v>424</v>
      </c>
      <c r="C267" t="s">
        <v>14</v>
      </c>
      <c r="D267">
        <v>816</v>
      </c>
      <c r="E267" t="s">
        <v>15</v>
      </c>
      <c r="F267" t="s">
        <v>257</v>
      </c>
      <c r="G267">
        <v>7869.55</v>
      </c>
      <c r="H267">
        <v>94434.6</v>
      </c>
      <c r="I267" s="2">
        <f>tblRentRoll[[#This Row],[Monthly_Rent_EUR]]*12</f>
        <v>94434.6</v>
      </c>
      <c r="J267" s="2" t="str">
        <f>IF(tblRentRoll[[#This Row],[Annual_Rent_EUR]]&lt;&gt;tblRentRoll[[#This Row],[Jahresrente_EUR]], "FALSCH", "")</f>
        <v/>
      </c>
      <c r="K267" s="1">
        <v>44686</v>
      </c>
      <c r="L267" s="1">
        <v>44974</v>
      </c>
      <c r="M267">
        <v>1300.73</v>
      </c>
      <c r="N267">
        <v>686.34</v>
      </c>
      <c r="O26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7" t="str">
        <f>IF(tblRentRoll[[#This Row],[Area_sqm]]&lt;=0,"Area&lt;=0","")</f>
        <v/>
      </c>
      <c r="Q267" t="str">
        <f>IF(tblRentRoll[[#This Row],[Monthly_Rent_EUR]]&lt;=0,"Rent&lt;=0","")</f>
        <v/>
      </c>
      <c r="R267">
        <f>IF(AND(tblRentRoll[[#This Row],[Status]]="Occupied", tblRentRoll[[#This Row],[Area_sqm]]&gt;0), tblRentRoll[[#This Row],[Annual_Rent_EUR]]/tblRentRoll[[#This Row],[Area_sqm]],"")</f>
        <v>115.72867647058824</v>
      </c>
      <c r="S267">
        <f>tblRentRoll[[#This Row],[Service_Charge_EUR]]+tblRentRoll[[#This Row],[Operating_Cost_EUR]]</f>
        <v>1987.0700000000002</v>
      </c>
      <c r="T267">
        <f>IF(tblRentRoll[[#This Row],[Annual_Rent_EUR]]&lt;&gt;0,tblRentRoll[[#This Row],[Annual_Rent_EUR]]-tblRentRoll[[#This Row],[Operating_Cost_EUR]], "")</f>
        <v>93748.260000000009</v>
      </c>
      <c r="U267">
        <f ca="1">IF(AND(tblRentRoll[[#This Row],[Status]]="Occupied",tblRentRoll[[#This Row],[Lease_End]]&gt;=TODAY()),DATEDIF(TODAY(),tblRentRoll[[#This Row],[Lease_End]],"m"), 0)</f>
        <v>0</v>
      </c>
      <c r="V267" t="str">
        <f ca="1">IF(tblRentRoll[[#This Row],[Status]]&lt;&gt;"Occupied","", IF(tblRentRoll[[#This Row],[Month_to_Expiry]]&lt;=3, "0-3 Monaten",  IF(tblRentRoll[[#This Row],[Month_to_Expiry]]&lt;=6, "3-6 Monaten", IF(tblRentRoll[[#This Row],[Month_to_Expiry]]&lt;=12,"6-12 Monaten", IF(tblRentRoll[[#This Row],[Month_to_Expiry]]&gt;=12, "12 M+",)))))</f>
        <v>0-3 Monaten</v>
      </c>
      <c r="W267">
        <f>IF(tblRentRoll[[#This Row],[Status]]="Vacant", tblRentRoll[[#This Row],[Area_sqm]],0)</f>
        <v>0</v>
      </c>
      <c r="X267" s="3">
        <f>IF(tblRentRoll[[#This Row],[Status]]="Occupied", tblRentRoll[[#This Row],[Area_sqm]],0)</f>
        <v>816</v>
      </c>
      <c r="Y267" s="3">
        <f ca="1">tblRentRoll[[#This Row],[Month_to_Expiry]]/12*tblRentRoll[[#This Row],[Annual_Rent_EUR]]</f>
        <v>0</v>
      </c>
      <c r="Z267" s="3"/>
    </row>
    <row r="268" spans="1:26" x14ac:dyDescent="0.35">
      <c r="A268" t="s">
        <v>12</v>
      </c>
      <c r="B268" t="s">
        <v>425</v>
      </c>
      <c r="C268" t="s">
        <v>33</v>
      </c>
      <c r="D268">
        <v>831</v>
      </c>
      <c r="E268" t="s">
        <v>15</v>
      </c>
      <c r="F268" t="s">
        <v>128</v>
      </c>
      <c r="G268">
        <v>6279.65</v>
      </c>
      <c r="H268">
        <v>75355.8</v>
      </c>
      <c r="I268" s="2">
        <f>tblRentRoll[[#This Row],[Monthly_Rent_EUR]]*12</f>
        <v>75355.799999999988</v>
      </c>
      <c r="J268" s="2" t="str">
        <f>IF(tblRentRoll[[#This Row],[Annual_Rent_EUR]]&lt;&gt;tblRentRoll[[#This Row],[Jahresrente_EUR]], "FALSCH", "")</f>
        <v/>
      </c>
      <c r="K268" s="1">
        <v>44452</v>
      </c>
      <c r="L268" s="1">
        <v>45587</v>
      </c>
      <c r="M268">
        <v>2301.5</v>
      </c>
      <c r="N268">
        <v>877.18</v>
      </c>
      <c r="O26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8" t="str">
        <f>IF(tblRentRoll[[#This Row],[Area_sqm]]&lt;=0,"Area&lt;=0","")</f>
        <v/>
      </c>
      <c r="Q268" t="str">
        <f>IF(tblRentRoll[[#This Row],[Monthly_Rent_EUR]]&lt;=0,"Rent&lt;=0","")</f>
        <v/>
      </c>
      <c r="R268">
        <f>IF(AND(tblRentRoll[[#This Row],[Status]]="Occupied", tblRentRoll[[#This Row],[Area_sqm]]&gt;0), tblRentRoll[[#This Row],[Annual_Rent_EUR]]/tblRentRoll[[#This Row],[Area_sqm]],"")</f>
        <v>90.680866425992789</v>
      </c>
      <c r="S268">
        <f>tblRentRoll[[#This Row],[Service_Charge_EUR]]+tblRentRoll[[#This Row],[Operating_Cost_EUR]]</f>
        <v>3178.68</v>
      </c>
      <c r="T268">
        <f>IF(tblRentRoll[[#This Row],[Annual_Rent_EUR]]&lt;&gt;0,tblRentRoll[[#This Row],[Annual_Rent_EUR]]-tblRentRoll[[#This Row],[Operating_Cost_EUR]], "")</f>
        <v>74478.62000000001</v>
      </c>
      <c r="U268">
        <f ca="1">IF(AND(tblRentRoll[[#This Row],[Status]]="Occupied",tblRentRoll[[#This Row],[Lease_End]]&gt;=TODAY()),DATEDIF(TODAY(),tblRentRoll[[#This Row],[Lease_End]],"m"), 0)</f>
        <v>0</v>
      </c>
      <c r="V268" t="str">
        <f ca="1">IF(tblRentRoll[[#This Row],[Status]]&lt;&gt;"Occupied","", IF(tblRentRoll[[#This Row],[Month_to_Expiry]]&lt;=3, "0-3 Monaten",  IF(tblRentRoll[[#This Row],[Month_to_Expiry]]&lt;=6, "3-6 Monaten", IF(tblRentRoll[[#This Row],[Month_to_Expiry]]&lt;=12,"6-12 Monaten", IF(tblRentRoll[[#This Row],[Month_to_Expiry]]&gt;=12, "12 M+",)))))</f>
        <v>0-3 Monaten</v>
      </c>
      <c r="W268">
        <f>IF(tblRentRoll[[#This Row],[Status]]="Vacant", tblRentRoll[[#This Row],[Area_sqm]],0)</f>
        <v>0</v>
      </c>
      <c r="X268" s="3">
        <f>IF(tblRentRoll[[#This Row],[Status]]="Occupied", tblRentRoll[[#This Row],[Area_sqm]],0)</f>
        <v>831</v>
      </c>
      <c r="Y268" s="3">
        <f ca="1">tblRentRoll[[#This Row],[Month_to_Expiry]]/12*tblRentRoll[[#This Row],[Annual_Rent_EUR]]</f>
        <v>0</v>
      </c>
      <c r="Z268" s="3"/>
    </row>
    <row r="269" spans="1:26" x14ac:dyDescent="0.35">
      <c r="A269" t="s">
        <v>21</v>
      </c>
      <c r="B269" t="s">
        <v>426</v>
      </c>
      <c r="C269" t="s">
        <v>14</v>
      </c>
      <c r="D269">
        <v>1481</v>
      </c>
      <c r="E269" t="s">
        <v>20</v>
      </c>
      <c r="G269">
        <v>0</v>
      </c>
      <c r="H269">
        <v>0</v>
      </c>
      <c r="I269" s="2">
        <f>tblRentRoll[[#This Row],[Monthly_Rent_EUR]]*12</f>
        <v>0</v>
      </c>
      <c r="J269" s="2" t="str">
        <f>IF(tblRentRoll[[#This Row],[Annual_Rent_EUR]]&lt;&gt;tblRentRoll[[#This Row],[Jahresrente_EUR]], "FALSCH", "")</f>
        <v/>
      </c>
      <c r="M269">
        <v>4308.04</v>
      </c>
      <c r="N269">
        <v>3570.43</v>
      </c>
      <c r="O26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69" t="str">
        <f>IF(tblRentRoll[[#This Row],[Area_sqm]]&lt;=0,"Area&lt;=0","")</f>
        <v/>
      </c>
      <c r="Q269" t="str">
        <f>IF(tblRentRoll[[#This Row],[Monthly_Rent_EUR]]&lt;=0,"Rent&lt;=0","")</f>
        <v>Rent&lt;=0</v>
      </c>
      <c r="R269" t="str">
        <f>IF(AND(tblRentRoll[[#This Row],[Status]]="Occupied", tblRentRoll[[#This Row],[Area_sqm]]&gt;0), tblRentRoll[[#This Row],[Annual_Rent_EUR]]/tblRentRoll[[#This Row],[Area_sqm]],"")</f>
        <v/>
      </c>
      <c r="S269">
        <f>tblRentRoll[[#This Row],[Service_Charge_EUR]]+tblRentRoll[[#This Row],[Operating_Cost_EUR]]</f>
        <v>7878.4699999999993</v>
      </c>
      <c r="T269" t="str">
        <f>IF(tblRentRoll[[#This Row],[Annual_Rent_EUR]]&lt;&gt;0,tblRentRoll[[#This Row],[Annual_Rent_EUR]]-tblRentRoll[[#This Row],[Operating_Cost_EUR]], "")</f>
        <v/>
      </c>
      <c r="U269">
        <f ca="1">IF(AND(tblRentRoll[[#This Row],[Status]]="Occupied",tblRentRoll[[#This Row],[Lease_End]]&gt;=TODAY()),DATEDIF(TODAY(),tblRentRoll[[#This Row],[Lease_End]],"m"), 0)</f>
        <v>0</v>
      </c>
      <c r="V269" t="str">
        <f>IF(tblRentRoll[[#This Row],[Status]]&lt;&gt;"Occupied","", IF(tblRentRoll[[#This Row],[Month_to_Expiry]]&lt;=3, "0-3 Monaten",  IF(tblRentRoll[[#This Row],[Month_to_Expiry]]&lt;=6, "3-6 Monaten", IF(tblRentRoll[[#This Row],[Month_to_Expiry]]&lt;=12,"6-12 Monaten", IF(tblRentRoll[[#This Row],[Month_to_Expiry]]&gt;=12, "12 M+",)))))</f>
        <v/>
      </c>
      <c r="W269">
        <f>IF(tblRentRoll[[#This Row],[Status]]="Vacant", tblRentRoll[[#This Row],[Area_sqm]],0)</f>
        <v>1481</v>
      </c>
      <c r="X269" s="3">
        <f>IF(tblRentRoll[[#This Row],[Status]]="Occupied", tblRentRoll[[#This Row],[Area_sqm]],0)</f>
        <v>0</v>
      </c>
      <c r="Y269" s="3">
        <f ca="1">tblRentRoll[[#This Row],[Month_to_Expiry]]/12*tblRentRoll[[#This Row],[Annual_Rent_EUR]]</f>
        <v>0</v>
      </c>
      <c r="Z269" s="3"/>
    </row>
    <row r="270" spans="1:26" x14ac:dyDescent="0.35">
      <c r="A270" t="s">
        <v>24</v>
      </c>
      <c r="B270" t="s">
        <v>427</v>
      </c>
      <c r="C270" t="s">
        <v>29</v>
      </c>
      <c r="D270">
        <v>784</v>
      </c>
      <c r="E270" t="s">
        <v>15</v>
      </c>
      <c r="F270" t="s">
        <v>317</v>
      </c>
      <c r="G270">
        <v>6149.55</v>
      </c>
      <c r="H270">
        <v>73794.600000000006</v>
      </c>
      <c r="I270" s="2">
        <f>tblRentRoll[[#This Row],[Monthly_Rent_EUR]]*12</f>
        <v>73794.600000000006</v>
      </c>
      <c r="J270" s="2" t="str">
        <f>IF(tblRentRoll[[#This Row],[Annual_Rent_EUR]]&lt;&gt;tblRentRoll[[#This Row],[Jahresrente_EUR]], "FALSCH", "")</f>
        <v/>
      </c>
      <c r="K270" s="1">
        <v>44698</v>
      </c>
      <c r="L270" s="1">
        <v>44953</v>
      </c>
      <c r="M270">
        <v>1081.3699999999999</v>
      </c>
      <c r="N270">
        <v>1367.92</v>
      </c>
      <c r="O27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0" t="str">
        <f>IF(tblRentRoll[[#This Row],[Area_sqm]]&lt;=0,"Area&lt;=0","")</f>
        <v/>
      </c>
      <c r="Q270" t="str">
        <f>IF(tblRentRoll[[#This Row],[Monthly_Rent_EUR]]&lt;=0,"Rent&lt;=0","")</f>
        <v/>
      </c>
      <c r="R270">
        <f>IF(AND(tblRentRoll[[#This Row],[Status]]="Occupied", tblRentRoll[[#This Row],[Area_sqm]]&gt;0), tblRentRoll[[#This Row],[Annual_Rent_EUR]]/tblRentRoll[[#This Row],[Area_sqm]],"")</f>
        <v>94.12576530612246</v>
      </c>
      <c r="S270">
        <f>tblRentRoll[[#This Row],[Service_Charge_EUR]]+tblRentRoll[[#This Row],[Operating_Cost_EUR]]</f>
        <v>2449.29</v>
      </c>
      <c r="T270">
        <f>IF(tblRentRoll[[#This Row],[Annual_Rent_EUR]]&lt;&gt;0,tblRentRoll[[#This Row],[Annual_Rent_EUR]]-tblRentRoll[[#This Row],[Operating_Cost_EUR]], "")</f>
        <v>72426.680000000008</v>
      </c>
      <c r="U270">
        <f ca="1">IF(AND(tblRentRoll[[#This Row],[Status]]="Occupied",tblRentRoll[[#This Row],[Lease_End]]&gt;=TODAY()),DATEDIF(TODAY(),tblRentRoll[[#This Row],[Lease_End]],"m"), 0)</f>
        <v>0</v>
      </c>
      <c r="V270" t="str">
        <f ca="1">IF(tblRentRoll[[#This Row],[Status]]&lt;&gt;"Occupied","", IF(tblRentRoll[[#This Row],[Month_to_Expiry]]&lt;=3, "0-3 Monaten",  IF(tblRentRoll[[#This Row],[Month_to_Expiry]]&lt;=6, "3-6 Monaten", IF(tblRentRoll[[#This Row],[Month_to_Expiry]]&lt;=12,"6-12 Monaten", IF(tblRentRoll[[#This Row],[Month_to_Expiry]]&gt;=12, "12 M+",)))))</f>
        <v>0-3 Monaten</v>
      </c>
      <c r="W270">
        <f>IF(tblRentRoll[[#This Row],[Status]]="Vacant", tblRentRoll[[#This Row],[Area_sqm]],0)</f>
        <v>0</v>
      </c>
      <c r="X270" s="3">
        <f>IF(tblRentRoll[[#This Row],[Status]]="Occupied", tblRentRoll[[#This Row],[Area_sqm]],0)</f>
        <v>784</v>
      </c>
      <c r="Y270" s="3">
        <f ca="1">tblRentRoll[[#This Row],[Month_to_Expiry]]/12*tblRentRoll[[#This Row],[Annual_Rent_EUR]]</f>
        <v>0</v>
      </c>
      <c r="Z270" s="3"/>
    </row>
    <row r="271" spans="1:26" x14ac:dyDescent="0.35">
      <c r="A271" t="s">
        <v>24</v>
      </c>
      <c r="B271" t="s">
        <v>428</v>
      </c>
      <c r="C271" t="s">
        <v>14</v>
      </c>
      <c r="D271">
        <v>709</v>
      </c>
      <c r="E271" t="s">
        <v>15</v>
      </c>
      <c r="F271" t="s">
        <v>429</v>
      </c>
      <c r="G271">
        <v>8072.65</v>
      </c>
      <c r="H271">
        <v>96871.8</v>
      </c>
      <c r="I271" s="2">
        <f>tblRentRoll[[#This Row],[Monthly_Rent_EUR]]*12</f>
        <v>96871.799999999988</v>
      </c>
      <c r="J271" s="2" t="str">
        <f>IF(tblRentRoll[[#This Row],[Annual_Rent_EUR]]&lt;&gt;tblRentRoll[[#This Row],[Jahresrente_EUR]], "FALSCH", "")</f>
        <v/>
      </c>
      <c r="K271" s="1">
        <v>45078</v>
      </c>
      <c r="L271" s="1">
        <v>46170</v>
      </c>
      <c r="M271">
        <v>1473.89</v>
      </c>
      <c r="N271">
        <v>1159.49</v>
      </c>
      <c r="O27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1" t="str">
        <f>IF(tblRentRoll[[#This Row],[Area_sqm]]&lt;=0,"Area&lt;=0","")</f>
        <v/>
      </c>
      <c r="Q271" t="str">
        <f>IF(tblRentRoll[[#This Row],[Monthly_Rent_EUR]]&lt;=0,"Rent&lt;=0","")</f>
        <v/>
      </c>
      <c r="R271">
        <f>IF(AND(tblRentRoll[[#This Row],[Status]]="Occupied", tblRentRoll[[#This Row],[Area_sqm]]&gt;0), tblRentRoll[[#This Row],[Annual_Rent_EUR]]/tblRentRoll[[#This Row],[Area_sqm]],"")</f>
        <v>136.63159379407617</v>
      </c>
      <c r="S271">
        <f>tblRentRoll[[#This Row],[Service_Charge_EUR]]+tblRentRoll[[#This Row],[Operating_Cost_EUR]]</f>
        <v>2633.38</v>
      </c>
      <c r="T271">
        <f>IF(tblRentRoll[[#This Row],[Annual_Rent_EUR]]&lt;&gt;0,tblRentRoll[[#This Row],[Annual_Rent_EUR]]-tblRentRoll[[#This Row],[Operating_Cost_EUR]], "")</f>
        <v>95712.31</v>
      </c>
      <c r="U271">
        <f ca="1">IF(AND(tblRentRoll[[#This Row],[Status]]="Occupied",tblRentRoll[[#This Row],[Lease_End]]&gt;=TODAY()),DATEDIF(TODAY(),tblRentRoll[[#This Row],[Lease_End]],"m"), 0)</f>
        <v>2</v>
      </c>
      <c r="V271" t="str">
        <f ca="1">IF(tblRentRoll[[#This Row],[Status]]&lt;&gt;"Occupied","", IF(tblRentRoll[[#This Row],[Month_to_Expiry]]&lt;=3, "0-3 Monaten",  IF(tblRentRoll[[#This Row],[Month_to_Expiry]]&lt;=6, "3-6 Monaten", IF(tblRentRoll[[#This Row],[Month_to_Expiry]]&lt;=12,"6-12 Monaten", IF(tblRentRoll[[#This Row],[Month_to_Expiry]]&gt;=12, "12 M+",)))))</f>
        <v>0-3 Monaten</v>
      </c>
      <c r="W271">
        <f>IF(tblRentRoll[[#This Row],[Status]]="Vacant", tblRentRoll[[#This Row],[Area_sqm]],0)</f>
        <v>0</v>
      </c>
      <c r="X271" s="3">
        <f>IF(tblRentRoll[[#This Row],[Status]]="Occupied", tblRentRoll[[#This Row],[Area_sqm]],0)</f>
        <v>709</v>
      </c>
      <c r="Y271" s="3">
        <f ca="1">tblRentRoll[[#This Row],[Month_to_Expiry]]/12*tblRentRoll[[#This Row],[Annual_Rent_EUR]]</f>
        <v>16145.3</v>
      </c>
      <c r="Z271" s="3"/>
    </row>
    <row r="272" spans="1:26" x14ac:dyDescent="0.35">
      <c r="A272" t="s">
        <v>56</v>
      </c>
      <c r="B272" t="s">
        <v>430</v>
      </c>
      <c r="C272" t="s">
        <v>33</v>
      </c>
      <c r="D272">
        <v>288</v>
      </c>
      <c r="E272" t="s">
        <v>15</v>
      </c>
      <c r="F272" t="s">
        <v>215</v>
      </c>
      <c r="G272">
        <v>2628.04</v>
      </c>
      <c r="H272">
        <v>31536.48</v>
      </c>
      <c r="I272" s="2">
        <f>tblRentRoll[[#This Row],[Monthly_Rent_EUR]]*12</f>
        <v>31536.48</v>
      </c>
      <c r="J272" s="2" t="str">
        <f>IF(tblRentRoll[[#This Row],[Annual_Rent_EUR]]&lt;&gt;tblRentRoll[[#This Row],[Jahresrente_EUR]], "FALSCH", "")</f>
        <v/>
      </c>
      <c r="K272" s="1">
        <v>44583</v>
      </c>
      <c r="L272" s="1">
        <v>45571</v>
      </c>
      <c r="M272">
        <v>350.7</v>
      </c>
      <c r="N272">
        <v>400.82</v>
      </c>
      <c r="O27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2" t="str">
        <f>IF(tblRentRoll[[#This Row],[Area_sqm]]&lt;=0,"Area&lt;=0","")</f>
        <v/>
      </c>
      <c r="Q272" t="str">
        <f>IF(tblRentRoll[[#This Row],[Monthly_Rent_EUR]]&lt;=0,"Rent&lt;=0","")</f>
        <v/>
      </c>
      <c r="R272">
        <f>IF(AND(tblRentRoll[[#This Row],[Status]]="Occupied", tblRentRoll[[#This Row],[Area_sqm]]&gt;0), tblRentRoll[[#This Row],[Annual_Rent_EUR]]/tblRentRoll[[#This Row],[Area_sqm]],"")</f>
        <v>109.50166666666667</v>
      </c>
      <c r="S272">
        <f>tblRentRoll[[#This Row],[Service_Charge_EUR]]+tblRentRoll[[#This Row],[Operating_Cost_EUR]]</f>
        <v>751.52</v>
      </c>
      <c r="T272">
        <f>IF(tblRentRoll[[#This Row],[Annual_Rent_EUR]]&lt;&gt;0,tblRentRoll[[#This Row],[Annual_Rent_EUR]]-tblRentRoll[[#This Row],[Operating_Cost_EUR]], "")</f>
        <v>31135.66</v>
      </c>
      <c r="U272">
        <f ca="1">IF(AND(tblRentRoll[[#This Row],[Status]]="Occupied",tblRentRoll[[#This Row],[Lease_End]]&gt;=TODAY()),DATEDIF(TODAY(),tblRentRoll[[#This Row],[Lease_End]],"m"), 0)</f>
        <v>0</v>
      </c>
      <c r="V272" t="str">
        <f ca="1">IF(tblRentRoll[[#This Row],[Status]]&lt;&gt;"Occupied","", IF(tblRentRoll[[#This Row],[Month_to_Expiry]]&lt;=3, "0-3 Monaten",  IF(tblRentRoll[[#This Row],[Month_to_Expiry]]&lt;=6, "3-6 Monaten", IF(tblRentRoll[[#This Row],[Month_to_Expiry]]&lt;=12,"6-12 Monaten", IF(tblRentRoll[[#This Row],[Month_to_Expiry]]&gt;=12, "12 M+",)))))</f>
        <v>0-3 Monaten</v>
      </c>
      <c r="W272">
        <f>IF(tblRentRoll[[#This Row],[Status]]="Vacant", tblRentRoll[[#This Row],[Area_sqm]],0)</f>
        <v>0</v>
      </c>
      <c r="X272" s="3">
        <f>IF(tblRentRoll[[#This Row],[Status]]="Occupied", tblRentRoll[[#This Row],[Area_sqm]],0)</f>
        <v>288</v>
      </c>
      <c r="Y272" s="3">
        <f ca="1">tblRentRoll[[#This Row],[Month_to_Expiry]]/12*tblRentRoll[[#This Row],[Annual_Rent_EUR]]</f>
        <v>0</v>
      </c>
      <c r="Z272" s="3"/>
    </row>
    <row r="273" spans="1:26" x14ac:dyDescent="0.35">
      <c r="A273" t="s">
        <v>17</v>
      </c>
      <c r="B273" t="s">
        <v>431</v>
      </c>
      <c r="C273" t="s">
        <v>29</v>
      </c>
      <c r="D273">
        <v>1258</v>
      </c>
      <c r="E273" t="s">
        <v>15</v>
      </c>
      <c r="F273" t="s">
        <v>26</v>
      </c>
      <c r="G273">
        <v>17573.45</v>
      </c>
      <c r="H273">
        <v>210881.4</v>
      </c>
      <c r="I273" s="2">
        <f>tblRentRoll[[#This Row],[Monthly_Rent_EUR]]*12</f>
        <v>210881.40000000002</v>
      </c>
      <c r="J273" s="2" t="str">
        <f>IF(tblRentRoll[[#This Row],[Annual_Rent_EUR]]&lt;&gt;tblRentRoll[[#This Row],[Jahresrente_EUR]], "FALSCH", "")</f>
        <v/>
      </c>
      <c r="K273" s="1">
        <v>44715</v>
      </c>
      <c r="L273" s="1">
        <v>45178</v>
      </c>
      <c r="M273">
        <v>1344.37</v>
      </c>
      <c r="N273">
        <v>2963.51</v>
      </c>
      <c r="O27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3" t="str">
        <f>IF(tblRentRoll[[#This Row],[Area_sqm]]&lt;=0,"Area&lt;=0","")</f>
        <v/>
      </c>
      <c r="Q273" t="str">
        <f>IF(tblRentRoll[[#This Row],[Monthly_Rent_EUR]]&lt;=0,"Rent&lt;=0","")</f>
        <v/>
      </c>
      <c r="R273">
        <f>IF(AND(tblRentRoll[[#This Row],[Status]]="Occupied", tblRentRoll[[#This Row],[Area_sqm]]&gt;0), tblRentRoll[[#This Row],[Annual_Rent_EUR]]/tblRentRoll[[#This Row],[Area_sqm]],"")</f>
        <v>167.63227344992052</v>
      </c>
      <c r="S273">
        <f>tblRentRoll[[#This Row],[Service_Charge_EUR]]+tblRentRoll[[#This Row],[Operating_Cost_EUR]]</f>
        <v>4307.88</v>
      </c>
      <c r="T273">
        <f>IF(tblRentRoll[[#This Row],[Annual_Rent_EUR]]&lt;&gt;0,tblRentRoll[[#This Row],[Annual_Rent_EUR]]-tblRentRoll[[#This Row],[Operating_Cost_EUR]], "")</f>
        <v>207917.88999999998</v>
      </c>
      <c r="U273">
        <f ca="1">IF(AND(tblRentRoll[[#This Row],[Status]]="Occupied",tblRentRoll[[#This Row],[Lease_End]]&gt;=TODAY()),DATEDIF(TODAY(),tblRentRoll[[#This Row],[Lease_End]],"m"), 0)</f>
        <v>0</v>
      </c>
      <c r="V273" t="str">
        <f ca="1">IF(tblRentRoll[[#This Row],[Status]]&lt;&gt;"Occupied","", IF(tblRentRoll[[#This Row],[Month_to_Expiry]]&lt;=3, "0-3 Monaten",  IF(tblRentRoll[[#This Row],[Month_to_Expiry]]&lt;=6, "3-6 Monaten", IF(tblRentRoll[[#This Row],[Month_to_Expiry]]&lt;=12,"6-12 Monaten", IF(tblRentRoll[[#This Row],[Month_to_Expiry]]&gt;=12, "12 M+",)))))</f>
        <v>0-3 Monaten</v>
      </c>
      <c r="W273">
        <f>IF(tblRentRoll[[#This Row],[Status]]="Vacant", tblRentRoll[[#This Row],[Area_sqm]],0)</f>
        <v>0</v>
      </c>
      <c r="X273" s="3">
        <f>IF(tblRentRoll[[#This Row],[Status]]="Occupied", tblRentRoll[[#This Row],[Area_sqm]],0)</f>
        <v>1258</v>
      </c>
      <c r="Y273" s="3">
        <f ca="1">tblRentRoll[[#This Row],[Month_to_Expiry]]/12*tblRentRoll[[#This Row],[Annual_Rent_EUR]]</f>
        <v>0</v>
      </c>
      <c r="Z273" s="3"/>
    </row>
    <row r="274" spans="1:26" x14ac:dyDescent="0.35">
      <c r="A274" t="s">
        <v>17</v>
      </c>
      <c r="B274" t="s">
        <v>432</v>
      </c>
      <c r="C274" t="s">
        <v>14</v>
      </c>
      <c r="D274">
        <v>1187</v>
      </c>
      <c r="E274" t="s">
        <v>15</v>
      </c>
      <c r="F274" t="s">
        <v>433</v>
      </c>
      <c r="G274">
        <v>13280.47</v>
      </c>
      <c r="H274">
        <v>159365.64000000001</v>
      </c>
      <c r="I274" s="2">
        <f>tblRentRoll[[#This Row],[Monthly_Rent_EUR]]*12</f>
        <v>159365.63999999998</v>
      </c>
      <c r="J274" s="2" t="str">
        <f>IF(tblRentRoll[[#This Row],[Annual_Rent_EUR]]&lt;&gt;tblRentRoll[[#This Row],[Jahresrente_EUR]], "FALSCH", "")</f>
        <v/>
      </c>
      <c r="K274" s="1">
        <v>44305</v>
      </c>
      <c r="L274" s="1">
        <v>45277</v>
      </c>
      <c r="M274">
        <v>1730.5</v>
      </c>
      <c r="N274">
        <v>2733.89</v>
      </c>
      <c r="O27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4" t="str">
        <f>IF(tblRentRoll[[#This Row],[Area_sqm]]&lt;=0,"Area&lt;=0","")</f>
        <v/>
      </c>
      <c r="Q274" t="str">
        <f>IF(tblRentRoll[[#This Row],[Monthly_Rent_EUR]]&lt;=0,"Rent&lt;=0","")</f>
        <v/>
      </c>
      <c r="R274">
        <f>IF(AND(tblRentRoll[[#This Row],[Status]]="Occupied", tblRentRoll[[#This Row],[Area_sqm]]&gt;0), tblRentRoll[[#This Row],[Annual_Rent_EUR]]/tblRentRoll[[#This Row],[Area_sqm]],"")</f>
        <v>134.25917438921653</v>
      </c>
      <c r="S274">
        <f>tblRentRoll[[#This Row],[Service_Charge_EUR]]+tblRentRoll[[#This Row],[Operating_Cost_EUR]]</f>
        <v>4464.3899999999994</v>
      </c>
      <c r="T274">
        <f>IF(tblRentRoll[[#This Row],[Annual_Rent_EUR]]&lt;&gt;0,tblRentRoll[[#This Row],[Annual_Rent_EUR]]-tblRentRoll[[#This Row],[Operating_Cost_EUR]], "")</f>
        <v>156631.75</v>
      </c>
      <c r="U274">
        <f ca="1">IF(AND(tblRentRoll[[#This Row],[Status]]="Occupied",tblRentRoll[[#This Row],[Lease_End]]&gt;=TODAY()),DATEDIF(TODAY(),tblRentRoll[[#This Row],[Lease_End]],"m"), 0)</f>
        <v>0</v>
      </c>
      <c r="V274" t="str">
        <f ca="1">IF(tblRentRoll[[#This Row],[Status]]&lt;&gt;"Occupied","", IF(tblRentRoll[[#This Row],[Month_to_Expiry]]&lt;=3, "0-3 Monaten",  IF(tblRentRoll[[#This Row],[Month_to_Expiry]]&lt;=6, "3-6 Monaten", IF(tblRentRoll[[#This Row],[Month_to_Expiry]]&lt;=12,"6-12 Monaten", IF(tblRentRoll[[#This Row],[Month_to_Expiry]]&gt;=12, "12 M+",)))))</f>
        <v>0-3 Monaten</v>
      </c>
      <c r="W274">
        <f>IF(tblRentRoll[[#This Row],[Status]]="Vacant", tblRentRoll[[#This Row],[Area_sqm]],0)</f>
        <v>0</v>
      </c>
      <c r="X274" s="3">
        <f>IF(tblRentRoll[[#This Row],[Status]]="Occupied", tblRentRoll[[#This Row],[Area_sqm]],0)</f>
        <v>1187</v>
      </c>
      <c r="Y274" s="3">
        <f ca="1">tblRentRoll[[#This Row],[Month_to_Expiry]]/12*tblRentRoll[[#This Row],[Annual_Rent_EUR]]</f>
        <v>0</v>
      </c>
      <c r="Z274" s="3"/>
    </row>
    <row r="275" spans="1:26" x14ac:dyDescent="0.35">
      <c r="A275" t="s">
        <v>17</v>
      </c>
      <c r="B275" t="s">
        <v>434</v>
      </c>
      <c r="C275" t="s">
        <v>29</v>
      </c>
      <c r="D275">
        <v>923</v>
      </c>
      <c r="E275" t="s">
        <v>15</v>
      </c>
      <c r="F275" t="s">
        <v>95</v>
      </c>
      <c r="G275">
        <v>10482.98</v>
      </c>
      <c r="H275">
        <v>125795.76</v>
      </c>
      <c r="I275" s="2">
        <f>tblRentRoll[[#This Row],[Monthly_Rent_EUR]]*12</f>
        <v>125795.76</v>
      </c>
      <c r="J275" s="2" t="str">
        <f>IF(tblRentRoll[[#This Row],[Annual_Rent_EUR]]&lt;&gt;tblRentRoll[[#This Row],[Jahresrente_EUR]], "FALSCH", "")</f>
        <v/>
      </c>
      <c r="K275" s="1">
        <v>44861</v>
      </c>
      <c r="L275" s="1">
        <v>45114</v>
      </c>
      <c r="M275">
        <v>1449.54</v>
      </c>
      <c r="N275">
        <v>556.03</v>
      </c>
      <c r="O27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5" t="str">
        <f>IF(tblRentRoll[[#This Row],[Area_sqm]]&lt;=0,"Area&lt;=0","")</f>
        <v/>
      </c>
      <c r="Q275" t="str">
        <f>IF(tblRentRoll[[#This Row],[Monthly_Rent_EUR]]&lt;=0,"Rent&lt;=0","")</f>
        <v/>
      </c>
      <c r="R275">
        <f>IF(AND(tblRentRoll[[#This Row],[Status]]="Occupied", tblRentRoll[[#This Row],[Area_sqm]]&gt;0), tblRentRoll[[#This Row],[Annual_Rent_EUR]]/tblRentRoll[[#This Row],[Area_sqm]],"")</f>
        <v>136.29009750812568</v>
      </c>
      <c r="S275">
        <f>tblRentRoll[[#This Row],[Service_Charge_EUR]]+tblRentRoll[[#This Row],[Operating_Cost_EUR]]</f>
        <v>2005.57</v>
      </c>
      <c r="T275">
        <f>IF(tblRentRoll[[#This Row],[Annual_Rent_EUR]]&lt;&gt;0,tblRentRoll[[#This Row],[Annual_Rent_EUR]]-tblRentRoll[[#This Row],[Operating_Cost_EUR]], "")</f>
        <v>125239.73</v>
      </c>
      <c r="U275">
        <f ca="1">IF(AND(tblRentRoll[[#This Row],[Status]]="Occupied",tblRentRoll[[#This Row],[Lease_End]]&gt;=TODAY()),DATEDIF(TODAY(),tblRentRoll[[#This Row],[Lease_End]],"m"), 0)</f>
        <v>0</v>
      </c>
      <c r="V275" t="str">
        <f ca="1">IF(tblRentRoll[[#This Row],[Status]]&lt;&gt;"Occupied","", IF(tblRentRoll[[#This Row],[Month_to_Expiry]]&lt;=3, "0-3 Monaten",  IF(tblRentRoll[[#This Row],[Month_to_Expiry]]&lt;=6, "3-6 Monaten", IF(tblRentRoll[[#This Row],[Month_to_Expiry]]&lt;=12,"6-12 Monaten", IF(tblRentRoll[[#This Row],[Month_to_Expiry]]&gt;=12, "12 M+",)))))</f>
        <v>0-3 Monaten</v>
      </c>
      <c r="W275">
        <f>IF(tblRentRoll[[#This Row],[Status]]="Vacant", tblRentRoll[[#This Row],[Area_sqm]],0)</f>
        <v>0</v>
      </c>
      <c r="X275" s="3">
        <f>IF(tblRentRoll[[#This Row],[Status]]="Occupied", tblRentRoll[[#This Row],[Area_sqm]],0)</f>
        <v>923</v>
      </c>
      <c r="Y275" s="3">
        <f ca="1">tblRentRoll[[#This Row],[Month_to_Expiry]]/12*tblRentRoll[[#This Row],[Annual_Rent_EUR]]</f>
        <v>0</v>
      </c>
      <c r="Z275" s="3"/>
    </row>
    <row r="276" spans="1:26" x14ac:dyDescent="0.35">
      <c r="A276" t="s">
        <v>56</v>
      </c>
      <c r="B276" t="s">
        <v>435</v>
      </c>
      <c r="C276" t="s">
        <v>19</v>
      </c>
      <c r="D276">
        <v>1238</v>
      </c>
      <c r="E276" t="s">
        <v>15</v>
      </c>
      <c r="F276" t="s">
        <v>436</v>
      </c>
      <c r="G276">
        <v>20531.669999999998</v>
      </c>
      <c r="H276">
        <v>246380.04</v>
      </c>
      <c r="I276" s="2">
        <f>tblRentRoll[[#This Row],[Monthly_Rent_EUR]]*12</f>
        <v>246380.03999999998</v>
      </c>
      <c r="J276" s="2" t="str">
        <f>IF(tblRentRoll[[#This Row],[Annual_Rent_EUR]]&lt;&gt;tblRentRoll[[#This Row],[Jahresrente_EUR]], "FALSCH", "")</f>
        <v/>
      </c>
      <c r="K276" s="1">
        <v>45235</v>
      </c>
      <c r="L276" s="1">
        <v>46354</v>
      </c>
      <c r="M276">
        <v>2347.3200000000002</v>
      </c>
      <c r="N276">
        <v>2848.92</v>
      </c>
      <c r="O27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6" t="str">
        <f>IF(tblRentRoll[[#This Row],[Area_sqm]]&lt;=0,"Area&lt;=0","")</f>
        <v/>
      </c>
      <c r="Q276" t="str">
        <f>IF(tblRentRoll[[#This Row],[Monthly_Rent_EUR]]&lt;=0,"Rent&lt;=0","")</f>
        <v/>
      </c>
      <c r="R276">
        <f>IF(AND(tblRentRoll[[#This Row],[Status]]="Occupied", tblRentRoll[[#This Row],[Area_sqm]]&gt;0), tblRentRoll[[#This Row],[Annual_Rent_EUR]]/tblRentRoll[[#This Row],[Area_sqm]],"")</f>
        <v>199.01457189014539</v>
      </c>
      <c r="S276">
        <f>tblRentRoll[[#This Row],[Service_Charge_EUR]]+tblRentRoll[[#This Row],[Operating_Cost_EUR]]</f>
        <v>5196.24</v>
      </c>
      <c r="T276">
        <f>IF(tblRentRoll[[#This Row],[Annual_Rent_EUR]]&lt;&gt;0,tblRentRoll[[#This Row],[Annual_Rent_EUR]]-tblRentRoll[[#This Row],[Operating_Cost_EUR]], "")</f>
        <v>243531.12</v>
      </c>
      <c r="U276">
        <f ca="1">IF(AND(tblRentRoll[[#This Row],[Status]]="Occupied",tblRentRoll[[#This Row],[Lease_End]]&gt;=TODAY()),DATEDIF(TODAY(),tblRentRoll[[#This Row],[Lease_End]],"m"), 0)</f>
        <v>8</v>
      </c>
      <c r="V276" t="str">
        <f ca="1">IF(tblRentRoll[[#This Row],[Status]]&lt;&gt;"Occupied","", IF(tblRentRoll[[#This Row],[Month_to_Expiry]]&lt;=3, "0-3 Monaten",  IF(tblRentRoll[[#This Row],[Month_to_Expiry]]&lt;=6, "3-6 Monaten", IF(tblRentRoll[[#This Row],[Month_to_Expiry]]&lt;=12,"6-12 Monaten", IF(tblRentRoll[[#This Row],[Month_to_Expiry]]&gt;=12, "12 M+",)))))</f>
        <v>6-12 Monaten</v>
      </c>
      <c r="W276">
        <f>IF(tblRentRoll[[#This Row],[Status]]="Vacant", tblRentRoll[[#This Row],[Area_sqm]],0)</f>
        <v>0</v>
      </c>
      <c r="X276" s="3">
        <f>IF(tblRentRoll[[#This Row],[Status]]="Occupied", tblRentRoll[[#This Row],[Area_sqm]],0)</f>
        <v>1238</v>
      </c>
      <c r="Y276" s="3">
        <f ca="1">tblRentRoll[[#This Row],[Month_to_Expiry]]/12*tblRentRoll[[#This Row],[Annual_Rent_EUR]]</f>
        <v>164253.35999999999</v>
      </c>
      <c r="Z276" s="3"/>
    </row>
    <row r="277" spans="1:26" x14ac:dyDescent="0.35">
      <c r="A277" t="s">
        <v>24</v>
      </c>
      <c r="B277" t="s">
        <v>437</v>
      </c>
      <c r="C277" t="s">
        <v>19</v>
      </c>
      <c r="D277">
        <v>976</v>
      </c>
      <c r="E277" t="s">
        <v>15</v>
      </c>
      <c r="F277" t="s">
        <v>307</v>
      </c>
      <c r="G277">
        <v>15485.99</v>
      </c>
      <c r="H277">
        <v>185831.88</v>
      </c>
      <c r="I277" s="2">
        <f>tblRentRoll[[#This Row],[Monthly_Rent_EUR]]*12</f>
        <v>185831.88</v>
      </c>
      <c r="J277" s="2" t="str">
        <f>IF(tblRentRoll[[#This Row],[Annual_Rent_EUR]]&lt;&gt;tblRentRoll[[#This Row],[Jahresrente_EUR]], "FALSCH", "")</f>
        <v/>
      </c>
      <c r="K277" s="1">
        <v>44995</v>
      </c>
      <c r="L277" s="1">
        <v>45202</v>
      </c>
      <c r="M277">
        <v>1888.16</v>
      </c>
      <c r="N277">
        <v>1453</v>
      </c>
      <c r="O27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7" t="str">
        <f>IF(tblRentRoll[[#This Row],[Area_sqm]]&lt;=0,"Area&lt;=0","")</f>
        <v/>
      </c>
      <c r="Q277" t="str">
        <f>IF(tblRentRoll[[#This Row],[Monthly_Rent_EUR]]&lt;=0,"Rent&lt;=0","")</f>
        <v/>
      </c>
      <c r="R277">
        <f>IF(AND(tblRentRoll[[#This Row],[Status]]="Occupied", tblRentRoll[[#This Row],[Area_sqm]]&gt;0), tblRentRoll[[#This Row],[Annual_Rent_EUR]]/tblRentRoll[[#This Row],[Area_sqm]],"")</f>
        <v>190.40151639344262</v>
      </c>
      <c r="S277">
        <f>tblRentRoll[[#This Row],[Service_Charge_EUR]]+tblRentRoll[[#This Row],[Operating_Cost_EUR]]</f>
        <v>3341.16</v>
      </c>
      <c r="T277">
        <f>IF(tblRentRoll[[#This Row],[Annual_Rent_EUR]]&lt;&gt;0,tblRentRoll[[#This Row],[Annual_Rent_EUR]]-tblRentRoll[[#This Row],[Operating_Cost_EUR]], "")</f>
        <v>184378.88</v>
      </c>
      <c r="U277">
        <f ca="1">IF(AND(tblRentRoll[[#This Row],[Status]]="Occupied",tblRentRoll[[#This Row],[Lease_End]]&gt;=TODAY()),DATEDIF(TODAY(),tblRentRoll[[#This Row],[Lease_End]],"m"), 0)</f>
        <v>0</v>
      </c>
      <c r="V277" t="str">
        <f ca="1">IF(tblRentRoll[[#This Row],[Status]]&lt;&gt;"Occupied","", IF(tblRentRoll[[#This Row],[Month_to_Expiry]]&lt;=3, "0-3 Monaten",  IF(tblRentRoll[[#This Row],[Month_to_Expiry]]&lt;=6, "3-6 Monaten", IF(tblRentRoll[[#This Row],[Month_to_Expiry]]&lt;=12,"6-12 Monaten", IF(tblRentRoll[[#This Row],[Month_to_Expiry]]&gt;=12, "12 M+",)))))</f>
        <v>0-3 Monaten</v>
      </c>
      <c r="W277">
        <f>IF(tblRentRoll[[#This Row],[Status]]="Vacant", tblRentRoll[[#This Row],[Area_sqm]],0)</f>
        <v>0</v>
      </c>
      <c r="X277" s="3">
        <f>IF(tblRentRoll[[#This Row],[Status]]="Occupied", tblRentRoll[[#This Row],[Area_sqm]],0)</f>
        <v>976</v>
      </c>
      <c r="Y277" s="3">
        <f ca="1">tblRentRoll[[#This Row],[Month_to_Expiry]]/12*tblRentRoll[[#This Row],[Annual_Rent_EUR]]</f>
        <v>0</v>
      </c>
      <c r="Z277" s="3"/>
    </row>
    <row r="278" spans="1:26" x14ac:dyDescent="0.35">
      <c r="A278" t="s">
        <v>12</v>
      </c>
      <c r="B278" t="s">
        <v>438</v>
      </c>
      <c r="C278" t="s">
        <v>14</v>
      </c>
      <c r="D278">
        <v>106</v>
      </c>
      <c r="E278" t="s">
        <v>15</v>
      </c>
      <c r="F278" t="s">
        <v>80</v>
      </c>
      <c r="G278">
        <v>1138.29</v>
      </c>
      <c r="H278">
        <v>13659.48</v>
      </c>
      <c r="I278" s="2">
        <f>tblRentRoll[[#This Row],[Monthly_Rent_EUR]]*12</f>
        <v>13659.48</v>
      </c>
      <c r="J278" s="2" t="str">
        <f>IF(tblRentRoll[[#This Row],[Annual_Rent_EUR]]&lt;&gt;tblRentRoll[[#This Row],[Jahresrente_EUR]], "FALSCH", "")</f>
        <v/>
      </c>
      <c r="K278" s="1">
        <v>44994</v>
      </c>
      <c r="L278" s="1">
        <v>46286</v>
      </c>
      <c r="M278">
        <v>295</v>
      </c>
      <c r="N278">
        <v>67.510000000000005</v>
      </c>
      <c r="O27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8" t="str">
        <f>IF(tblRentRoll[[#This Row],[Area_sqm]]&lt;=0,"Area&lt;=0","")</f>
        <v/>
      </c>
      <c r="Q278" t="str">
        <f>IF(tblRentRoll[[#This Row],[Monthly_Rent_EUR]]&lt;=0,"Rent&lt;=0","")</f>
        <v/>
      </c>
      <c r="R278">
        <f>IF(AND(tblRentRoll[[#This Row],[Status]]="Occupied", tblRentRoll[[#This Row],[Area_sqm]]&gt;0), tblRentRoll[[#This Row],[Annual_Rent_EUR]]/tblRentRoll[[#This Row],[Area_sqm]],"")</f>
        <v>128.86301886792452</v>
      </c>
      <c r="S278">
        <f>tblRentRoll[[#This Row],[Service_Charge_EUR]]+tblRentRoll[[#This Row],[Operating_Cost_EUR]]</f>
        <v>362.51</v>
      </c>
      <c r="T278">
        <f>IF(tblRentRoll[[#This Row],[Annual_Rent_EUR]]&lt;&gt;0,tblRentRoll[[#This Row],[Annual_Rent_EUR]]-tblRentRoll[[#This Row],[Operating_Cost_EUR]], "")</f>
        <v>13591.97</v>
      </c>
      <c r="U278">
        <f ca="1">IF(AND(tblRentRoll[[#This Row],[Status]]="Occupied",tblRentRoll[[#This Row],[Lease_End]]&gt;=TODAY()),DATEDIF(TODAY(),tblRentRoll[[#This Row],[Lease_End]],"m"), 0)</f>
        <v>6</v>
      </c>
      <c r="V278" t="str">
        <f ca="1">IF(tblRentRoll[[#This Row],[Status]]&lt;&gt;"Occupied","", IF(tblRentRoll[[#This Row],[Month_to_Expiry]]&lt;=3, "0-3 Monaten",  IF(tblRentRoll[[#This Row],[Month_to_Expiry]]&lt;=6, "3-6 Monaten", IF(tblRentRoll[[#This Row],[Month_to_Expiry]]&lt;=12,"6-12 Monaten", IF(tblRentRoll[[#This Row],[Month_to_Expiry]]&gt;=12, "12 M+",)))))</f>
        <v>3-6 Monaten</v>
      </c>
      <c r="W278">
        <f>IF(tblRentRoll[[#This Row],[Status]]="Vacant", tblRentRoll[[#This Row],[Area_sqm]],0)</f>
        <v>0</v>
      </c>
      <c r="X278" s="3">
        <f>IF(tblRentRoll[[#This Row],[Status]]="Occupied", tblRentRoll[[#This Row],[Area_sqm]],0)</f>
        <v>106</v>
      </c>
      <c r="Y278" s="3">
        <f ca="1">tblRentRoll[[#This Row],[Month_to_Expiry]]/12*tblRentRoll[[#This Row],[Annual_Rent_EUR]]</f>
        <v>6829.74</v>
      </c>
      <c r="Z278" s="3"/>
    </row>
    <row r="279" spans="1:26" x14ac:dyDescent="0.35">
      <c r="A279" t="s">
        <v>12</v>
      </c>
      <c r="B279" t="s">
        <v>439</v>
      </c>
      <c r="C279" t="s">
        <v>14</v>
      </c>
      <c r="D279">
        <v>488</v>
      </c>
      <c r="E279" t="s">
        <v>15</v>
      </c>
      <c r="F279" t="s">
        <v>124</v>
      </c>
      <c r="G279">
        <v>6526.15</v>
      </c>
      <c r="H279">
        <v>78313.8</v>
      </c>
      <c r="I279" s="2">
        <f>tblRentRoll[[#This Row],[Monthly_Rent_EUR]]*12</f>
        <v>78313.799999999988</v>
      </c>
      <c r="J279" s="2" t="str">
        <f>IF(tblRentRoll[[#This Row],[Annual_Rent_EUR]]&lt;&gt;tblRentRoll[[#This Row],[Jahresrente_EUR]], "FALSCH", "")</f>
        <v/>
      </c>
      <c r="K279" s="1">
        <v>45232</v>
      </c>
      <c r="L279" s="1">
        <v>46109</v>
      </c>
      <c r="M279">
        <v>492.15</v>
      </c>
      <c r="N279">
        <v>487.89</v>
      </c>
      <c r="O27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79" t="str">
        <f>IF(tblRentRoll[[#This Row],[Area_sqm]]&lt;=0,"Area&lt;=0","")</f>
        <v/>
      </c>
      <c r="Q279" t="str">
        <f>IF(tblRentRoll[[#This Row],[Monthly_Rent_EUR]]&lt;=0,"Rent&lt;=0","")</f>
        <v/>
      </c>
      <c r="R279">
        <f>IF(AND(tblRentRoll[[#This Row],[Status]]="Occupied", tblRentRoll[[#This Row],[Area_sqm]]&gt;0), tblRentRoll[[#This Row],[Annual_Rent_EUR]]/tblRentRoll[[#This Row],[Area_sqm]],"")</f>
        <v>160.47909836065574</v>
      </c>
      <c r="S279">
        <f>tblRentRoll[[#This Row],[Service_Charge_EUR]]+tblRentRoll[[#This Row],[Operating_Cost_EUR]]</f>
        <v>980.04</v>
      </c>
      <c r="T279">
        <f>IF(tblRentRoll[[#This Row],[Annual_Rent_EUR]]&lt;&gt;0,tblRentRoll[[#This Row],[Annual_Rent_EUR]]-tblRentRoll[[#This Row],[Operating_Cost_EUR]], "")</f>
        <v>77825.91</v>
      </c>
      <c r="U279">
        <f ca="1">IF(AND(tblRentRoll[[#This Row],[Status]]="Occupied",tblRentRoll[[#This Row],[Lease_End]]&gt;=TODAY()),DATEDIF(TODAY(),tblRentRoll[[#This Row],[Lease_End]],"m"), 0)</f>
        <v>0</v>
      </c>
      <c r="V279" t="str">
        <f ca="1">IF(tblRentRoll[[#This Row],[Status]]&lt;&gt;"Occupied","", IF(tblRentRoll[[#This Row],[Month_to_Expiry]]&lt;=3, "0-3 Monaten",  IF(tblRentRoll[[#This Row],[Month_to_Expiry]]&lt;=6, "3-6 Monaten", IF(tblRentRoll[[#This Row],[Month_to_Expiry]]&lt;=12,"6-12 Monaten", IF(tblRentRoll[[#This Row],[Month_to_Expiry]]&gt;=12, "12 M+",)))))</f>
        <v>0-3 Monaten</v>
      </c>
      <c r="W279">
        <f>IF(tblRentRoll[[#This Row],[Status]]="Vacant", tblRentRoll[[#This Row],[Area_sqm]],0)</f>
        <v>0</v>
      </c>
      <c r="X279" s="3">
        <f>IF(tblRentRoll[[#This Row],[Status]]="Occupied", tblRentRoll[[#This Row],[Area_sqm]],0)</f>
        <v>488</v>
      </c>
      <c r="Y279" s="3">
        <f ca="1">tblRentRoll[[#This Row],[Month_to_Expiry]]/12*tblRentRoll[[#This Row],[Annual_Rent_EUR]]</f>
        <v>0</v>
      </c>
      <c r="Z279" s="3"/>
    </row>
    <row r="280" spans="1:26" x14ac:dyDescent="0.35">
      <c r="A280" t="s">
        <v>12</v>
      </c>
      <c r="B280" t="s">
        <v>440</v>
      </c>
      <c r="C280" t="s">
        <v>29</v>
      </c>
      <c r="D280">
        <v>81</v>
      </c>
      <c r="E280" t="s">
        <v>15</v>
      </c>
      <c r="F280" t="s">
        <v>441</v>
      </c>
      <c r="G280">
        <v>1179.27</v>
      </c>
      <c r="H280">
        <v>14151.24</v>
      </c>
      <c r="I280" s="2">
        <f>tblRentRoll[[#This Row],[Monthly_Rent_EUR]]*12</f>
        <v>14151.24</v>
      </c>
      <c r="J280" s="2" t="str">
        <f>IF(tblRentRoll[[#This Row],[Annual_Rent_EUR]]&lt;&gt;tblRentRoll[[#This Row],[Jahresrente_EUR]], "FALSCH", "")</f>
        <v/>
      </c>
      <c r="K280" s="1">
        <v>44642</v>
      </c>
      <c r="L280" s="1">
        <v>45261</v>
      </c>
      <c r="M280">
        <v>142.53</v>
      </c>
      <c r="N280">
        <v>73.38</v>
      </c>
      <c r="O28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0" t="str">
        <f>IF(tblRentRoll[[#This Row],[Area_sqm]]&lt;=0,"Area&lt;=0","")</f>
        <v/>
      </c>
      <c r="Q280" t="str">
        <f>IF(tblRentRoll[[#This Row],[Monthly_Rent_EUR]]&lt;=0,"Rent&lt;=0","")</f>
        <v/>
      </c>
      <c r="R280">
        <f>IF(AND(tblRentRoll[[#This Row],[Status]]="Occupied", tblRentRoll[[#This Row],[Area_sqm]]&gt;0), tblRentRoll[[#This Row],[Annual_Rent_EUR]]/tblRentRoll[[#This Row],[Area_sqm]],"")</f>
        <v>174.70666666666668</v>
      </c>
      <c r="S280">
        <f>tblRentRoll[[#This Row],[Service_Charge_EUR]]+tblRentRoll[[#This Row],[Operating_Cost_EUR]]</f>
        <v>215.91</v>
      </c>
      <c r="T280">
        <f>IF(tblRentRoll[[#This Row],[Annual_Rent_EUR]]&lt;&gt;0,tblRentRoll[[#This Row],[Annual_Rent_EUR]]-tblRentRoll[[#This Row],[Operating_Cost_EUR]], "")</f>
        <v>14077.86</v>
      </c>
      <c r="U280">
        <f ca="1">IF(AND(tblRentRoll[[#This Row],[Status]]="Occupied",tblRentRoll[[#This Row],[Lease_End]]&gt;=TODAY()),DATEDIF(TODAY(),tblRentRoll[[#This Row],[Lease_End]],"m"), 0)</f>
        <v>0</v>
      </c>
      <c r="V280" t="str">
        <f ca="1">IF(tblRentRoll[[#This Row],[Status]]&lt;&gt;"Occupied","", IF(tblRentRoll[[#This Row],[Month_to_Expiry]]&lt;=3, "0-3 Monaten",  IF(tblRentRoll[[#This Row],[Month_to_Expiry]]&lt;=6, "3-6 Monaten", IF(tblRentRoll[[#This Row],[Month_to_Expiry]]&lt;=12,"6-12 Monaten", IF(tblRentRoll[[#This Row],[Month_to_Expiry]]&gt;=12, "12 M+",)))))</f>
        <v>0-3 Monaten</v>
      </c>
      <c r="W280">
        <f>IF(tblRentRoll[[#This Row],[Status]]="Vacant", tblRentRoll[[#This Row],[Area_sqm]],0)</f>
        <v>0</v>
      </c>
      <c r="X280" s="3">
        <f>IF(tblRentRoll[[#This Row],[Status]]="Occupied", tblRentRoll[[#This Row],[Area_sqm]],0)</f>
        <v>81</v>
      </c>
      <c r="Y280" s="3">
        <f ca="1">tblRentRoll[[#This Row],[Month_to_Expiry]]/12*tblRentRoll[[#This Row],[Annual_Rent_EUR]]</f>
        <v>0</v>
      </c>
      <c r="Z280" s="3"/>
    </row>
    <row r="281" spans="1:26" x14ac:dyDescent="0.35">
      <c r="A281" t="s">
        <v>17</v>
      </c>
      <c r="B281" t="s">
        <v>442</v>
      </c>
      <c r="C281" t="s">
        <v>29</v>
      </c>
      <c r="D281">
        <v>1232</v>
      </c>
      <c r="E281" t="s">
        <v>15</v>
      </c>
      <c r="F281" t="s">
        <v>235</v>
      </c>
      <c r="G281">
        <v>8562.11</v>
      </c>
      <c r="H281">
        <v>102745.32</v>
      </c>
      <c r="I281" s="2">
        <f>tblRentRoll[[#This Row],[Monthly_Rent_EUR]]*12</f>
        <v>102745.32</v>
      </c>
      <c r="J281" s="2" t="str">
        <f>IF(tblRentRoll[[#This Row],[Annual_Rent_EUR]]&lt;&gt;tblRentRoll[[#This Row],[Jahresrente_EUR]], "FALSCH", "")</f>
        <v/>
      </c>
      <c r="K281" s="1">
        <v>44923</v>
      </c>
      <c r="L281" s="1">
        <v>45313</v>
      </c>
      <c r="M281">
        <v>2195.6999999999998</v>
      </c>
      <c r="N281">
        <v>836.15</v>
      </c>
      <c r="O28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1" t="str">
        <f>IF(tblRentRoll[[#This Row],[Area_sqm]]&lt;=0,"Area&lt;=0","")</f>
        <v/>
      </c>
      <c r="Q281" t="str">
        <f>IF(tblRentRoll[[#This Row],[Monthly_Rent_EUR]]&lt;=0,"Rent&lt;=0","")</f>
        <v/>
      </c>
      <c r="R281">
        <f>IF(AND(tblRentRoll[[#This Row],[Status]]="Occupied", tblRentRoll[[#This Row],[Area_sqm]]&gt;0), tblRentRoll[[#This Row],[Annual_Rent_EUR]]/tblRentRoll[[#This Row],[Area_sqm]],"")</f>
        <v>83.397175324675331</v>
      </c>
      <c r="S281">
        <f>tblRentRoll[[#This Row],[Service_Charge_EUR]]+tblRentRoll[[#This Row],[Operating_Cost_EUR]]</f>
        <v>3031.85</v>
      </c>
      <c r="T281">
        <f>IF(tblRentRoll[[#This Row],[Annual_Rent_EUR]]&lt;&gt;0,tblRentRoll[[#This Row],[Annual_Rent_EUR]]-tblRentRoll[[#This Row],[Operating_Cost_EUR]], "")</f>
        <v>101909.17000000001</v>
      </c>
      <c r="U281">
        <f ca="1">IF(AND(tblRentRoll[[#This Row],[Status]]="Occupied",tblRentRoll[[#This Row],[Lease_End]]&gt;=TODAY()),DATEDIF(TODAY(),tblRentRoll[[#This Row],[Lease_End]],"m"), 0)</f>
        <v>0</v>
      </c>
      <c r="V281" t="str">
        <f ca="1">IF(tblRentRoll[[#This Row],[Status]]&lt;&gt;"Occupied","", IF(tblRentRoll[[#This Row],[Month_to_Expiry]]&lt;=3, "0-3 Monaten",  IF(tblRentRoll[[#This Row],[Month_to_Expiry]]&lt;=6, "3-6 Monaten", IF(tblRentRoll[[#This Row],[Month_to_Expiry]]&lt;=12,"6-12 Monaten", IF(tblRentRoll[[#This Row],[Month_to_Expiry]]&gt;=12, "12 M+",)))))</f>
        <v>0-3 Monaten</v>
      </c>
      <c r="W281">
        <f>IF(tblRentRoll[[#This Row],[Status]]="Vacant", tblRentRoll[[#This Row],[Area_sqm]],0)</f>
        <v>0</v>
      </c>
      <c r="X281" s="3">
        <f>IF(tblRentRoll[[#This Row],[Status]]="Occupied", tblRentRoll[[#This Row],[Area_sqm]],0)</f>
        <v>1232</v>
      </c>
      <c r="Y281" s="3">
        <f ca="1">tblRentRoll[[#This Row],[Month_to_Expiry]]/12*tblRentRoll[[#This Row],[Annual_Rent_EUR]]</f>
        <v>0</v>
      </c>
      <c r="Z281" s="3"/>
    </row>
    <row r="282" spans="1:26" x14ac:dyDescent="0.35">
      <c r="A282" t="s">
        <v>31</v>
      </c>
      <c r="B282" t="s">
        <v>443</v>
      </c>
      <c r="C282" t="s">
        <v>14</v>
      </c>
      <c r="D282">
        <v>980</v>
      </c>
      <c r="E282" t="s">
        <v>15</v>
      </c>
      <c r="F282" t="s">
        <v>231</v>
      </c>
      <c r="G282">
        <v>7900.49</v>
      </c>
      <c r="H282">
        <v>94805.88</v>
      </c>
      <c r="I282" s="2">
        <f>tblRentRoll[[#This Row],[Monthly_Rent_EUR]]*12</f>
        <v>94805.88</v>
      </c>
      <c r="J282" s="2" t="str">
        <f>IF(tblRentRoll[[#This Row],[Annual_Rent_EUR]]&lt;&gt;tblRentRoll[[#This Row],[Jahresrente_EUR]], "FALSCH", "")</f>
        <v/>
      </c>
      <c r="K282" s="1">
        <v>44745</v>
      </c>
      <c r="L282" s="1">
        <v>45731</v>
      </c>
      <c r="M282">
        <v>1837.08</v>
      </c>
      <c r="N282">
        <v>625.22</v>
      </c>
      <c r="O28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2" t="str">
        <f>IF(tblRentRoll[[#This Row],[Area_sqm]]&lt;=0,"Area&lt;=0","")</f>
        <v/>
      </c>
      <c r="Q282" t="str">
        <f>IF(tblRentRoll[[#This Row],[Monthly_Rent_EUR]]&lt;=0,"Rent&lt;=0","")</f>
        <v/>
      </c>
      <c r="R282">
        <f>IF(AND(tblRentRoll[[#This Row],[Status]]="Occupied", tblRentRoll[[#This Row],[Area_sqm]]&gt;0), tblRentRoll[[#This Row],[Annual_Rent_EUR]]/tblRentRoll[[#This Row],[Area_sqm]],"")</f>
        <v>96.740693877551024</v>
      </c>
      <c r="S282">
        <f>tblRentRoll[[#This Row],[Service_Charge_EUR]]+tblRentRoll[[#This Row],[Operating_Cost_EUR]]</f>
        <v>2462.3000000000002</v>
      </c>
      <c r="T282">
        <f>IF(tblRentRoll[[#This Row],[Annual_Rent_EUR]]&lt;&gt;0,tblRentRoll[[#This Row],[Annual_Rent_EUR]]-tblRentRoll[[#This Row],[Operating_Cost_EUR]], "")</f>
        <v>94180.66</v>
      </c>
      <c r="U282">
        <f ca="1">IF(AND(tblRentRoll[[#This Row],[Status]]="Occupied",tblRentRoll[[#This Row],[Lease_End]]&gt;=TODAY()),DATEDIF(TODAY(),tblRentRoll[[#This Row],[Lease_End]],"m"), 0)</f>
        <v>0</v>
      </c>
      <c r="V282" t="str">
        <f ca="1">IF(tblRentRoll[[#This Row],[Status]]&lt;&gt;"Occupied","", IF(tblRentRoll[[#This Row],[Month_to_Expiry]]&lt;=3, "0-3 Monaten",  IF(tblRentRoll[[#This Row],[Month_to_Expiry]]&lt;=6, "3-6 Monaten", IF(tblRentRoll[[#This Row],[Month_to_Expiry]]&lt;=12,"6-12 Monaten", IF(tblRentRoll[[#This Row],[Month_to_Expiry]]&gt;=12, "12 M+",)))))</f>
        <v>0-3 Monaten</v>
      </c>
      <c r="W282">
        <f>IF(tblRentRoll[[#This Row],[Status]]="Vacant", tblRentRoll[[#This Row],[Area_sqm]],0)</f>
        <v>0</v>
      </c>
      <c r="X282" s="3">
        <f>IF(tblRentRoll[[#This Row],[Status]]="Occupied", tblRentRoll[[#This Row],[Area_sqm]],0)</f>
        <v>980</v>
      </c>
      <c r="Y282" s="3">
        <f ca="1">tblRentRoll[[#This Row],[Month_to_Expiry]]/12*tblRentRoll[[#This Row],[Annual_Rent_EUR]]</f>
        <v>0</v>
      </c>
      <c r="Z282" s="3"/>
    </row>
    <row r="283" spans="1:26" x14ac:dyDescent="0.35">
      <c r="A283" t="s">
        <v>56</v>
      </c>
      <c r="B283" t="s">
        <v>444</v>
      </c>
      <c r="C283" t="s">
        <v>19</v>
      </c>
      <c r="D283">
        <v>331</v>
      </c>
      <c r="E283" t="s">
        <v>15</v>
      </c>
      <c r="F283" t="s">
        <v>331</v>
      </c>
      <c r="G283">
        <v>3165.13</v>
      </c>
      <c r="H283">
        <v>37981.56</v>
      </c>
      <c r="I283" s="2">
        <f>tblRentRoll[[#This Row],[Monthly_Rent_EUR]]*12</f>
        <v>37981.56</v>
      </c>
      <c r="J283" s="2" t="str">
        <f>IF(tblRentRoll[[#This Row],[Annual_Rent_EUR]]&lt;&gt;tblRentRoll[[#This Row],[Jahresrente_EUR]], "FALSCH", "")</f>
        <v/>
      </c>
      <c r="K283" s="1">
        <v>44406</v>
      </c>
      <c r="L283" s="1">
        <v>45541</v>
      </c>
      <c r="M283">
        <v>506.81</v>
      </c>
      <c r="N283">
        <v>279.74</v>
      </c>
      <c r="O28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3" t="str">
        <f>IF(tblRentRoll[[#This Row],[Area_sqm]]&lt;=0,"Area&lt;=0","")</f>
        <v/>
      </c>
      <c r="Q283" t="str">
        <f>IF(tblRentRoll[[#This Row],[Monthly_Rent_EUR]]&lt;=0,"Rent&lt;=0","")</f>
        <v/>
      </c>
      <c r="R283">
        <f>IF(AND(tblRentRoll[[#This Row],[Status]]="Occupied", tblRentRoll[[#This Row],[Area_sqm]]&gt;0), tblRentRoll[[#This Row],[Annual_Rent_EUR]]/tblRentRoll[[#This Row],[Area_sqm]],"")</f>
        <v>114.74791540785498</v>
      </c>
      <c r="S283">
        <f>tblRentRoll[[#This Row],[Service_Charge_EUR]]+tblRentRoll[[#This Row],[Operating_Cost_EUR]]</f>
        <v>786.55</v>
      </c>
      <c r="T283">
        <f>IF(tblRentRoll[[#This Row],[Annual_Rent_EUR]]&lt;&gt;0,tblRentRoll[[#This Row],[Annual_Rent_EUR]]-tblRentRoll[[#This Row],[Operating_Cost_EUR]], "")</f>
        <v>37701.82</v>
      </c>
      <c r="U283">
        <f ca="1">IF(AND(tblRentRoll[[#This Row],[Status]]="Occupied",tblRentRoll[[#This Row],[Lease_End]]&gt;=TODAY()),DATEDIF(TODAY(),tblRentRoll[[#This Row],[Lease_End]],"m"), 0)</f>
        <v>0</v>
      </c>
      <c r="V283" t="str">
        <f ca="1">IF(tblRentRoll[[#This Row],[Status]]&lt;&gt;"Occupied","", IF(tblRentRoll[[#This Row],[Month_to_Expiry]]&lt;=3, "0-3 Monaten",  IF(tblRentRoll[[#This Row],[Month_to_Expiry]]&lt;=6, "3-6 Monaten", IF(tblRentRoll[[#This Row],[Month_to_Expiry]]&lt;=12,"6-12 Monaten", IF(tblRentRoll[[#This Row],[Month_to_Expiry]]&gt;=12, "12 M+",)))))</f>
        <v>0-3 Monaten</v>
      </c>
      <c r="W283">
        <f>IF(tblRentRoll[[#This Row],[Status]]="Vacant", tblRentRoll[[#This Row],[Area_sqm]],0)</f>
        <v>0</v>
      </c>
      <c r="X283" s="3">
        <f>IF(tblRentRoll[[#This Row],[Status]]="Occupied", tblRentRoll[[#This Row],[Area_sqm]],0)</f>
        <v>331</v>
      </c>
      <c r="Y283" s="3">
        <f ca="1">tblRentRoll[[#This Row],[Month_to_Expiry]]/12*tblRentRoll[[#This Row],[Annual_Rent_EUR]]</f>
        <v>0</v>
      </c>
      <c r="Z283" s="3"/>
    </row>
    <row r="284" spans="1:26" x14ac:dyDescent="0.35">
      <c r="A284" t="s">
        <v>27</v>
      </c>
      <c r="B284" t="s">
        <v>445</v>
      </c>
      <c r="C284" t="s">
        <v>19</v>
      </c>
      <c r="D284">
        <v>1460</v>
      </c>
      <c r="E284" t="s">
        <v>20</v>
      </c>
      <c r="G284">
        <v>0</v>
      </c>
      <c r="H284">
        <v>0</v>
      </c>
      <c r="I284" s="2">
        <f>tblRentRoll[[#This Row],[Monthly_Rent_EUR]]*12</f>
        <v>0</v>
      </c>
      <c r="J284" s="2" t="str">
        <f>IF(tblRentRoll[[#This Row],[Annual_Rent_EUR]]&lt;&gt;tblRentRoll[[#This Row],[Jahresrente_EUR]], "FALSCH", "")</f>
        <v/>
      </c>
      <c r="M284">
        <v>2858.59</v>
      </c>
      <c r="N284">
        <v>1129.1500000000001</v>
      </c>
      <c r="O28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4" t="str">
        <f>IF(tblRentRoll[[#This Row],[Area_sqm]]&lt;=0,"Area&lt;=0","")</f>
        <v/>
      </c>
      <c r="Q284" t="str">
        <f>IF(tblRentRoll[[#This Row],[Monthly_Rent_EUR]]&lt;=0,"Rent&lt;=0","")</f>
        <v>Rent&lt;=0</v>
      </c>
      <c r="R284" t="str">
        <f>IF(AND(tblRentRoll[[#This Row],[Status]]="Occupied", tblRentRoll[[#This Row],[Area_sqm]]&gt;0), tblRentRoll[[#This Row],[Annual_Rent_EUR]]/tblRentRoll[[#This Row],[Area_sqm]],"")</f>
        <v/>
      </c>
      <c r="S284">
        <f>tblRentRoll[[#This Row],[Service_Charge_EUR]]+tblRentRoll[[#This Row],[Operating_Cost_EUR]]</f>
        <v>3987.7400000000002</v>
      </c>
      <c r="T284" t="str">
        <f>IF(tblRentRoll[[#This Row],[Annual_Rent_EUR]]&lt;&gt;0,tblRentRoll[[#This Row],[Annual_Rent_EUR]]-tblRentRoll[[#This Row],[Operating_Cost_EUR]], "")</f>
        <v/>
      </c>
      <c r="U284">
        <f ca="1">IF(AND(tblRentRoll[[#This Row],[Status]]="Occupied",tblRentRoll[[#This Row],[Lease_End]]&gt;=TODAY()),DATEDIF(TODAY(),tblRentRoll[[#This Row],[Lease_End]],"m"), 0)</f>
        <v>0</v>
      </c>
      <c r="V284" t="str">
        <f>IF(tblRentRoll[[#This Row],[Status]]&lt;&gt;"Occupied","", IF(tblRentRoll[[#This Row],[Month_to_Expiry]]&lt;=3, "0-3 Monaten",  IF(tblRentRoll[[#This Row],[Month_to_Expiry]]&lt;=6, "3-6 Monaten", IF(tblRentRoll[[#This Row],[Month_to_Expiry]]&lt;=12,"6-12 Monaten", IF(tblRentRoll[[#This Row],[Month_to_Expiry]]&gt;=12, "12 M+",)))))</f>
        <v/>
      </c>
      <c r="W284">
        <f>IF(tblRentRoll[[#This Row],[Status]]="Vacant", tblRentRoll[[#This Row],[Area_sqm]],0)</f>
        <v>1460</v>
      </c>
      <c r="X284" s="3">
        <f>IF(tblRentRoll[[#This Row],[Status]]="Occupied", tblRentRoll[[#This Row],[Area_sqm]],0)</f>
        <v>0</v>
      </c>
      <c r="Y284" s="3">
        <f ca="1">tblRentRoll[[#This Row],[Month_to_Expiry]]/12*tblRentRoll[[#This Row],[Annual_Rent_EUR]]</f>
        <v>0</v>
      </c>
      <c r="Z284" s="3"/>
    </row>
    <row r="285" spans="1:26" x14ac:dyDescent="0.35">
      <c r="A285" t="s">
        <v>27</v>
      </c>
      <c r="B285" t="s">
        <v>446</v>
      </c>
      <c r="C285" t="s">
        <v>14</v>
      </c>
      <c r="D285">
        <v>1210</v>
      </c>
      <c r="E285" t="s">
        <v>15</v>
      </c>
      <c r="F285" t="s">
        <v>317</v>
      </c>
      <c r="G285">
        <v>13787.9</v>
      </c>
      <c r="H285">
        <v>165454.79999999999</v>
      </c>
      <c r="I285" s="2">
        <f>tblRentRoll[[#This Row],[Monthly_Rent_EUR]]*12</f>
        <v>165454.79999999999</v>
      </c>
      <c r="J285" s="2" t="str">
        <f>IF(tblRentRoll[[#This Row],[Annual_Rent_EUR]]&lt;&gt;tblRentRoll[[#This Row],[Jahresrente_EUR]], "FALSCH", "")</f>
        <v/>
      </c>
      <c r="K285" s="1">
        <v>45142</v>
      </c>
      <c r="L285" s="1">
        <v>46440</v>
      </c>
      <c r="M285">
        <v>2390.36</v>
      </c>
      <c r="N285">
        <v>862.57</v>
      </c>
      <c r="O28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5" t="str">
        <f>IF(tblRentRoll[[#This Row],[Area_sqm]]&lt;=0,"Area&lt;=0","")</f>
        <v/>
      </c>
      <c r="Q285" t="str">
        <f>IF(tblRentRoll[[#This Row],[Monthly_Rent_EUR]]&lt;=0,"Rent&lt;=0","")</f>
        <v/>
      </c>
      <c r="R285">
        <f>IF(AND(tblRentRoll[[#This Row],[Status]]="Occupied", tblRentRoll[[#This Row],[Area_sqm]]&gt;0), tblRentRoll[[#This Row],[Annual_Rent_EUR]]/tblRentRoll[[#This Row],[Area_sqm]],"")</f>
        <v>136.73950413223139</v>
      </c>
      <c r="S285">
        <f>tblRentRoll[[#This Row],[Service_Charge_EUR]]+tblRentRoll[[#This Row],[Operating_Cost_EUR]]</f>
        <v>3252.9300000000003</v>
      </c>
      <c r="T285">
        <f>IF(tblRentRoll[[#This Row],[Annual_Rent_EUR]]&lt;&gt;0,tblRentRoll[[#This Row],[Annual_Rent_EUR]]-tblRentRoll[[#This Row],[Operating_Cost_EUR]], "")</f>
        <v>164592.22999999998</v>
      </c>
      <c r="U285">
        <f ca="1">IF(AND(tblRentRoll[[#This Row],[Status]]="Occupied",tblRentRoll[[#This Row],[Lease_End]]&gt;=TODAY()),DATEDIF(TODAY(),tblRentRoll[[#This Row],[Lease_End]],"m"), 0)</f>
        <v>11</v>
      </c>
      <c r="V285" t="str">
        <f ca="1">IF(tblRentRoll[[#This Row],[Status]]&lt;&gt;"Occupied","", IF(tblRentRoll[[#This Row],[Month_to_Expiry]]&lt;=3, "0-3 Monaten",  IF(tblRentRoll[[#This Row],[Month_to_Expiry]]&lt;=6, "3-6 Monaten", IF(tblRentRoll[[#This Row],[Month_to_Expiry]]&lt;=12,"6-12 Monaten", IF(tblRentRoll[[#This Row],[Month_to_Expiry]]&gt;=12, "12 M+",)))))</f>
        <v>6-12 Monaten</v>
      </c>
      <c r="W285">
        <f>IF(tblRentRoll[[#This Row],[Status]]="Vacant", tblRentRoll[[#This Row],[Area_sqm]],0)</f>
        <v>0</v>
      </c>
      <c r="X285" s="3">
        <f>IF(tblRentRoll[[#This Row],[Status]]="Occupied", tblRentRoll[[#This Row],[Area_sqm]],0)</f>
        <v>1210</v>
      </c>
      <c r="Y285" s="3">
        <f ca="1">tblRentRoll[[#This Row],[Month_to_Expiry]]/12*tblRentRoll[[#This Row],[Annual_Rent_EUR]]</f>
        <v>151666.9</v>
      </c>
      <c r="Z285" s="3"/>
    </row>
    <row r="286" spans="1:26" x14ac:dyDescent="0.35">
      <c r="A286" t="s">
        <v>17</v>
      </c>
      <c r="B286" t="s">
        <v>447</v>
      </c>
      <c r="C286" t="s">
        <v>19</v>
      </c>
      <c r="D286">
        <v>571</v>
      </c>
      <c r="E286" t="s">
        <v>15</v>
      </c>
      <c r="F286" t="s">
        <v>448</v>
      </c>
      <c r="G286">
        <v>7851.82</v>
      </c>
      <c r="H286">
        <v>94221.84</v>
      </c>
      <c r="I286" s="2">
        <f>tblRentRoll[[#This Row],[Monthly_Rent_EUR]]*12</f>
        <v>94221.84</v>
      </c>
      <c r="J286" s="2" t="str">
        <f>IF(tblRentRoll[[#This Row],[Annual_Rent_EUR]]&lt;&gt;tblRentRoll[[#This Row],[Jahresrente_EUR]], "FALSCH", "")</f>
        <v/>
      </c>
      <c r="K286" s="1">
        <v>44728</v>
      </c>
      <c r="L286" s="1">
        <v>45424</v>
      </c>
      <c r="M286">
        <v>747.16</v>
      </c>
      <c r="N286">
        <v>304.94</v>
      </c>
      <c r="O28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6" t="str">
        <f>IF(tblRentRoll[[#This Row],[Area_sqm]]&lt;=0,"Area&lt;=0","")</f>
        <v/>
      </c>
      <c r="Q286" t="str">
        <f>IF(tblRentRoll[[#This Row],[Monthly_Rent_EUR]]&lt;=0,"Rent&lt;=0","")</f>
        <v/>
      </c>
      <c r="R286">
        <f>IF(AND(tblRentRoll[[#This Row],[Status]]="Occupied", tblRentRoll[[#This Row],[Area_sqm]]&gt;0), tblRentRoll[[#This Row],[Annual_Rent_EUR]]/tblRentRoll[[#This Row],[Area_sqm]],"")</f>
        <v>165.01197898423817</v>
      </c>
      <c r="S286">
        <f>tblRentRoll[[#This Row],[Service_Charge_EUR]]+tblRentRoll[[#This Row],[Operating_Cost_EUR]]</f>
        <v>1052.0999999999999</v>
      </c>
      <c r="T286">
        <f>IF(tblRentRoll[[#This Row],[Annual_Rent_EUR]]&lt;&gt;0,tblRentRoll[[#This Row],[Annual_Rent_EUR]]-tblRentRoll[[#This Row],[Operating_Cost_EUR]], "")</f>
        <v>93916.9</v>
      </c>
      <c r="U286">
        <f ca="1">IF(AND(tblRentRoll[[#This Row],[Status]]="Occupied",tblRentRoll[[#This Row],[Lease_End]]&gt;=TODAY()),DATEDIF(TODAY(),tblRentRoll[[#This Row],[Lease_End]],"m"), 0)</f>
        <v>0</v>
      </c>
      <c r="V286" t="str">
        <f ca="1">IF(tblRentRoll[[#This Row],[Status]]&lt;&gt;"Occupied","", IF(tblRentRoll[[#This Row],[Month_to_Expiry]]&lt;=3, "0-3 Monaten",  IF(tblRentRoll[[#This Row],[Month_to_Expiry]]&lt;=6, "3-6 Monaten", IF(tblRentRoll[[#This Row],[Month_to_Expiry]]&lt;=12,"6-12 Monaten", IF(tblRentRoll[[#This Row],[Month_to_Expiry]]&gt;=12, "12 M+",)))))</f>
        <v>0-3 Monaten</v>
      </c>
      <c r="W286">
        <f>IF(tblRentRoll[[#This Row],[Status]]="Vacant", tblRentRoll[[#This Row],[Area_sqm]],0)</f>
        <v>0</v>
      </c>
      <c r="X286" s="3">
        <f>IF(tblRentRoll[[#This Row],[Status]]="Occupied", tblRentRoll[[#This Row],[Area_sqm]],0)</f>
        <v>571</v>
      </c>
      <c r="Y286" s="3">
        <f ca="1">tblRentRoll[[#This Row],[Month_to_Expiry]]/12*tblRentRoll[[#This Row],[Annual_Rent_EUR]]</f>
        <v>0</v>
      </c>
      <c r="Z286" s="3"/>
    </row>
    <row r="287" spans="1:26" x14ac:dyDescent="0.35">
      <c r="A287" t="s">
        <v>21</v>
      </c>
      <c r="B287" t="s">
        <v>449</v>
      </c>
      <c r="C287" t="s">
        <v>29</v>
      </c>
      <c r="D287">
        <v>926</v>
      </c>
      <c r="E287" t="s">
        <v>15</v>
      </c>
      <c r="F287" t="s">
        <v>128</v>
      </c>
      <c r="G287">
        <v>9100.9599999999991</v>
      </c>
      <c r="H287">
        <v>109211.52</v>
      </c>
      <c r="I287" s="2">
        <f>tblRentRoll[[#This Row],[Monthly_Rent_EUR]]*12</f>
        <v>109211.51999999999</v>
      </c>
      <c r="J287" s="2" t="str">
        <f>IF(tblRentRoll[[#This Row],[Annual_Rent_EUR]]&lt;&gt;tblRentRoll[[#This Row],[Jahresrente_EUR]], "FALSCH", "")</f>
        <v/>
      </c>
      <c r="K287" s="1">
        <v>44292</v>
      </c>
      <c r="L287" s="1">
        <v>45874</v>
      </c>
      <c r="M287">
        <v>1356.3</v>
      </c>
      <c r="N287">
        <v>2238.13</v>
      </c>
      <c r="O28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7" t="str">
        <f>IF(tblRentRoll[[#This Row],[Area_sqm]]&lt;=0,"Area&lt;=0","")</f>
        <v/>
      </c>
      <c r="Q287" t="str">
        <f>IF(tblRentRoll[[#This Row],[Monthly_Rent_EUR]]&lt;=0,"Rent&lt;=0","")</f>
        <v/>
      </c>
      <c r="R287">
        <f>IF(AND(tblRentRoll[[#This Row],[Status]]="Occupied", tblRentRoll[[#This Row],[Area_sqm]]&gt;0), tblRentRoll[[#This Row],[Annual_Rent_EUR]]/tblRentRoll[[#This Row],[Area_sqm]],"")</f>
        <v>117.93900647948165</v>
      </c>
      <c r="S287">
        <f>tblRentRoll[[#This Row],[Service_Charge_EUR]]+tblRentRoll[[#This Row],[Operating_Cost_EUR]]</f>
        <v>3594.4300000000003</v>
      </c>
      <c r="T287">
        <f>IF(tblRentRoll[[#This Row],[Annual_Rent_EUR]]&lt;&gt;0,tblRentRoll[[#This Row],[Annual_Rent_EUR]]-tblRentRoll[[#This Row],[Operating_Cost_EUR]], "")</f>
        <v>106973.39</v>
      </c>
      <c r="U287">
        <f ca="1">IF(AND(tblRentRoll[[#This Row],[Status]]="Occupied",tblRentRoll[[#This Row],[Lease_End]]&gt;=TODAY()),DATEDIF(TODAY(),tblRentRoll[[#This Row],[Lease_End]],"m"), 0)</f>
        <v>0</v>
      </c>
      <c r="V287" t="str">
        <f ca="1">IF(tblRentRoll[[#This Row],[Status]]&lt;&gt;"Occupied","", IF(tblRentRoll[[#This Row],[Month_to_Expiry]]&lt;=3, "0-3 Monaten",  IF(tblRentRoll[[#This Row],[Month_to_Expiry]]&lt;=6, "3-6 Monaten", IF(tblRentRoll[[#This Row],[Month_to_Expiry]]&lt;=12,"6-12 Monaten", IF(tblRentRoll[[#This Row],[Month_to_Expiry]]&gt;=12, "12 M+",)))))</f>
        <v>0-3 Monaten</v>
      </c>
      <c r="W287">
        <f>IF(tblRentRoll[[#This Row],[Status]]="Vacant", tblRentRoll[[#This Row],[Area_sqm]],0)</f>
        <v>0</v>
      </c>
      <c r="X287" s="3">
        <f>IF(tblRentRoll[[#This Row],[Status]]="Occupied", tblRentRoll[[#This Row],[Area_sqm]],0)</f>
        <v>926</v>
      </c>
      <c r="Y287" s="3">
        <f ca="1">tblRentRoll[[#This Row],[Month_to_Expiry]]/12*tblRentRoll[[#This Row],[Annual_Rent_EUR]]</f>
        <v>0</v>
      </c>
      <c r="Z287" s="3"/>
    </row>
    <row r="288" spans="1:26" x14ac:dyDescent="0.35">
      <c r="A288" t="s">
        <v>44</v>
      </c>
      <c r="B288" t="s">
        <v>450</v>
      </c>
      <c r="C288" t="s">
        <v>33</v>
      </c>
      <c r="D288">
        <v>49</v>
      </c>
      <c r="E288" t="s">
        <v>15</v>
      </c>
      <c r="F288" t="s">
        <v>37</v>
      </c>
      <c r="G288">
        <v>637.78</v>
      </c>
      <c r="H288">
        <v>7653.36</v>
      </c>
      <c r="I288" s="2">
        <f>tblRentRoll[[#This Row],[Monthly_Rent_EUR]]*12</f>
        <v>7653.36</v>
      </c>
      <c r="J288" s="2" t="str">
        <f>IF(tblRentRoll[[#This Row],[Annual_Rent_EUR]]&lt;&gt;tblRentRoll[[#This Row],[Jahresrente_EUR]], "FALSCH", "")</f>
        <v/>
      </c>
      <c r="K288" s="1">
        <v>44967</v>
      </c>
      <c r="L288" s="1">
        <v>45782</v>
      </c>
      <c r="M288">
        <v>97.67</v>
      </c>
      <c r="N288">
        <v>68.25</v>
      </c>
      <c r="O28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8" t="str">
        <f>IF(tblRentRoll[[#This Row],[Area_sqm]]&lt;=0,"Area&lt;=0","")</f>
        <v/>
      </c>
      <c r="Q288" t="str">
        <f>IF(tblRentRoll[[#This Row],[Monthly_Rent_EUR]]&lt;=0,"Rent&lt;=0","")</f>
        <v/>
      </c>
      <c r="R288">
        <f>IF(AND(tblRentRoll[[#This Row],[Status]]="Occupied", tblRentRoll[[#This Row],[Area_sqm]]&gt;0), tblRentRoll[[#This Row],[Annual_Rent_EUR]]/tblRentRoll[[#This Row],[Area_sqm]],"")</f>
        <v>156.19102040816327</v>
      </c>
      <c r="S288">
        <f>tblRentRoll[[#This Row],[Service_Charge_EUR]]+tblRentRoll[[#This Row],[Operating_Cost_EUR]]</f>
        <v>165.92000000000002</v>
      </c>
      <c r="T288">
        <f>IF(tblRentRoll[[#This Row],[Annual_Rent_EUR]]&lt;&gt;0,tblRentRoll[[#This Row],[Annual_Rent_EUR]]-tblRentRoll[[#This Row],[Operating_Cost_EUR]], "")</f>
        <v>7585.11</v>
      </c>
      <c r="U288">
        <f ca="1">IF(AND(tblRentRoll[[#This Row],[Status]]="Occupied",tblRentRoll[[#This Row],[Lease_End]]&gt;=TODAY()),DATEDIF(TODAY(),tblRentRoll[[#This Row],[Lease_End]],"m"), 0)</f>
        <v>0</v>
      </c>
      <c r="V288" t="str">
        <f ca="1">IF(tblRentRoll[[#This Row],[Status]]&lt;&gt;"Occupied","", IF(tblRentRoll[[#This Row],[Month_to_Expiry]]&lt;=3, "0-3 Monaten",  IF(tblRentRoll[[#This Row],[Month_to_Expiry]]&lt;=6, "3-6 Monaten", IF(tblRentRoll[[#This Row],[Month_to_Expiry]]&lt;=12,"6-12 Monaten", IF(tblRentRoll[[#This Row],[Month_to_Expiry]]&gt;=12, "12 M+",)))))</f>
        <v>0-3 Monaten</v>
      </c>
      <c r="W288">
        <f>IF(tblRentRoll[[#This Row],[Status]]="Vacant", tblRentRoll[[#This Row],[Area_sqm]],0)</f>
        <v>0</v>
      </c>
      <c r="X288" s="3">
        <f>IF(tblRentRoll[[#This Row],[Status]]="Occupied", tblRentRoll[[#This Row],[Area_sqm]],0)</f>
        <v>49</v>
      </c>
      <c r="Y288" s="3">
        <f ca="1">tblRentRoll[[#This Row],[Month_to_Expiry]]/12*tblRentRoll[[#This Row],[Annual_Rent_EUR]]</f>
        <v>0</v>
      </c>
      <c r="Z288" s="3"/>
    </row>
    <row r="289" spans="1:26" x14ac:dyDescent="0.35">
      <c r="A289" t="s">
        <v>17</v>
      </c>
      <c r="B289" t="s">
        <v>451</v>
      </c>
      <c r="C289" t="s">
        <v>33</v>
      </c>
      <c r="D289">
        <v>1020</v>
      </c>
      <c r="E289" t="s">
        <v>15</v>
      </c>
      <c r="F289" t="s">
        <v>452</v>
      </c>
      <c r="G289">
        <v>17994.990000000002</v>
      </c>
      <c r="H289">
        <v>215939.88</v>
      </c>
      <c r="I289" s="2">
        <f>tblRentRoll[[#This Row],[Monthly_Rent_EUR]]*12</f>
        <v>215939.88</v>
      </c>
      <c r="J289" s="2" t="str">
        <f>IF(tblRentRoll[[#This Row],[Annual_Rent_EUR]]&lt;&gt;tblRentRoll[[#This Row],[Jahresrente_EUR]], "FALSCH", "")</f>
        <v/>
      </c>
      <c r="K289" s="1">
        <v>45088</v>
      </c>
      <c r="L289" s="1">
        <v>46562</v>
      </c>
      <c r="M289">
        <v>1778.99</v>
      </c>
      <c r="N289">
        <v>1874.36</v>
      </c>
      <c r="O28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89" t="str">
        <f>IF(tblRentRoll[[#This Row],[Area_sqm]]&lt;=0,"Area&lt;=0","")</f>
        <v/>
      </c>
      <c r="Q289" t="str">
        <f>IF(tblRentRoll[[#This Row],[Monthly_Rent_EUR]]&lt;=0,"Rent&lt;=0","")</f>
        <v/>
      </c>
      <c r="R289">
        <f>IF(AND(tblRentRoll[[#This Row],[Status]]="Occupied", tblRentRoll[[#This Row],[Area_sqm]]&gt;0), tblRentRoll[[#This Row],[Annual_Rent_EUR]]/tblRentRoll[[#This Row],[Area_sqm]],"")</f>
        <v>211.70576470588236</v>
      </c>
      <c r="S289">
        <f>tblRentRoll[[#This Row],[Service_Charge_EUR]]+tblRentRoll[[#This Row],[Operating_Cost_EUR]]</f>
        <v>3653.35</v>
      </c>
      <c r="T289">
        <f>IF(tblRentRoll[[#This Row],[Annual_Rent_EUR]]&lt;&gt;0,tblRentRoll[[#This Row],[Annual_Rent_EUR]]-tblRentRoll[[#This Row],[Operating_Cost_EUR]], "")</f>
        <v>214065.52000000002</v>
      </c>
      <c r="U289">
        <f ca="1">IF(AND(tblRentRoll[[#This Row],[Status]]="Occupied",tblRentRoll[[#This Row],[Lease_End]]&gt;=TODAY()),DATEDIF(TODAY(),tblRentRoll[[#This Row],[Lease_End]],"m"), 0)</f>
        <v>15</v>
      </c>
      <c r="V289" t="str">
        <f ca="1">IF(tblRentRoll[[#This Row],[Status]]&lt;&gt;"Occupied","", IF(tblRentRoll[[#This Row],[Month_to_Expiry]]&lt;=3, "0-3 Monaten",  IF(tblRentRoll[[#This Row],[Month_to_Expiry]]&lt;=6, "3-6 Monaten", IF(tblRentRoll[[#This Row],[Month_to_Expiry]]&lt;=12,"6-12 Monaten", IF(tblRentRoll[[#This Row],[Month_to_Expiry]]&gt;=12, "12 M+",)))))</f>
        <v>12 M+</v>
      </c>
      <c r="W289">
        <f>IF(tblRentRoll[[#This Row],[Status]]="Vacant", tblRentRoll[[#This Row],[Area_sqm]],0)</f>
        <v>0</v>
      </c>
      <c r="X289" s="3">
        <f>IF(tblRentRoll[[#This Row],[Status]]="Occupied", tblRentRoll[[#This Row],[Area_sqm]],0)</f>
        <v>1020</v>
      </c>
      <c r="Y289" s="3">
        <f ca="1">tblRentRoll[[#This Row],[Month_to_Expiry]]/12*tblRentRoll[[#This Row],[Annual_Rent_EUR]]</f>
        <v>269924.84999999998</v>
      </c>
      <c r="Z289" s="3"/>
    </row>
    <row r="290" spans="1:26" x14ac:dyDescent="0.35">
      <c r="A290" t="s">
        <v>24</v>
      </c>
      <c r="B290" t="s">
        <v>453</v>
      </c>
      <c r="C290" t="s">
        <v>29</v>
      </c>
      <c r="D290">
        <v>733</v>
      </c>
      <c r="E290" t="s">
        <v>15</v>
      </c>
      <c r="F290" t="s">
        <v>454</v>
      </c>
      <c r="G290">
        <v>7837.59</v>
      </c>
      <c r="H290">
        <v>94051.08</v>
      </c>
      <c r="I290" s="2">
        <f>tblRentRoll[[#This Row],[Monthly_Rent_EUR]]*12</f>
        <v>94051.08</v>
      </c>
      <c r="J290" s="2" t="str">
        <f>IF(tblRentRoll[[#This Row],[Annual_Rent_EUR]]&lt;&gt;tblRentRoll[[#This Row],[Jahresrente_EUR]], "FALSCH", "")</f>
        <v/>
      </c>
      <c r="K290" s="1">
        <v>44347</v>
      </c>
      <c r="L290" s="1">
        <v>44691</v>
      </c>
      <c r="M290">
        <v>746.48</v>
      </c>
      <c r="N290">
        <v>1693.19</v>
      </c>
      <c r="O29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0" t="str">
        <f>IF(tblRentRoll[[#This Row],[Area_sqm]]&lt;=0,"Area&lt;=0","")</f>
        <v/>
      </c>
      <c r="Q290" t="str">
        <f>IF(tblRentRoll[[#This Row],[Monthly_Rent_EUR]]&lt;=0,"Rent&lt;=0","")</f>
        <v/>
      </c>
      <c r="R290">
        <f>IF(AND(tblRentRoll[[#This Row],[Status]]="Occupied", tblRentRoll[[#This Row],[Area_sqm]]&gt;0), tblRentRoll[[#This Row],[Annual_Rent_EUR]]/tblRentRoll[[#This Row],[Area_sqm]],"")</f>
        <v>128.30979536152796</v>
      </c>
      <c r="S290">
        <f>tblRentRoll[[#This Row],[Service_Charge_EUR]]+tblRentRoll[[#This Row],[Operating_Cost_EUR]]</f>
        <v>2439.67</v>
      </c>
      <c r="T290">
        <f>IF(tblRentRoll[[#This Row],[Annual_Rent_EUR]]&lt;&gt;0,tblRentRoll[[#This Row],[Annual_Rent_EUR]]-tblRentRoll[[#This Row],[Operating_Cost_EUR]], "")</f>
        <v>92357.89</v>
      </c>
      <c r="U290">
        <f ca="1">IF(AND(tblRentRoll[[#This Row],[Status]]="Occupied",tblRentRoll[[#This Row],[Lease_End]]&gt;=TODAY()),DATEDIF(TODAY(),tblRentRoll[[#This Row],[Lease_End]],"m"), 0)</f>
        <v>0</v>
      </c>
      <c r="V290" t="str">
        <f ca="1">IF(tblRentRoll[[#This Row],[Status]]&lt;&gt;"Occupied","", IF(tblRentRoll[[#This Row],[Month_to_Expiry]]&lt;=3, "0-3 Monaten",  IF(tblRentRoll[[#This Row],[Month_to_Expiry]]&lt;=6, "3-6 Monaten", IF(tblRentRoll[[#This Row],[Month_to_Expiry]]&lt;=12,"6-12 Monaten", IF(tblRentRoll[[#This Row],[Month_to_Expiry]]&gt;=12, "12 M+",)))))</f>
        <v>0-3 Monaten</v>
      </c>
      <c r="W290">
        <f>IF(tblRentRoll[[#This Row],[Status]]="Vacant", tblRentRoll[[#This Row],[Area_sqm]],0)</f>
        <v>0</v>
      </c>
      <c r="X290" s="3">
        <f>IF(tblRentRoll[[#This Row],[Status]]="Occupied", tblRentRoll[[#This Row],[Area_sqm]],0)</f>
        <v>733</v>
      </c>
      <c r="Y290" s="3">
        <f ca="1">tblRentRoll[[#This Row],[Month_to_Expiry]]/12*tblRentRoll[[#This Row],[Annual_Rent_EUR]]</f>
        <v>0</v>
      </c>
      <c r="Z290" s="3"/>
    </row>
    <row r="291" spans="1:26" x14ac:dyDescent="0.35">
      <c r="A291" t="s">
        <v>31</v>
      </c>
      <c r="B291" t="s">
        <v>455</v>
      </c>
      <c r="C291" t="s">
        <v>33</v>
      </c>
      <c r="D291">
        <v>72</v>
      </c>
      <c r="E291" t="s">
        <v>15</v>
      </c>
      <c r="F291" t="s">
        <v>286</v>
      </c>
      <c r="G291">
        <v>1143.33</v>
      </c>
      <c r="H291">
        <v>13719.96</v>
      </c>
      <c r="I291" s="2">
        <f>tblRentRoll[[#This Row],[Monthly_Rent_EUR]]*12</f>
        <v>13719.96</v>
      </c>
      <c r="J291" s="2" t="str">
        <f>IF(tblRentRoll[[#This Row],[Annual_Rent_EUR]]&lt;&gt;tblRentRoll[[#This Row],[Jahresrente_EUR]], "FALSCH", "")</f>
        <v/>
      </c>
      <c r="K291" s="1">
        <v>45158</v>
      </c>
      <c r="L291" s="1">
        <v>45477</v>
      </c>
      <c r="M291">
        <v>72.27</v>
      </c>
      <c r="N291">
        <v>120.22</v>
      </c>
      <c r="O29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1" t="str">
        <f>IF(tblRentRoll[[#This Row],[Area_sqm]]&lt;=0,"Area&lt;=0","")</f>
        <v/>
      </c>
      <c r="Q291" t="str">
        <f>IF(tblRentRoll[[#This Row],[Monthly_Rent_EUR]]&lt;=0,"Rent&lt;=0","")</f>
        <v/>
      </c>
      <c r="R291">
        <f>IF(AND(tblRentRoll[[#This Row],[Status]]="Occupied", tblRentRoll[[#This Row],[Area_sqm]]&gt;0), tblRentRoll[[#This Row],[Annual_Rent_EUR]]/tblRentRoll[[#This Row],[Area_sqm]],"")</f>
        <v>190.55499999999998</v>
      </c>
      <c r="S291">
        <f>tblRentRoll[[#This Row],[Service_Charge_EUR]]+tblRentRoll[[#This Row],[Operating_Cost_EUR]]</f>
        <v>192.49</v>
      </c>
      <c r="T291">
        <f>IF(tblRentRoll[[#This Row],[Annual_Rent_EUR]]&lt;&gt;0,tblRentRoll[[#This Row],[Annual_Rent_EUR]]-tblRentRoll[[#This Row],[Operating_Cost_EUR]], "")</f>
        <v>13599.74</v>
      </c>
      <c r="U291">
        <f ca="1">IF(AND(tblRentRoll[[#This Row],[Status]]="Occupied",tblRentRoll[[#This Row],[Lease_End]]&gt;=TODAY()),DATEDIF(TODAY(),tblRentRoll[[#This Row],[Lease_End]],"m"), 0)</f>
        <v>0</v>
      </c>
      <c r="V291" t="str">
        <f ca="1">IF(tblRentRoll[[#This Row],[Status]]&lt;&gt;"Occupied","", IF(tblRentRoll[[#This Row],[Month_to_Expiry]]&lt;=3, "0-3 Monaten",  IF(tblRentRoll[[#This Row],[Month_to_Expiry]]&lt;=6, "3-6 Monaten", IF(tblRentRoll[[#This Row],[Month_to_Expiry]]&lt;=12,"6-12 Monaten", IF(tblRentRoll[[#This Row],[Month_to_Expiry]]&gt;=12, "12 M+",)))))</f>
        <v>0-3 Monaten</v>
      </c>
      <c r="W291">
        <f>IF(tblRentRoll[[#This Row],[Status]]="Vacant", tblRentRoll[[#This Row],[Area_sqm]],0)</f>
        <v>0</v>
      </c>
      <c r="X291" s="3">
        <f>IF(tblRentRoll[[#This Row],[Status]]="Occupied", tblRentRoll[[#This Row],[Area_sqm]],0)</f>
        <v>72</v>
      </c>
      <c r="Y291" s="3">
        <f ca="1">tblRentRoll[[#This Row],[Month_to_Expiry]]/12*tblRentRoll[[#This Row],[Annual_Rent_EUR]]</f>
        <v>0</v>
      </c>
      <c r="Z291" s="3"/>
    </row>
    <row r="292" spans="1:26" x14ac:dyDescent="0.35">
      <c r="A292" t="s">
        <v>24</v>
      </c>
      <c r="B292" t="s">
        <v>456</v>
      </c>
      <c r="C292" t="s">
        <v>33</v>
      </c>
      <c r="D292">
        <v>500</v>
      </c>
      <c r="E292" t="s">
        <v>15</v>
      </c>
      <c r="F292" t="s">
        <v>177</v>
      </c>
      <c r="G292">
        <v>4235.62</v>
      </c>
      <c r="H292">
        <v>50827.44</v>
      </c>
      <c r="I292" s="2">
        <f>tblRentRoll[[#This Row],[Monthly_Rent_EUR]]*12</f>
        <v>50827.44</v>
      </c>
      <c r="J292" s="2" t="str">
        <f>IF(tblRentRoll[[#This Row],[Annual_Rent_EUR]]&lt;&gt;tblRentRoll[[#This Row],[Jahresrente_EUR]], "FALSCH", "")</f>
        <v/>
      </c>
      <c r="K292" s="1">
        <v>44769</v>
      </c>
      <c r="L292" s="1">
        <v>45560</v>
      </c>
      <c r="M292">
        <v>915.81</v>
      </c>
      <c r="N292">
        <v>314.49</v>
      </c>
      <c r="O29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2" t="str">
        <f>IF(tblRentRoll[[#This Row],[Area_sqm]]&lt;=0,"Area&lt;=0","")</f>
        <v/>
      </c>
      <c r="Q292" t="str">
        <f>IF(tblRentRoll[[#This Row],[Monthly_Rent_EUR]]&lt;=0,"Rent&lt;=0","")</f>
        <v/>
      </c>
      <c r="R292">
        <f>IF(AND(tblRentRoll[[#This Row],[Status]]="Occupied", tblRentRoll[[#This Row],[Area_sqm]]&gt;0), tblRentRoll[[#This Row],[Annual_Rent_EUR]]/tblRentRoll[[#This Row],[Area_sqm]],"")</f>
        <v>101.65488000000001</v>
      </c>
      <c r="S292">
        <f>tblRentRoll[[#This Row],[Service_Charge_EUR]]+tblRentRoll[[#This Row],[Operating_Cost_EUR]]</f>
        <v>1230.3</v>
      </c>
      <c r="T292">
        <f>IF(tblRentRoll[[#This Row],[Annual_Rent_EUR]]&lt;&gt;0,tblRentRoll[[#This Row],[Annual_Rent_EUR]]-tblRentRoll[[#This Row],[Operating_Cost_EUR]], "")</f>
        <v>50512.950000000004</v>
      </c>
      <c r="U292">
        <f ca="1">IF(AND(tblRentRoll[[#This Row],[Status]]="Occupied",tblRentRoll[[#This Row],[Lease_End]]&gt;=TODAY()),DATEDIF(TODAY(),tblRentRoll[[#This Row],[Lease_End]],"m"), 0)</f>
        <v>0</v>
      </c>
      <c r="V292" t="str">
        <f ca="1">IF(tblRentRoll[[#This Row],[Status]]&lt;&gt;"Occupied","", IF(tblRentRoll[[#This Row],[Month_to_Expiry]]&lt;=3, "0-3 Monaten",  IF(tblRentRoll[[#This Row],[Month_to_Expiry]]&lt;=6, "3-6 Monaten", IF(tblRentRoll[[#This Row],[Month_to_Expiry]]&lt;=12,"6-12 Monaten", IF(tblRentRoll[[#This Row],[Month_to_Expiry]]&gt;=12, "12 M+",)))))</f>
        <v>0-3 Monaten</v>
      </c>
      <c r="W292">
        <f>IF(tblRentRoll[[#This Row],[Status]]="Vacant", tblRentRoll[[#This Row],[Area_sqm]],0)</f>
        <v>0</v>
      </c>
      <c r="X292" s="3">
        <f>IF(tblRentRoll[[#This Row],[Status]]="Occupied", tblRentRoll[[#This Row],[Area_sqm]],0)</f>
        <v>500</v>
      </c>
      <c r="Y292" s="3">
        <f ca="1">tblRentRoll[[#This Row],[Month_to_Expiry]]/12*tblRentRoll[[#This Row],[Annual_Rent_EUR]]</f>
        <v>0</v>
      </c>
      <c r="Z292" s="3"/>
    </row>
    <row r="293" spans="1:26" x14ac:dyDescent="0.35">
      <c r="A293" t="s">
        <v>56</v>
      </c>
      <c r="B293" t="s">
        <v>457</v>
      </c>
      <c r="C293" t="s">
        <v>33</v>
      </c>
      <c r="D293">
        <v>1067</v>
      </c>
      <c r="E293" t="s">
        <v>15</v>
      </c>
      <c r="F293" t="s">
        <v>458</v>
      </c>
      <c r="G293">
        <v>8200.6</v>
      </c>
      <c r="H293">
        <v>98407.2</v>
      </c>
      <c r="I293" s="2">
        <f>tblRentRoll[[#This Row],[Monthly_Rent_EUR]]*12</f>
        <v>98407.200000000012</v>
      </c>
      <c r="J293" s="2" t="str">
        <f>IF(tblRentRoll[[#This Row],[Annual_Rent_EUR]]&lt;&gt;tblRentRoll[[#This Row],[Jahresrente_EUR]], "FALSCH", "")</f>
        <v/>
      </c>
      <c r="K293" s="1">
        <v>44526</v>
      </c>
      <c r="L293" s="1">
        <v>45010</v>
      </c>
      <c r="M293">
        <v>2740.96</v>
      </c>
      <c r="N293">
        <v>1278.76</v>
      </c>
      <c r="O29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3" t="str">
        <f>IF(tblRentRoll[[#This Row],[Area_sqm]]&lt;=0,"Area&lt;=0","")</f>
        <v/>
      </c>
      <c r="Q293" t="str">
        <f>IF(tblRentRoll[[#This Row],[Monthly_Rent_EUR]]&lt;=0,"Rent&lt;=0","")</f>
        <v/>
      </c>
      <c r="R293">
        <f>IF(AND(tblRentRoll[[#This Row],[Status]]="Occupied", tblRentRoll[[#This Row],[Area_sqm]]&gt;0), tblRentRoll[[#This Row],[Annual_Rent_EUR]]/tblRentRoll[[#This Row],[Area_sqm]],"")</f>
        <v>92.227928772258664</v>
      </c>
      <c r="S293">
        <f>tblRentRoll[[#This Row],[Service_Charge_EUR]]+tblRentRoll[[#This Row],[Operating_Cost_EUR]]</f>
        <v>4019.7200000000003</v>
      </c>
      <c r="T293">
        <f>IF(tblRentRoll[[#This Row],[Annual_Rent_EUR]]&lt;&gt;0,tblRentRoll[[#This Row],[Annual_Rent_EUR]]-tblRentRoll[[#This Row],[Operating_Cost_EUR]], "")</f>
        <v>97128.44</v>
      </c>
      <c r="U293">
        <f ca="1">IF(AND(tblRentRoll[[#This Row],[Status]]="Occupied",tblRentRoll[[#This Row],[Lease_End]]&gt;=TODAY()),DATEDIF(TODAY(),tblRentRoll[[#This Row],[Lease_End]],"m"), 0)</f>
        <v>0</v>
      </c>
      <c r="V293" t="str">
        <f ca="1">IF(tblRentRoll[[#This Row],[Status]]&lt;&gt;"Occupied","", IF(tblRentRoll[[#This Row],[Month_to_Expiry]]&lt;=3, "0-3 Monaten",  IF(tblRentRoll[[#This Row],[Month_to_Expiry]]&lt;=6, "3-6 Monaten", IF(tblRentRoll[[#This Row],[Month_to_Expiry]]&lt;=12,"6-12 Monaten", IF(tblRentRoll[[#This Row],[Month_to_Expiry]]&gt;=12, "12 M+",)))))</f>
        <v>0-3 Monaten</v>
      </c>
      <c r="W293">
        <f>IF(tblRentRoll[[#This Row],[Status]]="Vacant", tblRentRoll[[#This Row],[Area_sqm]],0)</f>
        <v>0</v>
      </c>
      <c r="X293" s="3">
        <f>IF(tblRentRoll[[#This Row],[Status]]="Occupied", tblRentRoll[[#This Row],[Area_sqm]],0)</f>
        <v>1067</v>
      </c>
      <c r="Y293" s="3">
        <f ca="1">tblRentRoll[[#This Row],[Month_to_Expiry]]/12*tblRentRoll[[#This Row],[Annual_Rent_EUR]]</f>
        <v>0</v>
      </c>
      <c r="Z293" s="3"/>
    </row>
    <row r="294" spans="1:26" x14ac:dyDescent="0.35">
      <c r="A294" t="s">
        <v>31</v>
      </c>
      <c r="B294" t="s">
        <v>459</v>
      </c>
      <c r="C294" t="s">
        <v>33</v>
      </c>
      <c r="D294">
        <v>317</v>
      </c>
      <c r="E294" t="s">
        <v>15</v>
      </c>
      <c r="F294" t="s">
        <v>82</v>
      </c>
      <c r="G294">
        <v>3380.11</v>
      </c>
      <c r="H294">
        <v>40561.32</v>
      </c>
      <c r="I294" s="2">
        <f>tblRentRoll[[#This Row],[Monthly_Rent_EUR]]*12</f>
        <v>40561.32</v>
      </c>
      <c r="J294" s="2" t="str">
        <f>IF(tblRentRoll[[#This Row],[Annual_Rent_EUR]]&lt;&gt;tblRentRoll[[#This Row],[Jahresrente_EUR]], "FALSCH", "")</f>
        <v/>
      </c>
      <c r="K294" s="1">
        <v>44346</v>
      </c>
      <c r="L294" s="1">
        <v>45352</v>
      </c>
      <c r="M294">
        <v>350.54</v>
      </c>
      <c r="N294">
        <v>375.9</v>
      </c>
      <c r="O29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4" t="str">
        <f>IF(tblRentRoll[[#This Row],[Area_sqm]]&lt;=0,"Area&lt;=0","")</f>
        <v/>
      </c>
      <c r="Q294" t="str">
        <f>IF(tblRentRoll[[#This Row],[Monthly_Rent_EUR]]&lt;=0,"Rent&lt;=0","")</f>
        <v/>
      </c>
      <c r="R294">
        <f>IF(AND(tblRentRoll[[#This Row],[Status]]="Occupied", tblRentRoll[[#This Row],[Area_sqm]]&gt;0), tblRentRoll[[#This Row],[Annual_Rent_EUR]]/tblRentRoll[[#This Row],[Area_sqm]],"")</f>
        <v>127.95369085173502</v>
      </c>
      <c r="S294">
        <f>tblRentRoll[[#This Row],[Service_Charge_EUR]]+tblRentRoll[[#This Row],[Operating_Cost_EUR]]</f>
        <v>726.44</v>
      </c>
      <c r="T294">
        <f>IF(tblRentRoll[[#This Row],[Annual_Rent_EUR]]&lt;&gt;0,tblRentRoll[[#This Row],[Annual_Rent_EUR]]-tblRentRoll[[#This Row],[Operating_Cost_EUR]], "")</f>
        <v>40185.42</v>
      </c>
      <c r="U294">
        <f ca="1">IF(AND(tblRentRoll[[#This Row],[Status]]="Occupied",tblRentRoll[[#This Row],[Lease_End]]&gt;=TODAY()),DATEDIF(TODAY(),tblRentRoll[[#This Row],[Lease_End]],"m"), 0)</f>
        <v>0</v>
      </c>
      <c r="V294" t="str">
        <f ca="1">IF(tblRentRoll[[#This Row],[Status]]&lt;&gt;"Occupied","", IF(tblRentRoll[[#This Row],[Month_to_Expiry]]&lt;=3, "0-3 Monaten",  IF(tblRentRoll[[#This Row],[Month_to_Expiry]]&lt;=6, "3-6 Monaten", IF(tblRentRoll[[#This Row],[Month_to_Expiry]]&lt;=12,"6-12 Monaten", IF(tblRentRoll[[#This Row],[Month_to_Expiry]]&gt;=12, "12 M+",)))))</f>
        <v>0-3 Monaten</v>
      </c>
      <c r="W294">
        <f>IF(tblRentRoll[[#This Row],[Status]]="Vacant", tblRentRoll[[#This Row],[Area_sqm]],0)</f>
        <v>0</v>
      </c>
      <c r="X294" s="3">
        <f>IF(tblRentRoll[[#This Row],[Status]]="Occupied", tblRentRoll[[#This Row],[Area_sqm]],0)</f>
        <v>317</v>
      </c>
      <c r="Y294" s="3">
        <f ca="1">tblRentRoll[[#This Row],[Month_to_Expiry]]/12*tblRentRoll[[#This Row],[Annual_Rent_EUR]]</f>
        <v>0</v>
      </c>
      <c r="Z294" s="3"/>
    </row>
    <row r="295" spans="1:26" x14ac:dyDescent="0.35">
      <c r="A295" t="s">
        <v>17</v>
      </c>
      <c r="B295" t="s">
        <v>460</v>
      </c>
      <c r="C295" t="s">
        <v>29</v>
      </c>
      <c r="D295">
        <v>1407</v>
      </c>
      <c r="E295" t="s">
        <v>15</v>
      </c>
      <c r="F295" t="s">
        <v>461</v>
      </c>
      <c r="G295">
        <v>10290.18</v>
      </c>
      <c r="H295">
        <v>123482.16</v>
      </c>
      <c r="I295" s="2">
        <f>tblRentRoll[[#This Row],[Monthly_Rent_EUR]]*12</f>
        <v>123482.16</v>
      </c>
      <c r="J295" s="2" t="str">
        <f>IF(tblRentRoll[[#This Row],[Annual_Rent_EUR]]&lt;&gt;tblRentRoll[[#This Row],[Jahresrente_EUR]], "FALSCH", "")</f>
        <v/>
      </c>
      <c r="K295" s="1">
        <v>44934</v>
      </c>
      <c r="L295" s="1">
        <v>45782</v>
      </c>
      <c r="M295">
        <v>2528.39</v>
      </c>
      <c r="N295">
        <v>1708.29</v>
      </c>
      <c r="O29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5" t="str">
        <f>IF(tblRentRoll[[#This Row],[Area_sqm]]&lt;=0,"Area&lt;=0","")</f>
        <v/>
      </c>
      <c r="Q295" t="str">
        <f>IF(tblRentRoll[[#This Row],[Monthly_Rent_EUR]]&lt;=0,"Rent&lt;=0","")</f>
        <v/>
      </c>
      <c r="R295">
        <f>IF(AND(tblRentRoll[[#This Row],[Status]]="Occupied", tblRentRoll[[#This Row],[Area_sqm]]&gt;0), tblRentRoll[[#This Row],[Annual_Rent_EUR]]/tblRentRoll[[#This Row],[Area_sqm]],"")</f>
        <v>87.762729211087418</v>
      </c>
      <c r="S295">
        <f>tblRentRoll[[#This Row],[Service_Charge_EUR]]+tblRentRoll[[#This Row],[Operating_Cost_EUR]]</f>
        <v>4236.68</v>
      </c>
      <c r="T295">
        <f>IF(tblRentRoll[[#This Row],[Annual_Rent_EUR]]&lt;&gt;0,tblRentRoll[[#This Row],[Annual_Rent_EUR]]-tblRentRoll[[#This Row],[Operating_Cost_EUR]], "")</f>
        <v>121773.87000000001</v>
      </c>
      <c r="U295">
        <f ca="1">IF(AND(tblRentRoll[[#This Row],[Status]]="Occupied",tblRentRoll[[#This Row],[Lease_End]]&gt;=TODAY()),DATEDIF(TODAY(),tblRentRoll[[#This Row],[Lease_End]],"m"), 0)</f>
        <v>0</v>
      </c>
      <c r="V295" t="str">
        <f ca="1">IF(tblRentRoll[[#This Row],[Status]]&lt;&gt;"Occupied","", IF(tblRentRoll[[#This Row],[Month_to_Expiry]]&lt;=3, "0-3 Monaten",  IF(tblRentRoll[[#This Row],[Month_to_Expiry]]&lt;=6, "3-6 Monaten", IF(tblRentRoll[[#This Row],[Month_to_Expiry]]&lt;=12,"6-12 Monaten", IF(tblRentRoll[[#This Row],[Month_to_Expiry]]&gt;=12, "12 M+",)))))</f>
        <v>0-3 Monaten</v>
      </c>
      <c r="W295">
        <f>IF(tblRentRoll[[#This Row],[Status]]="Vacant", tblRentRoll[[#This Row],[Area_sqm]],0)</f>
        <v>0</v>
      </c>
      <c r="X295" s="3">
        <f>IF(tblRentRoll[[#This Row],[Status]]="Occupied", tblRentRoll[[#This Row],[Area_sqm]],0)</f>
        <v>1407</v>
      </c>
      <c r="Y295" s="3">
        <f ca="1">tblRentRoll[[#This Row],[Month_to_Expiry]]/12*tblRentRoll[[#This Row],[Annual_Rent_EUR]]</f>
        <v>0</v>
      </c>
      <c r="Z295" s="3"/>
    </row>
    <row r="296" spans="1:26" x14ac:dyDescent="0.35">
      <c r="A296" t="s">
        <v>21</v>
      </c>
      <c r="B296" t="s">
        <v>462</v>
      </c>
      <c r="C296" t="s">
        <v>33</v>
      </c>
      <c r="D296">
        <v>230</v>
      </c>
      <c r="E296" t="s">
        <v>15</v>
      </c>
      <c r="F296" t="s">
        <v>241</v>
      </c>
      <c r="G296">
        <v>2861.89</v>
      </c>
      <c r="H296">
        <v>34342.68</v>
      </c>
      <c r="I296" s="2">
        <f>tblRentRoll[[#This Row],[Monthly_Rent_EUR]]*12</f>
        <v>34342.68</v>
      </c>
      <c r="J296" s="2" t="str">
        <f>IF(tblRentRoll[[#This Row],[Annual_Rent_EUR]]&lt;&gt;tblRentRoll[[#This Row],[Jahresrente_EUR]], "FALSCH", "")</f>
        <v/>
      </c>
      <c r="K296" s="1">
        <v>45079</v>
      </c>
      <c r="L296" s="1">
        <v>45838</v>
      </c>
      <c r="M296">
        <v>673.52</v>
      </c>
      <c r="N296">
        <v>304.17</v>
      </c>
      <c r="O29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6" t="str">
        <f>IF(tblRentRoll[[#This Row],[Area_sqm]]&lt;=0,"Area&lt;=0","")</f>
        <v/>
      </c>
      <c r="Q296" t="str">
        <f>IF(tblRentRoll[[#This Row],[Monthly_Rent_EUR]]&lt;=0,"Rent&lt;=0","")</f>
        <v/>
      </c>
      <c r="R296">
        <f>IF(AND(tblRentRoll[[#This Row],[Status]]="Occupied", tblRentRoll[[#This Row],[Area_sqm]]&gt;0), tblRentRoll[[#This Row],[Annual_Rent_EUR]]/tblRentRoll[[#This Row],[Area_sqm]],"")</f>
        <v>149.316</v>
      </c>
      <c r="S296">
        <f>tblRentRoll[[#This Row],[Service_Charge_EUR]]+tblRentRoll[[#This Row],[Operating_Cost_EUR]]</f>
        <v>977.69</v>
      </c>
      <c r="T296">
        <f>IF(tblRentRoll[[#This Row],[Annual_Rent_EUR]]&lt;&gt;0,tblRentRoll[[#This Row],[Annual_Rent_EUR]]-tblRentRoll[[#This Row],[Operating_Cost_EUR]], "")</f>
        <v>34038.51</v>
      </c>
      <c r="U296">
        <f ca="1">IF(AND(tblRentRoll[[#This Row],[Status]]="Occupied",tblRentRoll[[#This Row],[Lease_End]]&gt;=TODAY()),DATEDIF(TODAY(),tblRentRoll[[#This Row],[Lease_End]],"m"), 0)</f>
        <v>0</v>
      </c>
      <c r="V296" t="str">
        <f ca="1">IF(tblRentRoll[[#This Row],[Status]]&lt;&gt;"Occupied","", IF(tblRentRoll[[#This Row],[Month_to_Expiry]]&lt;=3, "0-3 Monaten",  IF(tblRentRoll[[#This Row],[Month_to_Expiry]]&lt;=6, "3-6 Monaten", IF(tblRentRoll[[#This Row],[Month_to_Expiry]]&lt;=12,"6-12 Monaten", IF(tblRentRoll[[#This Row],[Month_to_Expiry]]&gt;=12, "12 M+",)))))</f>
        <v>0-3 Monaten</v>
      </c>
      <c r="W296">
        <f>IF(tblRentRoll[[#This Row],[Status]]="Vacant", tblRentRoll[[#This Row],[Area_sqm]],0)</f>
        <v>0</v>
      </c>
      <c r="X296" s="3">
        <f>IF(tblRentRoll[[#This Row],[Status]]="Occupied", tblRentRoll[[#This Row],[Area_sqm]],0)</f>
        <v>230</v>
      </c>
      <c r="Y296" s="3">
        <f ca="1">tblRentRoll[[#This Row],[Month_to_Expiry]]/12*tblRentRoll[[#This Row],[Annual_Rent_EUR]]</f>
        <v>0</v>
      </c>
      <c r="Z296" s="3"/>
    </row>
    <row r="297" spans="1:26" x14ac:dyDescent="0.35">
      <c r="A297" t="s">
        <v>17</v>
      </c>
      <c r="B297" t="s">
        <v>463</v>
      </c>
      <c r="C297" t="s">
        <v>29</v>
      </c>
      <c r="D297">
        <v>1143</v>
      </c>
      <c r="E297" t="s">
        <v>15</v>
      </c>
      <c r="F297" t="s">
        <v>68</v>
      </c>
      <c r="G297">
        <v>11363.16</v>
      </c>
      <c r="H297">
        <v>136357.92000000001</v>
      </c>
      <c r="I297" s="2">
        <f>tblRentRoll[[#This Row],[Monthly_Rent_EUR]]*12</f>
        <v>136357.91999999998</v>
      </c>
      <c r="J297" s="2" t="str">
        <f>IF(tblRentRoll[[#This Row],[Annual_Rent_EUR]]&lt;&gt;tblRentRoll[[#This Row],[Jahresrente_EUR]], "FALSCH", "")</f>
        <v/>
      </c>
      <c r="K297" s="1">
        <v>45287</v>
      </c>
      <c r="L297" s="1">
        <v>46917</v>
      </c>
      <c r="M297">
        <v>2253.48</v>
      </c>
      <c r="N297">
        <v>1776.11</v>
      </c>
      <c r="O29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7" t="str">
        <f>IF(tblRentRoll[[#This Row],[Area_sqm]]&lt;=0,"Area&lt;=0","")</f>
        <v/>
      </c>
      <c r="Q297" t="str">
        <f>IF(tblRentRoll[[#This Row],[Monthly_Rent_EUR]]&lt;=0,"Rent&lt;=0","")</f>
        <v/>
      </c>
      <c r="R297">
        <f>IF(AND(tblRentRoll[[#This Row],[Status]]="Occupied", tblRentRoll[[#This Row],[Area_sqm]]&gt;0), tblRentRoll[[#This Row],[Annual_Rent_EUR]]/tblRentRoll[[#This Row],[Area_sqm]],"")</f>
        <v>119.29826771653545</v>
      </c>
      <c r="S297">
        <f>tblRentRoll[[#This Row],[Service_Charge_EUR]]+tblRentRoll[[#This Row],[Operating_Cost_EUR]]</f>
        <v>4029.59</v>
      </c>
      <c r="T297">
        <f>IF(tblRentRoll[[#This Row],[Annual_Rent_EUR]]&lt;&gt;0,tblRentRoll[[#This Row],[Annual_Rent_EUR]]-tblRentRoll[[#This Row],[Operating_Cost_EUR]], "")</f>
        <v>134581.81000000003</v>
      </c>
      <c r="U297">
        <f ca="1">IF(AND(tblRentRoll[[#This Row],[Status]]="Occupied",tblRentRoll[[#This Row],[Lease_End]]&gt;=TODAY()),DATEDIF(TODAY(),tblRentRoll[[#This Row],[Lease_End]],"m"), 0)</f>
        <v>27</v>
      </c>
      <c r="V297" t="str">
        <f ca="1">IF(tblRentRoll[[#This Row],[Status]]&lt;&gt;"Occupied","", IF(tblRentRoll[[#This Row],[Month_to_Expiry]]&lt;=3, "0-3 Monaten",  IF(tblRentRoll[[#This Row],[Month_to_Expiry]]&lt;=6, "3-6 Monaten", IF(tblRentRoll[[#This Row],[Month_to_Expiry]]&lt;=12,"6-12 Monaten", IF(tblRentRoll[[#This Row],[Month_to_Expiry]]&gt;=12, "12 M+",)))))</f>
        <v>12 M+</v>
      </c>
      <c r="W297">
        <f>IF(tblRentRoll[[#This Row],[Status]]="Vacant", tblRentRoll[[#This Row],[Area_sqm]],0)</f>
        <v>0</v>
      </c>
      <c r="X297" s="3">
        <f>IF(tblRentRoll[[#This Row],[Status]]="Occupied", tblRentRoll[[#This Row],[Area_sqm]],0)</f>
        <v>1143</v>
      </c>
      <c r="Y297" s="3">
        <f ca="1">tblRentRoll[[#This Row],[Month_to_Expiry]]/12*tblRentRoll[[#This Row],[Annual_Rent_EUR]]</f>
        <v>306805.32</v>
      </c>
      <c r="Z297" s="3"/>
    </row>
    <row r="298" spans="1:26" x14ac:dyDescent="0.35">
      <c r="A298" t="s">
        <v>44</v>
      </c>
      <c r="B298" t="s">
        <v>464</v>
      </c>
      <c r="C298" t="s">
        <v>29</v>
      </c>
      <c r="D298">
        <v>610</v>
      </c>
      <c r="E298" t="s">
        <v>15</v>
      </c>
      <c r="F298" t="s">
        <v>217</v>
      </c>
      <c r="G298">
        <v>9036.81</v>
      </c>
      <c r="H298">
        <v>108441.72</v>
      </c>
      <c r="I298" s="2">
        <f>tblRentRoll[[#This Row],[Monthly_Rent_EUR]]*12</f>
        <v>108441.72</v>
      </c>
      <c r="J298" s="2" t="str">
        <f>IF(tblRentRoll[[#This Row],[Annual_Rent_EUR]]&lt;&gt;tblRentRoll[[#This Row],[Jahresrente_EUR]], "FALSCH", "")</f>
        <v/>
      </c>
      <c r="K298" s="1">
        <v>44712</v>
      </c>
      <c r="L298" s="1">
        <v>45972</v>
      </c>
      <c r="M298">
        <v>1682.9</v>
      </c>
      <c r="N298">
        <v>345.02</v>
      </c>
      <c r="O29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8" t="str">
        <f>IF(tblRentRoll[[#This Row],[Area_sqm]]&lt;=0,"Area&lt;=0","")</f>
        <v/>
      </c>
      <c r="Q298" t="str">
        <f>IF(tblRentRoll[[#This Row],[Monthly_Rent_EUR]]&lt;=0,"Rent&lt;=0","")</f>
        <v/>
      </c>
      <c r="R298">
        <f>IF(AND(tblRentRoll[[#This Row],[Status]]="Occupied", tblRentRoll[[#This Row],[Area_sqm]]&gt;0), tblRentRoll[[#This Row],[Annual_Rent_EUR]]/tblRentRoll[[#This Row],[Area_sqm]],"")</f>
        <v>177.77331147540983</v>
      </c>
      <c r="S298">
        <f>tblRentRoll[[#This Row],[Service_Charge_EUR]]+tblRentRoll[[#This Row],[Operating_Cost_EUR]]</f>
        <v>2027.92</v>
      </c>
      <c r="T298">
        <f>IF(tblRentRoll[[#This Row],[Annual_Rent_EUR]]&lt;&gt;0,tblRentRoll[[#This Row],[Annual_Rent_EUR]]-tblRentRoll[[#This Row],[Operating_Cost_EUR]], "")</f>
        <v>108096.7</v>
      </c>
      <c r="U298">
        <f ca="1">IF(AND(tblRentRoll[[#This Row],[Status]]="Occupied",tblRentRoll[[#This Row],[Lease_End]]&gt;=TODAY()),DATEDIF(TODAY(),tblRentRoll[[#This Row],[Lease_End]],"m"), 0)</f>
        <v>0</v>
      </c>
      <c r="V298" t="str">
        <f ca="1">IF(tblRentRoll[[#This Row],[Status]]&lt;&gt;"Occupied","", IF(tblRentRoll[[#This Row],[Month_to_Expiry]]&lt;=3, "0-3 Monaten",  IF(tblRentRoll[[#This Row],[Month_to_Expiry]]&lt;=6, "3-6 Monaten", IF(tblRentRoll[[#This Row],[Month_to_Expiry]]&lt;=12,"6-12 Monaten", IF(tblRentRoll[[#This Row],[Month_to_Expiry]]&gt;=12, "12 M+",)))))</f>
        <v>0-3 Monaten</v>
      </c>
      <c r="W298">
        <f>IF(tblRentRoll[[#This Row],[Status]]="Vacant", tblRentRoll[[#This Row],[Area_sqm]],0)</f>
        <v>0</v>
      </c>
      <c r="X298" s="3">
        <f>IF(tblRentRoll[[#This Row],[Status]]="Occupied", tblRentRoll[[#This Row],[Area_sqm]],0)</f>
        <v>610</v>
      </c>
      <c r="Y298" s="3">
        <f ca="1">tblRentRoll[[#This Row],[Month_to_Expiry]]/12*tblRentRoll[[#This Row],[Annual_Rent_EUR]]</f>
        <v>0</v>
      </c>
      <c r="Z298" s="3"/>
    </row>
    <row r="299" spans="1:26" x14ac:dyDescent="0.35">
      <c r="A299" t="s">
        <v>27</v>
      </c>
      <c r="B299" t="s">
        <v>465</v>
      </c>
      <c r="C299" t="s">
        <v>33</v>
      </c>
      <c r="D299">
        <v>416</v>
      </c>
      <c r="E299" t="s">
        <v>20</v>
      </c>
      <c r="G299">
        <v>0</v>
      </c>
      <c r="H299">
        <v>0</v>
      </c>
      <c r="I299" s="2">
        <f>tblRentRoll[[#This Row],[Monthly_Rent_EUR]]*12</f>
        <v>0</v>
      </c>
      <c r="J299" s="2" t="str">
        <f>IF(tblRentRoll[[#This Row],[Annual_Rent_EUR]]&lt;&gt;tblRentRoll[[#This Row],[Jahresrente_EUR]], "FALSCH", "")</f>
        <v/>
      </c>
      <c r="M299">
        <v>1144.53</v>
      </c>
      <c r="N299">
        <v>447.46</v>
      </c>
      <c r="O29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299" t="str">
        <f>IF(tblRentRoll[[#This Row],[Area_sqm]]&lt;=0,"Area&lt;=0","")</f>
        <v/>
      </c>
      <c r="Q299" t="str">
        <f>IF(tblRentRoll[[#This Row],[Monthly_Rent_EUR]]&lt;=0,"Rent&lt;=0","")</f>
        <v>Rent&lt;=0</v>
      </c>
      <c r="R299" t="str">
        <f>IF(AND(tblRentRoll[[#This Row],[Status]]="Occupied", tblRentRoll[[#This Row],[Area_sqm]]&gt;0), tblRentRoll[[#This Row],[Annual_Rent_EUR]]/tblRentRoll[[#This Row],[Area_sqm]],"")</f>
        <v/>
      </c>
      <c r="S299">
        <f>tblRentRoll[[#This Row],[Service_Charge_EUR]]+tblRentRoll[[#This Row],[Operating_Cost_EUR]]</f>
        <v>1591.99</v>
      </c>
      <c r="T299" t="str">
        <f>IF(tblRentRoll[[#This Row],[Annual_Rent_EUR]]&lt;&gt;0,tblRentRoll[[#This Row],[Annual_Rent_EUR]]-tblRentRoll[[#This Row],[Operating_Cost_EUR]], "")</f>
        <v/>
      </c>
      <c r="U299">
        <f ca="1">IF(AND(tblRentRoll[[#This Row],[Status]]="Occupied",tblRentRoll[[#This Row],[Lease_End]]&gt;=TODAY()),DATEDIF(TODAY(),tblRentRoll[[#This Row],[Lease_End]],"m"), 0)</f>
        <v>0</v>
      </c>
      <c r="V299" t="str">
        <f>IF(tblRentRoll[[#This Row],[Status]]&lt;&gt;"Occupied","", IF(tblRentRoll[[#This Row],[Month_to_Expiry]]&lt;=3, "0-3 Monaten",  IF(tblRentRoll[[#This Row],[Month_to_Expiry]]&lt;=6, "3-6 Monaten", IF(tblRentRoll[[#This Row],[Month_to_Expiry]]&lt;=12,"6-12 Monaten", IF(tblRentRoll[[#This Row],[Month_to_Expiry]]&gt;=12, "12 M+",)))))</f>
        <v/>
      </c>
      <c r="W299">
        <f>IF(tblRentRoll[[#This Row],[Status]]="Vacant", tblRentRoll[[#This Row],[Area_sqm]],0)</f>
        <v>416</v>
      </c>
      <c r="X299" s="3">
        <f>IF(tblRentRoll[[#This Row],[Status]]="Occupied", tblRentRoll[[#This Row],[Area_sqm]],0)</f>
        <v>0</v>
      </c>
      <c r="Y299" s="3">
        <f ca="1">tblRentRoll[[#This Row],[Month_to_Expiry]]/12*tblRentRoll[[#This Row],[Annual_Rent_EUR]]</f>
        <v>0</v>
      </c>
      <c r="Z299" s="3"/>
    </row>
    <row r="300" spans="1:26" x14ac:dyDescent="0.35">
      <c r="A300" t="s">
        <v>17</v>
      </c>
      <c r="B300" t="s">
        <v>466</v>
      </c>
      <c r="C300" t="s">
        <v>19</v>
      </c>
      <c r="D300">
        <v>1390</v>
      </c>
      <c r="E300" t="s">
        <v>15</v>
      </c>
      <c r="F300" t="s">
        <v>467</v>
      </c>
      <c r="G300">
        <v>11428.83</v>
      </c>
      <c r="H300">
        <v>137145.96</v>
      </c>
      <c r="I300" s="2">
        <f>tblRentRoll[[#This Row],[Monthly_Rent_EUR]]*12</f>
        <v>137145.96</v>
      </c>
      <c r="J300" s="2" t="str">
        <f>IF(tblRentRoll[[#This Row],[Annual_Rent_EUR]]&lt;&gt;tblRentRoll[[#This Row],[Jahresrente_EUR]], "FALSCH", "")</f>
        <v/>
      </c>
      <c r="K300" s="1">
        <v>44951</v>
      </c>
      <c r="L300" s="1">
        <v>45520</v>
      </c>
      <c r="M300">
        <v>4077.01</v>
      </c>
      <c r="N300">
        <v>3088.13</v>
      </c>
      <c r="O30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0" t="str">
        <f>IF(tblRentRoll[[#This Row],[Area_sqm]]&lt;=0,"Area&lt;=0","")</f>
        <v/>
      </c>
      <c r="Q300" t="str">
        <f>IF(tblRentRoll[[#This Row],[Monthly_Rent_EUR]]&lt;=0,"Rent&lt;=0","")</f>
        <v/>
      </c>
      <c r="R300">
        <f>IF(AND(tblRentRoll[[#This Row],[Status]]="Occupied", tblRentRoll[[#This Row],[Area_sqm]]&gt;0), tblRentRoll[[#This Row],[Annual_Rent_EUR]]/tblRentRoll[[#This Row],[Area_sqm]],"")</f>
        <v>98.666158273381285</v>
      </c>
      <c r="S300">
        <f>tblRentRoll[[#This Row],[Service_Charge_EUR]]+tblRentRoll[[#This Row],[Operating_Cost_EUR]]</f>
        <v>7165.14</v>
      </c>
      <c r="T300">
        <f>IF(tblRentRoll[[#This Row],[Annual_Rent_EUR]]&lt;&gt;0,tblRentRoll[[#This Row],[Annual_Rent_EUR]]-tblRentRoll[[#This Row],[Operating_Cost_EUR]], "")</f>
        <v>134057.82999999999</v>
      </c>
      <c r="U300">
        <f ca="1">IF(AND(tblRentRoll[[#This Row],[Status]]="Occupied",tblRentRoll[[#This Row],[Lease_End]]&gt;=TODAY()),DATEDIF(TODAY(),tblRentRoll[[#This Row],[Lease_End]],"m"), 0)</f>
        <v>0</v>
      </c>
      <c r="V300" t="str">
        <f ca="1">IF(tblRentRoll[[#This Row],[Status]]&lt;&gt;"Occupied","", IF(tblRentRoll[[#This Row],[Month_to_Expiry]]&lt;=3, "0-3 Monaten",  IF(tblRentRoll[[#This Row],[Month_to_Expiry]]&lt;=6, "3-6 Monaten", IF(tblRentRoll[[#This Row],[Month_to_Expiry]]&lt;=12,"6-12 Monaten", IF(tblRentRoll[[#This Row],[Month_to_Expiry]]&gt;=12, "12 M+",)))))</f>
        <v>0-3 Monaten</v>
      </c>
      <c r="W300">
        <f>IF(tblRentRoll[[#This Row],[Status]]="Vacant", tblRentRoll[[#This Row],[Area_sqm]],0)</f>
        <v>0</v>
      </c>
      <c r="X300" s="3">
        <f>IF(tblRentRoll[[#This Row],[Status]]="Occupied", tblRentRoll[[#This Row],[Area_sqm]],0)</f>
        <v>1390</v>
      </c>
      <c r="Y300" s="3">
        <f ca="1">tblRentRoll[[#This Row],[Month_to_Expiry]]/12*tblRentRoll[[#This Row],[Annual_Rent_EUR]]</f>
        <v>0</v>
      </c>
      <c r="Z300" s="3"/>
    </row>
    <row r="301" spans="1:26" x14ac:dyDescent="0.35">
      <c r="A301" t="s">
        <v>31</v>
      </c>
      <c r="B301" t="s">
        <v>468</v>
      </c>
      <c r="C301" t="s">
        <v>14</v>
      </c>
      <c r="D301">
        <v>1322</v>
      </c>
      <c r="E301" t="s">
        <v>15</v>
      </c>
      <c r="F301" t="s">
        <v>192</v>
      </c>
      <c r="G301">
        <v>12631.54</v>
      </c>
      <c r="H301">
        <v>151578.48000000001</v>
      </c>
      <c r="I301" s="2">
        <f>tblRentRoll[[#This Row],[Monthly_Rent_EUR]]*12</f>
        <v>151578.48000000001</v>
      </c>
      <c r="J301" s="2" t="str">
        <f>IF(tblRentRoll[[#This Row],[Annual_Rent_EUR]]&lt;&gt;tblRentRoll[[#This Row],[Jahresrente_EUR]], "FALSCH", "")</f>
        <v/>
      </c>
      <c r="K301" s="1">
        <v>44436</v>
      </c>
      <c r="L301" s="1">
        <v>46013</v>
      </c>
      <c r="M301">
        <v>2931.08</v>
      </c>
      <c r="N301">
        <v>1674.42</v>
      </c>
      <c r="O30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1" t="str">
        <f>IF(tblRentRoll[[#This Row],[Area_sqm]]&lt;=0,"Area&lt;=0","")</f>
        <v/>
      </c>
      <c r="Q301" t="str">
        <f>IF(tblRentRoll[[#This Row],[Monthly_Rent_EUR]]&lt;=0,"Rent&lt;=0","")</f>
        <v/>
      </c>
      <c r="R301">
        <f>IF(AND(tblRentRoll[[#This Row],[Status]]="Occupied", tblRentRoll[[#This Row],[Area_sqm]]&gt;0), tblRentRoll[[#This Row],[Annual_Rent_EUR]]/tblRentRoll[[#This Row],[Area_sqm]],"")</f>
        <v>114.65845688350984</v>
      </c>
      <c r="S301">
        <f>tblRentRoll[[#This Row],[Service_Charge_EUR]]+tblRentRoll[[#This Row],[Operating_Cost_EUR]]</f>
        <v>4605.5</v>
      </c>
      <c r="T301">
        <f>IF(tblRentRoll[[#This Row],[Annual_Rent_EUR]]&lt;&gt;0,tblRentRoll[[#This Row],[Annual_Rent_EUR]]-tblRentRoll[[#This Row],[Operating_Cost_EUR]], "")</f>
        <v>149904.06</v>
      </c>
      <c r="U301">
        <f ca="1">IF(AND(tblRentRoll[[#This Row],[Status]]="Occupied",tblRentRoll[[#This Row],[Lease_End]]&gt;=TODAY()),DATEDIF(TODAY(),tblRentRoll[[#This Row],[Lease_End]],"m"), 0)</f>
        <v>0</v>
      </c>
      <c r="V301" t="str">
        <f ca="1">IF(tblRentRoll[[#This Row],[Status]]&lt;&gt;"Occupied","", IF(tblRentRoll[[#This Row],[Month_to_Expiry]]&lt;=3, "0-3 Monaten",  IF(tblRentRoll[[#This Row],[Month_to_Expiry]]&lt;=6, "3-6 Monaten", IF(tblRentRoll[[#This Row],[Month_to_Expiry]]&lt;=12,"6-12 Monaten", IF(tblRentRoll[[#This Row],[Month_to_Expiry]]&gt;=12, "12 M+",)))))</f>
        <v>0-3 Monaten</v>
      </c>
      <c r="W301">
        <f>IF(tblRentRoll[[#This Row],[Status]]="Vacant", tblRentRoll[[#This Row],[Area_sqm]],0)</f>
        <v>0</v>
      </c>
      <c r="X301" s="3">
        <f>IF(tblRentRoll[[#This Row],[Status]]="Occupied", tblRentRoll[[#This Row],[Area_sqm]],0)</f>
        <v>1322</v>
      </c>
      <c r="Y301" s="3">
        <f ca="1">tblRentRoll[[#This Row],[Month_to_Expiry]]/12*tblRentRoll[[#This Row],[Annual_Rent_EUR]]</f>
        <v>0</v>
      </c>
      <c r="Z301" s="3"/>
    </row>
    <row r="302" spans="1:26" x14ac:dyDescent="0.35">
      <c r="A302" t="s">
        <v>21</v>
      </c>
      <c r="B302" t="s">
        <v>469</v>
      </c>
      <c r="C302" t="s">
        <v>19</v>
      </c>
      <c r="D302">
        <v>417</v>
      </c>
      <c r="E302" t="s">
        <v>15</v>
      </c>
      <c r="F302" t="s">
        <v>169</v>
      </c>
      <c r="G302">
        <v>4524.76</v>
      </c>
      <c r="H302">
        <v>54297.120000000003</v>
      </c>
      <c r="I302" s="2">
        <f>tblRentRoll[[#This Row],[Monthly_Rent_EUR]]*12</f>
        <v>54297.120000000003</v>
      </c>
      <c r="J302" s="2" t="str">
        <f>IF(tblRentRoll[[#This Row],[Annual_Rent_EUR]]&lt;&gt;tblRentRoll[[#This Row],[Jahresrente_EUR]], "FALSCH", "")</f>
        <v/>
      </c>
      <c r="K302" s="1">
        <v>44651</v>
      </c>
      <c r="L302" s="1">
        <v>45722</v>
      </c>
      <c r="M302">
        <v>875.91</v>
      </c>
      <c r="N302">
        <v>662.07</v>
      </c>
      <c r="O30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2" t="str">
        <f>IF(tblRentRoll[[#This Row],[Area_sqm]]&lt;=0,"Area&lt;=0","")</f>
        <v/>
      </c>
      <c r="Q302" t="str">
        <f>IF(tblRentRoll[[#This Row],[Monthly_Rent_EUR]]&lt;=0,"Rent&lt;=0","")</f>
        <v/>
      </c>
      <c r="R302">
        <f>IF(AND(tblRentRoll[[#This Row],[Status]]="Occupied", tblRentRoll[[#This Row],[Area_sqm]]&gt;0), tblRentRoll[[#This Row],[Annual_Rent_EUR]]/tblRentRoll[[#This Row],[Area_sqm]],"")</f>
        <v>130.20892086330934</v>
      </c>
      <c r="S302">
        <f>tblRentRoll[[#This Row],[Service_Charge_EUR]]+tblRentRoll[[#This Row],[Operating_Cost_EUR]]</f>
        <v>1537.98</v>
      </c>
      <c r="T302">
        <f>IF(tblRentRoll[[#This Row],[Annual_Rent_EUR]]&lt;&gt;0,tblRentRoll[[#This Row],[Annual_Rent_EUR]]-tblRentRoll[[#This Row],[Operating_Cost_EUR]], "")</f>
        <v>53635.05</v>
      </c>
      <c r="U302">
        <f ca="1">IF(AND(tblRentRoll[[#This Row],[Status]]="Occupied",tblRentRoll[[#This Row],[Lease_End]]&gt;=TODAY()),DATEDIF(TODAY(),tblRentRoll[[#This Row],[Lease_End]],"m"), 0)</f>
        <v>0</v>
      </c>
      <c r="V302" t="str">
        <f ca="1">IF(tblRentRoll[[#This Row],[Status]]&lt;&gt;"Occupied","", IF(tblRentRoll[[#This Row],[Month_to_Expiry]]&lt;=3, "0-3 Monaten",  IF(tblRentRoll[[#This Row],[Month_to_Expiry]]&lt;=6, "3-6 Monaten", IF(tblRentRoll[[#This Row],[Month_to_Expiry]]&lt;=12,"6-12 Monaten", IF(tblRentRoll[[#This Row],[Month_to_Expiry]]&gt;=12, "12 M+",)))))</f>
        <v>0-3 Monaten</v>
      </c>
      <c r="W302">
        <f>IF(tblRentRoll[[#This Row],[Status]]="Vacant", tblRentRoll[[#This Row],[Area_sqm]],0)</f>
        <v>0</v>
      </c>
      <c r="X302" s="3">
        <f>IF(tblRentRoll[[#This Row],[Status]]="Occupied", tblRentRoll[[#This Row],[Area_sqm]],0)</f>
        <v>417</v>
      </c>
      <c r="Y302" s="3">
        <f ca="1">tblRentRoll[[#This Row],[Month_to_Expiry]]/12*tblRentRoll[[#This Row],[Annual_Rent_EUR]]</f>
        <v>0</v>
      </c>
      <c r="Z302" s="3"/>
    </row>
    <row r="303" spans="1:26" x14ac:dyDescent="0.35">
      <c r="A303" t="s">
        <v>12</v>
      </c>
      <c r="B303" t="s">
        <v>470</v>
      </c>
      <c r="C303" t="s">
        <v>19</v>
      </c>
      <c r="D303">
        <v>957</v>
      </c>
      <c r="E303" t="s">
        <v>15</v>
      </c>
      <c r="F303" t="s">
        <v>199</v>
      </c>
      <c r="G303">
        <v>5878.29</v>
      </c>
      <c r="H303">
        <v>70539.48</v>
      </c>
      <c r="I303" s="2">
        <f>tblRentRoll[[#This Row],[Monthly_Rent_EUR]]*12</f>
        <v>70539.48</v>
      </c>
      <c r="J303" s="2" t="str">
        <f>IF(tblRentRoll[[#This Row],[Annual_Rent_EUR]]&lt;&gt;tblRentRoll[[#This Row],[Jahresrente_EUR]], "FALSCH", "")</f>
        <v/>
      </c>
      <c r="K303" s="1">
        <v>44743</v>
      </c>
      <c r="L303" s="1">
        <v>46339</v>
      </c>
      <c r="M303">
        <v>1360.8</v>
      </c>
      <c r="N303">
        <v>1326.67</v>
      </c>
      <c r="O30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3" t="str">
        <f>IF(tblRentRoll[[#This Row],[Area_sqm]]&lt;=0,"Area&lt;=0","")</f>
        <v/>
      </c>
      <c r="Q303" t="str">
        <f>IF(tblRentRoll[[#This Row],[Monthly_Rent_EUR]]&lt;=0,"Rent&lt;=0","")</f>
        <v/>
      </c>
      <c r="R303">
        <f>IF(AND(tblRentRoll[[#This Row],[Status]]="Occupied", tblRentRoll[[#This Row],[Area_sqm]]&gt;0), tblRentRoll[[#This Row],[Annual_Rent_EUR]]/tblRentRoll[[#This Row],[Area_sqm]],"")</f>
        <v>73.708965517241381</v>
      </c>
      <c r="S303">
        <f>tblRentRoll[[#This Row],[Service_Charge_EUR]]+tblRentRoll[[#This Row],[Operating_Cost_EUR]]</f>
        <v>2687.4700000000003</v>
      </c>
      <c r="T303">
        <f>IF(tblRentRoll[[#This Row],[Annual_Rent_EUR]]&lt;&gt;0,tblRentRoll[[#This Row],[Annual_Rent_EUR]]-tblRentRoll[[#This Row],[Operating_Cost_EUR]], "")</f>
        <v>69212.81</v>
      </c>
      <c r="U303">
        <f ca="1">IF(AND(tblRentRoll[[#This Row],[Status]]="Occupied",tblRentRoll[[#This Row],[Lease_End]]&gt;=TODAY()),DATEDIF(TODAY(),tblRentRoll[[#This Row],[Lease_End]],"m"), 0)</f>
        <v>8</v>
      </c>
      <c r="V303" t="str">
        <f ca="1">IF(tblRentRoll[[#This Row],[Status]]&lt;&gt;"Occupied","", IF(tblRentRoll[[#This Row],[Month_to_Expiry]]&lt;=3, "0-3 Monaten",  IF(tblRentRoll[[#This Row],[Month_to_Expiry]]&lt;=6, "3-6 Monaten", IF(tblRentRoll[[#This Row],[Month_to_Expiry]]&lt;=12,"6-12 Monaten", IF(tblRentRoll[[#This Row],[Month_to_Expiry]]&gt;=12, "12 M+",)))))</f>
        <v>6-12 Monaten</v>
      </c>
      <c r="W303">
        <f>IF(tblRentRoll[[#This Row],[Status]]="Vacant", tblRentRoll[[#This Row],[Area_sqm]],0)</f>
        <v>0</v>
      </c>
      <c r="X303" s="3">
        <f>IF(tblRentRoll[[#This Row],[Status]]="Occupied", tblRentRoll[[#This Row],[Area_sqm]],0)</f>
        <v>957</v>
      </c>
      <c r="Y303" s="3">
        <f ca="1">tblRentRoll[[#This Row],[Month_to_Expiry]]/12*tblRentRoll[[#This Row],[Annual_Rent_EUR]]</f>
        <v>47026.319999999992</v>
      </c>
      <c r="Z303" s="3"/>
    </row>
    <row r="304" spans="1:26" x14ac:dyDescent="0.35">
      <c r="A304" t="s">
        <v>56</v>
      </c>
      <c r="B304" t="s">
        <v>471</v>
      </c>
      <c r="C304" t="s">
        <v>33</v>
      </c>
      <c r="D304">
        <v>904</v>
      </c>
      <c r="E304" t="s">
        <v>15</v>
      </c>
      <c r="F304" t="s">
        <v>472</v>
      </c>
      <c r="G304">
        <v>15566.6</v>
      </c>
      <c r="H304">
        <v>186799.2</v>
      </c>
      <c r="I304" s="2">
        <f>tblRentRoll[[#This Row],[Monthly_Rent_EUR]]*12</f>
        <v>186799.2</v>
      </c>
      <c r="J304" s="2" t="str">
        <f>IF(tblRentRoll[[#This Row],[Annual_Rent_EUR]]&lt;&gt;tblRentRoll[[#This Row],[Jahresrente_EUR]], "FALSCH", "")</f>
        <v/>
      </c>
      <c r="K304" s="1">
        <v>44960</v>
      </c>
      <c r="L304" s="1">
        <v>46744</v>
      </c>
      <c r="M304">
        <v>1984.63</v>
      </c>
      <c r="N304">
        <v>893.09</v>
      </c>
      <c r="O30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4" t="str">
        <f>IF(tblRentRoll[[#This Row],[Area_sqm]]&lt;=0,"Area&lt;=0","")</f>
        <v/>
      </c>
      <c r="Q304" t="str">
        <f>IF(tblRentRoll[[#This Row],[Monthly_Rent_EUR]]&lt;=0,"Rent&lt;=0","")</f>
        <v/>
      </c>
      <c r="R304">
        <f>IF(AND(tblRentRoll[[#This Row],[Status]]="Occupied", tblRentRoll[[#This Row],[Area_sqm]]&gt;0), tblRentRoll[[#This Row],[Annual_Rent_EUR]]/tblRentRoll[[#This Row],[Area_sqm]],"")</f>
        <v>206.63628318584071</v>
      </c>
      <c r="S304">
        <f>tblRentRoll[[#This Row],[Service_Charge_EUR]]+tblRentRoll[[#This Row],[Operating_Cost_EUR]]</f>
        <v>2877.7200000000003</v>
      </c>
      <c r="T304">
        <f>IF(tblRentRoll[[#This Row],[Annual_Rent_EUR]]&lt;&gt;0,tblRentRoll[[#This Row],[Annual_Rent_EUR]]-tblRentRoll[[#This Row],[Operating_Cost_EUR]], "")</f>
        <v>185906.11000000002</v>
      </c>
      <c r="U304">
        <f ca="1">IF(AND(tblRentRoll[[#This Row],[Status]]="Occupied",tblRentRoll[[#This Row],[Lease_End]]&gt;=TODAY()),DATEDIF(TODAY(),tblRentRoll[[#This Row],[Lease_End]],"m"), 0)</f>
        <v>21</v>
      </c>
      <c r="V304" t="str">
        <f ca="1">IF(tblRentRoll[[#This Row],[Status]]&lt;&gt;"Occupied","", IF(tblRentRoll[[#This Row],[Month_to_Expiry]]&lt;=3, "0-3 Monaten",  IF(tblRentRoll[[#This Row],[Month_to_Expiry]]&lt;=6, "3-6 Monaten", IF(tblRentRoll[[#This Row],[Month_to_Expiry]]&lt;=12,"6-12 Monaten", IF(tblRentRoll[[#This Row],[Month_to_Expiry]]&gt;=12, "12 M+",)))))</f>
        <v>12 M+</v>
      </c>
      <c r="W304">
        <f>IF(tblRentRoll[[#This Row],[Status]]="Vacant", tblRentRoll[[#This Row],[Area_sqm]],0)</f>
        <v>0</v>
      </c>
      <c r="X304" s="3">
        <f>IF(tblRentRoll[[#This Row],[Status]]="Occupied", tblRentRoll[[#This Row],[Area_sqm]],0)</f>
        <v>904</v>
      </c>
      <c r="Y304" s="3">
        <f ca="1">tblRentRoll[[#This Row],[Month_to_Expiry]]/12*tblRentRoll[[#This Row],[Annual_Rent_EUR]]</f>
        <v>326898.60000000003</v>
      </c>
      <c r="Z304" s="3"/>
    </row>
    <row r="305" spans="1:26" x14ac:dyDescent="0.35">
      <c r="A305" t="s">
        <v>17</v>
      </c>
      <c r="B305" t="s">
        <v>473</v>
      </c>
      <c r="C305" t="s">
        <v>29</v>
      </c>
      <c r="D305">
        <v>1055</v>
      </c>
      <c r="E305" t="s">
        <v>15</v>
      </c>
      <c r="F305" t="s">
        <v>362</v>
      </c>
      <c r="G305">
        <v>11721.12</v>
      </c>
      <c r="H305">
        <v>140653.44</v>
      </c>
      <c r="I305" s="2">
        <f>tblRentRoll[[#This Row],[Monthly_Rent_EUR]]*12</f>
        <v>140653.44</v>
      </c>
      <c r="J305" s="2" t="str">
        <f>IF(tblRentRoll[[#This Row],[Annual_Rent_EUR]]&lt;&gt;tblRentRoll[[#This Row],[Jahresrente_EUR]], "FALSCH", "")</f>
        <v/>
      </c>
      <c r="K305" s="1">
        <v>44786</v>
      </c>
      <c r="L305" s="1">
        <v>45381</v>
      </c>
      <c r="M305">
        <v>1707.82</v>
      </c>
      <c r="N305">
        <v>2582.69</v>
      </c>
      <c r="O30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5" t="str">
        <f>IF(tblRentRoll[[#This Row],[Area_sqm]]&lt;=0,"Area&lt;=0","")</f>
        <v/>
      </c>
      <c r="Q305" t="str">
        <f>IF(tblRentRoll[[#This Row],[Monthly_Rent_EUR]]&lt;=0,"Rent&lt;=0","")</f>
        <v/>
      </c>
      <c r="R305">
        <f>IF(AND(tblRentRoll[[#This Row],[Status]]="Occupied", tblRentRoll[[#This Row],[Area_sqm]]&gt;0), tblRentRoll[[#This Row],[Annual_Rent_EUR]]/tblRentRoll[[#This Row],[Area_sqm]],"")</f>
        <v>133.32079620853079</v>
      </c>
      <c r="S305">
        <f>tblRentRoll[[#This Row],[Service_Charge_EUR]]+tblRentRoll[[#This Row],[Operating_Cost_EUR]]</f>
        <v>4290.51</v>
      </c>
      <c r="T305">
        <f>IF(tblRentRoll[[#This Row],[Annual_Rent_EUR]]&lt;&gt;0,tblRentRoll[[#This Row],[Annual_Rent_EUR]]-tblRentRoll[[#This Row],[Operating_Cost_EUR]], "")</f>
        <v>138070.75</v>
      </c>
      <c r="U305">
        <f ca="1">IF(AND(tblRentRoll[[#This Row],[Status]]="Occupied",tblRentRoll[[#This Row],[Lease_End]]&gt;=TODAY()),DATEDIF(TODAY(),tblRentRoll[[#This Row],[Lease_End]],"m"), 0)</f>
        <v>0</v>
      </c>
      <c r="V305" t="str">
        <f ca="1">IF(tblRentRoll[[#This Row],[Status]]&lt;&gt;"Occupied","", IF(tblRentRoll[[#This Row],[Month_to_Expiry]]&lt;=3, "0-3 Monaten",  IF(tblRentRoll[[#This Row],[Month_to_Expiry]]&lt;=6, "3-6 Monaten", IF(tblRentRoll[[#This Row],[Month_to_Expiry]]&lt;=12,"6-12 Monaten", IF(tblRentRoll[[#This Row],[Month_to_Expiry]]&gt;=12, "12 M+",)))))</f>
        <v>0-3 Monaten</v>
      </c>
      <c r="W305">
        <f>IF(tblRentRoll[[#This Row],[Status]]="Vacant", tblRentRoll[[#This Row],[Area_sqm]],0)</f>
        <v>0</v>
      </c>
      <c r="X305" s="3">
        <f>IF(tblRentRoll[[#This Row],[Status]]="Occupied", tblRentRoll[[#This Row],[Area_sqm]],0)</f>
        <v>1055</v>
      </c>
      <c r="Y305" s="3">
        <f ca="1">tblRentRoll[[#This Row],[Month_to_Expiry]]/12*tblRentRoll[[#This Row],[Annual_Rent_EUR]]</f>
        <v>0</v>
      </c>
      <c r="Z305" s="3"/>
    </row>
    <row r="306" spans="1:26" x14ac:dyDescent="0.35">
      <c r="A306" t="s">
        <v>56</v>
      </c>
      <c r="B306" t="s">
        <v>474</v>
      </c>
      <c r="C306" t="s">
        <v>29</v>
      </c>
      <c r="D306">
        <v>1309</v>
      </c>
      <c r="E306" t="s">
        <v>15</v>
      </c>
      <c r="F306" t="s">
        <v>475</v>
      </c>
      <c r="G306">
        <v>22127.87</v>
      </c>
      <c r="H306">
        <v>265534.44</v>
      </c>
      <c r="I306" s="2">
        <f>tblRentRoll[[#This Row],[Monthly_Rent_EUR]]*12</f>
        <v>265534.44</v>
      </c>
      <c r="J306" s="2" t="str">
        <f>IF(tblRentRoll[[#This Row],[Annual_Rent_EUR]]&lt;&gt;tblRentRoll[[#This Row],[Jahresrente_EUR]], "FALSCH", "")</f>
        <v/>
      </c>
      <c r="K306" s="1">
        <v>45216</v>
      </c>
      <c r="L306" s="1">
        <v>45429</v>
      </c>
      <c r="M306">
        <v>2467.16</v>
      </c>
      <c r="N306">
        <v>2862.67</v>
      </c>
      <c r="O30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6" t="str">
        <f>IF(tblRentRoll[[#This Row],[Area_sqm]]&lt;=0,"Area&lt;=0","")</f>
        <v/>
      </c>
      <c r="Q306" t="str">
        <f>IF(tblRentRoll[[#This Row],[Monthly_Rent_EUR]]&lt;=0,"Rent&lt;=0","")</f>
        <v/>
      </c>
      <c r="R306">
        <f>IF(AND(tblRentRoll[[#This Row],[Status]]="Occupied", tblRentRoll[[#This Row],[Area_sqm]]&gt;0), tblRentRoll[[#This Row],[Annual_Rent_EUR]]/tblRentRoll[[#This Row],[Area_sqm]],"")</f>
        <v>202.85289533995416</v>
      </c>
      <c r="S306">
        <f>tblRentRoll[[#This Row],[Service_Charge_EUR]]+tblRentRoll[[#This Row],[Operating_Cost_EUR]]</f>
        <v>5329.83</v>
      </c>
      <c r="T306">
        <f>IF(tblRentRoll[[#This Row],[Annual_Rent_EUR]]&lt;&gt;0,tblRentRoll[[#This Row],[Annual_Rent_EUR]]-tblRentRoll[[#This Row],[Operating_Cost_EUR]], "")</f>
        <v>262671.77</v>
      </c>
      <c r="U306">
        <f ca="1">IF(AND(tblRentRoll[[#This Row],[Status]]="Occupied",tblRentRoll[[#This Row],[Lease_End]]&gt;=TODAY()),DATEDIF(TODAY(),tblRentRoll[[#This Row],[Lease_End]],"m"), 0)</f>
        <v>0</v>
      </c>
      <c r="V306" t="str">
        <f ca="1">IF(tblRentRoll[[#This Row],[Status]]&lt;&gt;"Occupied","", IF(tblRentRoll[[#This Row],[Month_to_Expiry]]&lt;=3, "0-3 Monaten",  IF(tblRentRoll[[#This Row],[Month_to_Expiry]]&lt;=6, "3-6 Monaten", IF(tblRentRoll[[#This Row],[Month_to_Expiry]]&lt;=12,"6-12 Monaten", IF(tblRentRoll[[#This Row],[Month_to_Expiry]]&gt;=12, "12 M+",)))))</f>
        <v>0-3 Monaten</v>
      </c>
      <c r="W306">
        <f>IF(tblRentRoll[[#This Row],[Status]]="Vacant", tblRentRoll[[#This Row],[Area_sqm]],0)</f>
        <v>0</v>
      </c>
      <c r="X306" s="3">
        <f>IF(tblRentRoll[[#This Row],[Status]]="Occupied", tblRentRoll[[#This Row],[Area_sqm]],0)</f>
        <v>1309</v>
      </c>
      <c r="Y306" s="3">
        <f ca="1">tblRentRoll[[#This Row],[Month_to_Expiry]]/12*tblRentRoll[[#This Row],[Annual_Rent_EUR]]</f>
        <v>0</v>
      </c>
      <c r="Z306" s="3"/>
    </row>
    <row r="307" spans="1:26" x14ac:dyDescent="0.35">
      <c r="A307" t="s">
        <v>44</v>
      </c>
      <c r="B307" t="s">
        <v>476</v>
      </c>
      <c r="C307" t="s">
        <v>29</v>
      </c>
      <c r="D307">
        <v>144</v>
      </c>
      <c r="E307" t="s">
        <v>15</v>
      </c>
      <c r="F307" t="s">
        <v>467</v>
      </c>
      <c r="G307">
        <v>2533.36</v>
      </c>
      <c r="H307">
        <v>30400.32</v>
      </c>
      <c r="I307" s="2">
        <f>tblRentRoll[[#This Row],[Monthly_Rent_EUR]]*12</f>
        <v>30400.32</v>
      </c>
      <c r="J307" s="2" t="str">
        <f>IF(tblRentRoll[[#This Row],[Annual_Rent_EUR]]&lt;&gt;tblRentRoll[[#This Row],[Jahresrente_EUR]], "FALSCH", "")</f>
        <v/>
      </c>
      <c r="K307" s="1">
        <v>45255</v>
      </c>
      <c r="L307" s="1">
        <v>46817</v>
      </c>
      <c r="M307">
        <v>250.98</v>
      </c>
      <c r="N307">
        <v>161.71</v>
      </c>
      <c r="O30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7" t="str">
        <f>IF(tblRentRoll[[#This Row],[Area_sqm]]&lt;=0,"Area&lt;=0","")</f>
        <v/>
      </c>
      <c r="Q307" t="str">
        <f>IF(tblRentRoll[[#This Row],[Monthly_Rent_EUR]]&lt;=0,"Rent&lt;=0","")</f>
        <v/>
      </c>
      <c r="R307">
        <f>IF(AND(tblRentRoll[[#This Row],[Status]]="Occupied", tblRentRoll[[#This Row],[Area_sqm]]&gt;0), tblRentRoll[[#This Row],[Annual_Rent_EUR]]/tblRentRoll[[#This Row],[Area_sqm]],"")</f>
        <v>211.11333333333334</v>
      </c>
      <c r="S307">
        <f>tblRentRoll[[#This Row],[Service_Charge_EUR]]+tblRentRoll[[#This Row],[Operating_Cost_EUR]]</f>
        <v>412.69</v>
      </c>
      <c r="T307">
        <f>IF(tblRentRoll[[#This Row],[Annual_Rent_EUR]]&lt;&gt;0,tblRentRoll[[#This Row],[Annual_Rent_EUR]]-tblRentRoll[[#This Row],[Operating_Cost_EUR]], "")</f>
        <v>30238.61</v>
      </c>
      <c r="U307">
        <f ca="1">IF(AND(tblRentRoll[[#This Row],[Status]]="Occupied",tblRentRoll[[#This Row],[Lease_End]]&gt;=TODAY()),DATEDIF(TODAY(),tblRentRoll[[#This Row],[Lease_End]],"m"), 0)</f>
        <v>23</v>
      </c>
      <c r="V307" t="str">
        <f ca="1">IF(tblRentRoll[[#This Row],[Status]]&lt;&gt;"Occupied","", IF(tblRentRoll[[#This Row],[Month_to_Expiry]]&lt;=3, "0-3 Monaten",  IF(tblRentRoll[[#This Row],[Month_to_Expiry]]&lt;=6, "3-6 Monaten", IF(tblRentRoll[[#This Row],[Month_to_Expiry]]&lt;=12,"6-12 Monaten", IF(tblRentRoll[[#This Row],[Month_to_Expiry]]&gt;=12, "12 M+",)))))</f>
        <v>12 M+</v>
      </c>
      <c r="W307">
        <f>IF(tblRentRoll[[#This Row],[Status]]="Vacant", tblRentRoll[[#This Row],[Area_sqm]],0)</f>
        <v>0</v>
      </c>
      <c r="X307" s="3">
        <f>IF(tblRentRoll[[#This Row],[Status]]="Occupied", tblRentRoll[[#This Row],[Area_sqm]],0)</f>
        <v>144</v>
      </c>
      <c r="Y307" s="3">
        <f ca="1">tblRentRoll[[#This Row],[Month_to_Expiry]]/12*tblRentRoll[[#This Row],[Annual_Rent_EUR]]</f>
        <v>58267.28</v>
      </c>
      <c r="Z307" s="3"/>
    </row>
    <row r="308" spans="1:26" x14ac:dyDescent="0.35">
      <c r="A308" t="s">
        <v>31</v>
      </c>
      <c r="B308" t="s">
        <v>477</v>
      </c>
      <c r="C308" t="s">
        <v>33</v>
      </c>
      <c r="D308">
        <v>1223</v>
      </c>
      <c r="E308" t="s">
        <v>15</v>
      </c>
      <c r="F308" t="s">
        <v>37</v>
      </c>
      <c r="G308">
        <v>17297.29</v>
      </c>
      <c r="H308">
        <v>207567.48</v>
      </c>
      <c r="I308" s="2">
        <f>tblRentRoll[[#This Row],[Monthly_Rent_EUR]]*12</f>
        <v>207567.48</v>
      </c>
      <c r="J308" s="2" t="str">
        <f>IF(tblRentRoll[[#This Row],[Annual_Rent_EUR]]&lt;&gt;tblRentRoll[[#This Row],[Jahresrente_EUR]], "FALSCH", "")</f>
        <v/>
      </c>
      <c r="K308" s="1">
        <v>44297</v>
      </c>
      <c r="L308" s="1">
        <v>44833</v>
      </c>
      <c r="M308">
        <v>1762.79</v>
      </c>
      <c r="N308">
        <v>1191.1400000000001</v>
      </c>
      <c r="O30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8" t="str">
        <f>IF(tblRentRoll[[#This Row],[Area_sqm]]&lt;=0,"Area&lt;=0","")</f>
        <v/>
      </c>
      <c r="Q308" t="str">
        <f>IF(tblRentRoll[[#This Row],[Monthly_Rent_EUR]]&lt;=0,"Rent&lt;=0","")</f>
        <v/>
      </c>
      <c r="R308">
        <f>IF(AND(tblRentRoll[[#This Row],[Status]]="Occupied", tblRentRoll[[#This Row],[Area_sqm]]&gt;0), tblRentRoll[[#This Row],[Annual_Rent_EUR]]/tblRentRoll[[#This Row],[Area_sqm]],"")</f>
        <v>169.71993458708096</v>
      </c>
      <c r="S308">
        <f>tblRentRoll[[#This Row],[Service_Charge_EUR]]+tblRentRoll[[#This Row],[Operating_Cost_EUR]]</f>
        <v>2953.9300000000003</v>
      </c>
      <c r="T308">
        <f>IF(tblRentRoll[[#This Row],[Annual_Rent_EUR]]&lt;&gt;0,tblRentRoll[[#This Row],[Annual_Rent_EUR]]-tblRentRoll[[#This Row],[Operating_Cost_EUR]], "")</f>
        <v>206376.34</v>
      </c>
      <c r="U308">
        <f ca="1">IF(AND(tblRentRoll[[#This Row],[Status]]="Occupied",tblRentRoll[[#This Row],[Lease_End]]&gt;=TODAY()),DATEDIF(TODAY(),tblRentRoll[[#This Row],[Lease_End]],"m"), 0)</f>
        <v>0</v>
      </c>
      <c r="V308" t="str">
        <f ca="1">IF(tblRentRoll[[#This Row],[Status]]&lt;&gt;"Occupied","", IF(tblRentRoll[[#This Row],[Month_to_Expiry]]&lt;=3, "0-3 Monaten",  IF(tblRentRoll[[#This Row],[Month_to_Expiry]]&lt;=6, "3-6 Monaten", IF(tblRentRoll[[#This Row],[Month_to_Expiry]]&lt;=12,"6-12 Monaten", IF(tblRentRoll[[#This Row],[Month_to_Expiry]]&gt;=12, "12 M+",)))))</f>
        <v>0-3 Monaten</v>
      </c>
      <c r="W308">
        <f>IF(tblRentRoll[[#This Row],[Status]]="Vacant", tblRentRoll[[#This Row],[Area_sqm]],0)</f>
        <v>0</v>
      </c>
      <c r="X308" s="3">
        <f>IF(tblRentRoll[[#This Row],[Status]]="Occupied", tblRentRoll[[#This Row],[Area_sqm]],0)</f>
        <v>1223</v>
      </c>
      <c r="Y308" s="3">
        <f ca="1">tblRentRoll[[#This Row],[Month_to_Expiry]]/12*tblRentRoll[[#This Row],[Annual_Rent_EUR]]</f>
        <v>0</v>
      </c>
      <c r="Z308" s="3"/>
    </row>
    <row r="309" spans="1:26" x14ac:dyDescent="0.35">
      <c r="A309" t="s">
        <v>27</v>
      </c>
      <c r="B309" t="s">
        <v>478</v>
      </c>
      <c r="C309" t="s">
        <v>33</v>
      </c>
      <c r="D309">
        <v>906</v>
      </c>
      <c r="E309" t="s">
        <v>15</v>
      </c>
      <c r="F309" t="s">
        <v>70</v>
      </c>
      <c r="G309">
        <v>7534.59</v>
      </c>
      <c r="H309">
        <v>90415.08</v>
      </c>
      <c r="I309" s="2">
        <f>tblRentRoll[[#This Row],[Monthly_Rent_EUR]]*12</f>
        <v>90415.08</v>
      </c>
      <c r="J309" s="2" t="str">
        <f>IF(tblRentRoll[[#This Row],[Annual_Rent_EUR]]&lt;&gt;tblRentRoll[[#This Row],[Jahresrente_EUR]], "FALSCH", "")</f>
        <v/>
      </c>
      <c r="K309" s="1">
        <v>44778</v>
      </c>
      <c r="L309" s="1">
        <v>45024</v>
      </c>
      <c r="M309">
        <v>2394.37</v>
      </c>
      <c r="N309">
        <v>1256.72</v>
      </c>
      <c r="O30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09" t="str">
        <f>IF(tblRentRoll[[#This Row],[Area_sqm]]&lt;=0,"Area&lt;=0","")</f>
        <v/>
      </c>
      <c r="Q309" t="str">
        <f>IF(tblRentRoll[[#This Row],[Monthly_Rent_EUR]]&lt;=0,"Rent&lt;=0","")</f>
        <v/>
      </c>
      <c r="R309">
        <f>IF(AND(tblRentRoll[[#This Row],[Status]]="Occupied", tblRentRoll[[#This Row],[Area_sqm]]&gt;0), tblRentRoll[[#This Row],[Annual_Rent_EUR]]/tblRentRoll[[#This Row],[Area_sqm]],"")</f>
        <v>99.795894039735103</v>
      </c>
      <c r="S309">
        <f>tblRentRoll[[#This Row],[Service_Charge_EUR]]+tblRentRoll[[#This Row],[Operating_Cost_EUR]]</f>
        <v>3651.09</v>
      </c>
      <c r="T309">
        <f>IF(tblRentRoll[[#This Row],[Annual_Rent_EUR]]&lt;&gt;0,tblRentRoll[[#This Row],[Annual_Rent_EUR]]-tblRentRoll[[#This Row],[Operating_Cost_EUR]], "")</f>
        <v>89158.36</v>
      </c>
      <c r="U309">
        <f ca="1">IF(AND(tblRentRoll[[#This Row],[Status]]="Occupied",tblRentRoll[[#This Row],[Lease_End]]&gt;=TODAY()),DATEDIF(TODAY(),tblRentRoll[[#This Row],[Lease_End]],"m"), 0)</f>
        <v>0</v>
      </c>
      <c r="V309" t="str">
        <f ca="1">IF(tblRentRoll[[#This Row],[Status]]&lt;&gt;"Occupied","", IF(tblRentRoll[[#This Row],[Month_to_Expiry]]&lt;=3, "0-3 Monaten",  IF(tblRentRoll[[#This Row],[Month_to_Expiry]]&lt;=6, "3-6 Monaten", IF(tblRentRoll[[#This Row],[Month_to_Expiry]]&lt;=12,"6-12 Monaten", IF(tblRentRoll[[#This Row],[Month_to_Expiry]]&gt;=12, "12 M+",)))))</f>
        <v>0-3 Monaten</v>
      </c>
      <c r="W309">
        <f>IF(tblRentRoll[[#This Row],[Status]]="Vacant", tblRentRoll[[#This Row],[Area_sqm]],0)</f>
        <v>0</v>
      </c>
      <c r="X309" s="3">
        <f>IF(tblRentRoll[[#This Row],[Status]]="Occupied", tblRentRoll[[#This Row],[Area_sqm]],0)</f>
        <v>906</v>
      </c>
      <c r="Y309" s="3">
        <f ca="1">tblRentRoll[[#This Row],[Month_to_Expiry]]/12*tblRentRoll[[#This Row],[Annual_Rent_EUR]]</f>
        <v>0</v>
      </c>
      <c r="Z309" s="3"/>
    </row>
    <row r="310" spans="1:26" x14ac:dyDescent="0.35">
      <c r="A310" t="s">
        <v>56</v>
      </c>
      <c r="B310" t="s">
        <v>479</v>
      </c>
      <c r="C310" t="s">
        <v>14</v>
      </c>
      <c r="D310">
        <v>1449</v>
      </c>
      <c r="E310" t="s">
        <v>15</v>
      </c>
      <c r="F310" t="s">
        <v>273</v>
      </c>
      <c r="G310">
        <v>20239.34</v>
      </c>
      <c r="H310">
        <v>242872.08</v>
      </c>
      <c r="I310" s="2">
        <f>tblRentRoll[[#This Row],[Monthly_Rent_EUR]]*12</f>
        <v>242872.08000000002</v>
      </c>
      <c r="J310" s="2" t="str">
        <f>IF(tblRentRoll[[#This Row],[Annual_Rent_EUR]]&lt;&gt;tblRentRoll[[#This Row],[Jahresrente_EUR]], "FALSCH", "")</f>
        <v/>
      </c>
      <c r="K310" s="1">
        <v>45168</v>
      </c>
      <c r="L310" s="1">
        <v>45971</v>
      </c>
      <c r="M310">
        <v>2088.81</v>
      </c>
      <c r="N310">
        <v>848.51</v>
      </c>
      <c r="O31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0" t="str">
        <f>IF(tblRentRoll[[#This Row],[Area_sqm]]&lt;=0,"Area&lt;=0","")</f>
        <v/>
      </c>
      <c r="Q310" t="str">
        <f>IF(tblRentRoll[[#This Row],[Monthly_Rent_EUR]]&lt;=0,"Rent&lt;=0","")</f>
        <v/>
      </c>
      <c r="R310">
        <f>IF(AND(tblRentRoll[[#This Row],[Status]]="Occupied", tblRentRoll[[#This Row],[Area_sqm]]&gt;0), tblRentRoll[[#This Row],[Annual_Rent_EUR]]/tblRentRoll[[#This Row],[Area_sqm]],"")</f>
        <v>167.61358178053828</v>
      </c>
      <c r="S310">
        <f>tblRentRoll[[#This Row],[Service_Charge_EUR]]+tblRentRoll[[#This Row],[Operating_Cost_EUR]]</f>
        <v>2937.3199999999997</v>
      </c>
      <c r="T310">
        <f>IF(tblRentRoll[[#This Row],[Annual_Rent_EUR]]&lt;&gt;0,tblRentRoll[[#This Row],[Annual_Rent_EUR]]-tblRentRoll[[#This Row],[Operating_Cost_EUR]], "")</f>
        <v>242023.56999999998</v>
      </c>
      <c r="U310">
        <f ca="1">IF(AND(tblRentRoll[[#This Row],[Status]]="Occupied",tblRentRoll[[#This Row],[Lease_End]]&gt;=TODAY()),DATEDIF(TODAY(),tblRentRoll[[#This Row],[Lease_End]],"m"), 0)</f>
        <v>0</v>
      </c>
      <c r="V310" t="str">
        <f ca="1">IF(tblRentRoll[[#This Row],[Status]]&lt;&gt;"Occupied","", IF(tblRentRoll[[#This Row],[Month_to_Expiry]]&lt;=3, "0-3 Monaten",  IF(tblRentRoll[[#This Row],[Month_to_Expiry]]&lt;=6, "3-6 Monaten", IF(tblRentRoll[[#This Row],[Month_to_Expiry]]&lt;=12,"6-12 Monaten", IF(tblRentRoll[[#This Row],[Month_to_Expiry]]&gt;=12, "12 M+",)))))</f>
        <v>0-3 Monaten</v>
      </c>
      <c r="W310">
        <f>IF(tblRentRoll[[#This Row],[Status]]="Vacant", tblRentRoll[[#This Row],[Area_sqm]],0)</f>
        <v>0</v>
      </c>
      <c r="X310" s="3">
        <f>IF(tblRentRoll[[#This Row],[Status]]="Occupied", tblRentRoll[[#This Row],[Area_sqm]],0)</f>
        <v>1449</v>
      </c>
      <c r="Y310" s="3">
        <f ca="1">tblRentRoll[[#This Row],[Month_to_Expiry]]/12*tblRentRoll[[#This Row],[Annual_Rent_EUR]]</f>
        <v>0</v>
      </c>
      <c r="Z310" s="3"/>
    </row>
    <row r="311" spans="1:26" x14ac:dyDescent="0.35">
      <c r="A311" t="s">
        <v>44</v>
      </c>
      <c r="B311" t="s">
        <v>480</v>
      </c>
      <c r="C311" t="s">
        <v>19</v>
      </c>
      <c r="D311">
        <v>707</v>
      </c>
      <c r="E311" t="s">
        <v>20</v>
      </c>
      <c r="G311">
        <v>0</v>
      </c>
      <c r="H311">
        <v>0</v>
      </c>
      <c r="I311" s="2">
        <f>tblRentRoll[[#This Row],[Monthly_Rent_EUR]]*12</f>
        <v>0</v>
      </c>
      <c r="J311" s="2" t="str">
        <f>IF(tblRentRoll[[#This Row],[Annual_Rent_EUR]]&lt;&gt;tblRentRoll[[#This Row],[Jahresrente_EUR]], "FALSCH", "")</f>
        <v/>
      </c>
      <c r="M311">
        <v>2051.5500000000002</v>
      </c>
      <c r="N311">
        <v>1360.92</v>
      </c>
      <c r="O31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1" t="str">
        <f>IF(tblRentRoll[[#This Row],[Area_sqm]]&lt;=0,"Area&lt;=0","")</f>
        <v/>
      </c>
      <c r="Q311" t="str">
        <f>IF(tblRentRoll[[#This Row],[Monthly_Rent_EUR]]&lt;=0,"Rent&lt;=0","")</f>
        <v>Rent&lt;=0</v>
      </c>
      <c r="R311" t="str">
        <f>IF(AND(tblRentRoll[[#This Row],[Status]]="Occupied", tblRentRoll[[#This Row],[Area_sqm]]&gt;0), tblRentRoll[[#This Row],[Annual_Rent_EUR]]/tblRentRoll[[#This Row],[Area_sqm]],"")</f>
        <v/>
      </c>
      <c r="S311">
        <f>tblRentRoll[[#This Row],[Service_Charge_EUR]]+tblRentRoll[[#This Row],[Operating_Cost_EUR]]</f>
        <v>3412.4700000000003</v>
      </c>
      <c r="T311" t="str">
        <f>IF(tblRentRoll[[#This Row],[Annual_Rent_EUR]]&lt;&gt;0,tblRentRoll[[#This Row],[Annual_Rent_EUR]]-tblRentRoll[[#This Row],[Operating_Cost_EUR]], "")</f>
        <v/>
      </c>
      <c r="U311">
        <f ca="1">IF(AND(tblRentRoll[[#This Row],[Status]]="Occupied",tblRentRoll[[#This Row],[Lease_End]]&gt;=TODAY()),DATEDIF(TODAY(),tblRentRoll[[#This Row],[Lease_End]],"m"), 0)</f>
        <v>0</v>
      </c>
      <c r="V311" t="str">
        <f>IF(tblRentRoll[[#This Row],[Status]]&lt;&gt;"Occupied","", IF(tblRentRoll[[#This Row],[Month_to_Expiry]]&lt;=3, "0-3 Monaten",  IF(tblRentRoll[[#This Row],[Month_to_Expiry]]&lt;=6, "3-6 Monaten", IF(tblRentRoll[[#This Row],[Month_to_Expiry]]&lt;=12,"6-12 Monaten", IF(tblRentRoll[[#This Row],[Month_to_Expiry]]&gt;=12, "12 M+",)))))</f>
        <v/>
      </c>
      <c r="W311">
        <f>IF(tblRentRoll[[#This Row],[Status]]="Vacant", tblRentRoll[[#This Row],[Area_sqm]],0)</f>
        <v>707</v>
      </c>
      <c r="X311" s="3">
        <f>IF(tblRentRoll[[#This Row],[Status]]="Occupied", tblRentRoll[[#This Row],[Area_sqm]],0)</f>
        <v>0</v>
      </c>
      <c r="Y311" s="3">
        <f ca="1">tblRentRoll[[#This Row],[Month_to_Expiry]]/12*tblRentRoll[[#This Row],[Annual_Rent_EUR]]</f>
        <v>0</v>
      </c>
      <c r="Z311" s="3"/>
    </row>
    <row r="312" spans="1:26" x14ac:dyDescent="0.35">
      <c r="A312" t="s">
        <v>44</v>
      </c>
      <c r="B312" t="s">
        <v>481</v>
      </c>
      <c r="C312" t="s">
        <v>19</v>
      </c>
      <c r="D312">
        <v>124</v>
      </c>
      <c r="E312" t="s">
        <v>15</v>
      </c>
      <c r="F312" t="s">
        <v>106</v>
      </c>
      <c r="G312">
        <v>2048.7600000000002</v>
      </c>
      <c r="H312">
        <v>24585.119999999999</v>
      </c>
      <c r="I312" s="2">
        <f>tblRentRoll[[#This Row],[Monthly_Rent_EUR]]*12</f>
        <v>24585.120000000003</v>
      </c>
      <c r="J312" s="2" t="str">
        <f>IF(tblRentRoll[[#This Row],[Annual_Rent_EUR]]&lt;&gt;tblRentRoll[[#This Row],[Jahresrente_EUR]], "FALSCH", "")</f>
        <v/>
      </c>
      <c r="K312" s="1">
        <v>45288</v>
      </c>
      <c r="L312" s="1">
        <v>46175</v>
      </c>
      <c r="M312">
        <v>177.34</v>
      </c>
      <c r="N312">
        <v>118.93</v>
      </c>
      <c r="O31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2" t="str">
        <f>IF(tblRentRoll[[#This Row],[Area_sqm]]&lt;=0,"Area&lt;=0","")</f>
        <v/>
      </c>
      <c r="Q312" t="str">
        <f>IF(tblRentRoll[[#This Row],[Monthly_Rent_EUR]]&lt;=0,"Rent&lt;=0","")</f>
        <v/>
      </c>
      <c r="R312">
        <f>IF(AND(tblRentRoll[[#This Row],[Status]]="Occupied", tblRentRoll[[#This Row],[Area_sqm]]&gt;0), tblRentRoll[[#This Row],[Annual_Rent_EUR]]/tblRentRoll[[#This Row],[Area_sqm]],"")</f>
        <v>198.26709677419353</v>
      </c>
      <c r="S312">
        <f>tblRentRoll[[#This Row],[Service_Charge_EUR]]+tblRentRoll[[#This Row],[Operating_Cost_EUR]]</f>
        <v>296.27</v>
      </c>
      <c r="T312">
        <f>IF(tblRentRoll[[#This Row],[Annual_Rent_EUR]]&lt;&gt;0,tblRentRoll[[#This Row],[Annual_Rent_EUR]]-tblRentRoll[[#This Row],[Operating_Cost_EUR]], "")</f>
        <v>24466.19</v>
      </c>
      <c r="U312">
        <f ca="1">IF(AND(tblRentRoll[[#This Row],[Status]]="Occupied",tblRentRoll[[#This Row],[Lease_End]]&gt;=TODAY()),DATEDIF(TODAY(),tblRentRoll[[#This Row],[Lease_End]],"m"), 0)</f>
        <v>2</v>
      </c>
      <c r="V312" t="str">
        <f ca="1">IF(tblRentRoll[[#This Row],[Status]]&lt;&gt;"Occupied","", IF(tblRentRoll[[#This Row],[Month_to_Expiry]]&lt;=3, "0-3 Monaten",  IF(tblRentRoll[[#This Row],[Month_to_Expiry]]&lt;=6, "3-6 Monaten", IF(tblRentRoll[[#This Row],[Month_to_Expiry]]&lt;=12,"6-12 Monaten", IF(tblRentRoll[[#This Row],[Month_to_Expiry]]&gt;=12, "12 M+",)))))</f>
        <v>0-3 Monaten</v>
      </c>
      <c r="W312">
        <f>IF(tblRentRoll[[#This Row],[Status]]="Vacant", tblRentRoll[[#This Row],[Area_sqm]],0)</f>
        <v>0</v>
      </c>
      <c r="X312" s="3">
        <f>IF(tblRentRoll[[#This Row],[Status]]="Occupied", tblRentRoll[[#This Row],[Area_sqm]],0)</f>
        <v>124</v>
      </c>
      <c r="Y312" s="3">
        <f ca="1">tblRentRoll[[#This Row],[Month_to_Expiry]]/12*tblRentRoll[[#This Row],[Annual_Rent_EUR]]</f>
        <v>4097.5199999999995</v>
      </c>
      <c r="Z312" s="3"/>
    </row>
    <row r="313" spans="1:26" x14ac:dyDescent="0.35">
      <c r="A313" t="s">
        <v>24</v>
      </c>
      <c r="B313" t="s">
        <v>482</v>
      </c>
      <c r="C313" t="s">
        <v>14</v>
      </c>
      <c r="D313">
        <v>611</v>
      </c>
      <c r="E313" t="s">
        <v>15</v>
      </c>
      <c r="F313" t="s">
        <v>23</v>
      </c>
      <c r="G313">
        <v>6945.57</v>
      </c>
      <c r="H313">
        <v>83346.84</v>
      </c>
      <c r="I313" s="2">
        <f>tblRentRoll[[#This Row],[Monthly_Rent_EUR]]*12</f>
        <v>83346.84</v>
      </c>
      <c r="J313" s="2" t="str">
        <f>IF(tblRentRoll[[#This Row],[Annual_Rent_EUR]]&lt;&gt;tblRentRoll[[#This Row],[Jahresrente_EUR]], "FALSCH", "")</f>
        <v/>
      </c>
      <c r="K313" s="1">
        <v>44547</v>
      </c>
      <c r="L313" s="1">
        <v>45092</v>
      </c>
      <c r="M313">
        <v>921.15</v>
      </c>
      <c r="N313">
        <v>1439.39</v>
      </c>
      <c r="O31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3" t="str">
        <f>IF(tblRentRoll[[#This Row],[Area_sqm]]&lt;=0,"Area&lt;=0","")</f>
        <v/>
      </c>
      <c r="Q313" t="str">
        <f>IF(tblRentRoll[[#This Row],[Monthly_Rent_EUR]]&lt;=0,"Rent&lt;=0","")</f>
        <v/>
      </c>
      <c r="R313">
        <f>IF(AND(tblRentRoll[[#This Row],[Status]]="Occupied", tblRentRoll[[#This Row],[Area_sqm]]&gt;0), tblRentRoll[[#This Row],[Annual_Rent_EUR]]/tblRentRoll[[#This Row],[Area_sqm]],"")</f>
        <v>136.41054009819968</v>
      </c>
      <c r="S313">
        <f>tblRentRoll[[#This Row],[Service_Charge_EUR]]+tblRentRoll[[#This Row],[Operating_Cost_EUR]]</f>
        <v>2360.54</v>
      </c>
      <c r="T313">
        <f>IF(tblRentRoll[[#This Row],[Annual_Rent_EUR]]&lt;&gt;0,tblRentRoll[[#This Row],[Annual_Rent_EUR]]-tblRentRoll[[#This Row],[Operating_Cost_EUR]], "")</f>
        <v>81907.45</v>
      </c>
      <c r="U313">
        <f ca="1">IF(AND(tblRentRoll[[#This Row],[Status]]="Occupied",tblRentRoll[[#This Row],[Lease_End]]&gt;=TODAY()),DATEDIF(TODAY(),tblRentRoll[[#This Row],[Lease_End]],"m"), 0)</f>
        <v>0</v>
      </c>
      <c r="V313" t="str">
        <f ca="1">IF(tblRentRoll[[#This Row],[Status]]&lt;&gt;"Occupied","", IF(tblRentRoll[[#This Row],[Month_to_Expiry]]&lt;=3, "0-3 Monaten",  IF(tblRentRoll[[#This Row],[Month_to_Expiry]]&lt;=6, "3-6 Monaten", IF(tblRentRoll[[#This Row],[Month_to_Expiry]]&lt;=12,"6-12 Monaten", IF(tblRentRoll[[#This Row],[Month_to_Expiry]]&gt;=12, "12 M+",)))))</f>
        <v>0-3 Monaten</v>
      </c>
      <c r="W313">
        <f>IF(tblRentRoll[[#This Row],[Status]]="Vacant", tblRentRoll[[#This Row],[Area_sqm]],0)</f>
        <v>0</v>
      </c>
      <c r="X313" s="3">
        <f>IF(tblRentRoll[[#This Row],[Status]]="Occupied", tblRentRoll[[#This Row],[Area_sqm]],0)</f>
        <v>611</v>
      </c>
      <c r="Y313" s="3">
        <f ca="1">tblRentRoll[[#This Row],[Month_to_Expiry]]/12*tblRentRoll[[#This Row],[Annual_Rent_EUR]]</f>
        <v>0</v>
      </c>
      <c r="Z313" s="3"/>
    </row>
    <row r="314" spans="1:26" x14ac:dyDescent="0.35">
      <c r="A314" t="s">
        <v>24</v>
      </c>
      <c r="B314" t="s">
        <v>483</v>
      </c>
      <c r="C314" t="s">
        <v>14</v>
      </c>
      <c r="D314">
        <v>845</v>
      </c>
      <c r="E314" t="s">
        <v>15</v>
      </c>
      <c r="F314" t="s">
        <v>119</v>
      </c>
      <c r="G314">
        <v>5589.75</v>
      </c>
      <c r="H314">
        <v>67077</v>
      </c>
      <c r="I314" s="2">
        <f>tblRentRoll[[#This Row],[Monthly_Rent_EUR]]*12</f>
        <v>67077</v>
      </c>
      <c r="J314" s="2" t="str">
        <f>IF(tblRentRoll[[#This Row],[Annual_Rent_EUR]]&lt;&gt;tblRentRoll[[#This Row],[Jahresrente_EUR]], "FALSCH", "")</f>
        <v/>
      </c>
      <c r="K314" s="1">
        <v>44390</v>
      </c>
      <c r="L314" s="1">
        <v>46051</v>
      </c>
      <c r="M314">
        <v>1153.04</v>
      </c>
      <c r="N314">
        <v>764.44</v>
      </c>
      <c r="O31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4" t="str">
        <f>IF(tblRentRoll[[#This Row],[Area_sqm]]&lt;=0,"Area&lt;=0","")</f>
        <v/>
      </c>
      <c r="Q314" t="str">
        <f>IF(tblRentRoll[[#This Row],[Monthly_Rent_EUR]]&lt;=0,"Rent&lt;=0","")</f>
        <v/>
      </c>
      <c r="R314">
        <f>IF(AND(tblRentRoll[[#This Row],[Status]]="Occupied", tblRentRoll[[#This Row],[Area_sqm]]&gt;0), tblRentRoll[[#This Row],[Annual_Rent_EUR]]/tblRentRoll[[#This Row],[Area_sqm]],"")</f>
        <v>79.381065088757396</v>
      </c>
      <c r="S314">
        <f>tblRentRoll[[#This Row],[Service_Charge_EUR]]+tblRentRoll[[#This Row],[Operating_Cost_EUR]]</f>
        <v>1917.48</v>
      </c>
      <c r="T314">
        <f>IF(tblRentRoll[[#This Row],[Annual_Rent_EUR]]&lt;&gt;0,tblRentRoll[[#This Row],[Annual_Rent_EUR]]-tblRentRoll[[#This Row],[Operating_Cost_EUR]], "")</f>
        <v>66312.56</v>
      </c>
      <c r="U314">
        <f ca="1">IF(AND(tblRentRoll[[#This Row],[Status]]="Occupied",tblRentRoll[[#This Row],[Lease_End]]&gt;=TODAY()),DATEDIF(TODAY(),tblRentRoll[[#This Row],[Lease_End]],"m"), 0)</f>
        <v>0</v>
      </c>
      <c r="V314" t="str">
        <f ca="1">IF(tblRentRoll[[#This Row],[Status]]&lt;&gt;"Occupied","", IF(tblRentRoll[[#This Row],[Month_to_Expiry]]&lt;=3, "0-3 Monaten",  IF(tblRentRoll[[#This Row],[Month_to_Expiry]]&lt;=6, "3-6 Monaten", IF(tblRentRoll[[#This Row],[Month_to_Expiry]]&lt;=12,"6-12 Monaten", IF(tblRentRoll[[#This Row],[Month_to_Expiry]]&gt;=12, "12 M+",)))))</f>
        <v>0-3 Monaten</v>
      </c>
      <c r="W314">
        <f>IF(tblRentRoll[[#This Row],[Status]]="Vacant", tblRentRoll[[#This Row],[Area_sqm]],0)</f>
        <v>0</v>
      </c>
      <c r="X314" s="3">
        <f>IF(tblRentRoll[[#This Row],[Status]]="Occupied", tblRentRoll[[#This Row],[Area_sqm]],0)</f>
        <v>845</v>
      </c>
      <c r="Y314" s="3">
        <f ca="1">tblRentRoll[[#This Row],[Month_to_Expiry]]/12*tblRentRoll[[#This Row],[Annual_Rent_EUR]]</f>
        <v>0</v>
      </c>
      <c r="Z314" s="3"/>
    </row>
    <row r="315" spans="1:26" x14ac:dyDescent="0.35">
      <c r="A315" t="s">
        <v>17</v>
      </c>
      <c r="B315" t="s">
        <v>484</v>
      </c>
      <c r="C315" t="s">
        <v>19</v>
      </c>
      <c r="D315">
        <v>796</v>
      </c>
      <c r="E315" t="s">
        <v>15</v>
      </c>
      <c r="F315" t="s">
        <v>433</v>
      </c>
      <c r="G315">
        <v>13034.9</v>
      </c>
      <c r="H315">
        <v>156418.79999999999</v>
      </c>
      <c r="I315" s="2">
        <f>tblRentRoll[[#This Row],[Monthly_Rent_EUR]]*12</f>
        <v>156418.79999999999</v>
      </c>
      <c r="J315" s="2" t="str">
        <f>IF(tblRentRoll[[#This Row],[Annual_Rent_EUR]]&lt;&gt;tblRentRoll[[#This Row],[Jahresrente_EUR]], "FALSCH", "")</f>
        <v/>
      </c>
      <c r="K315" s="1">
        <v>44363</v>
      </c>
      <c r="L315" s="1">
        <v>45562</v>
      </c>
      <c r="M315">
        <v>1519.95</v>
      </c>
      <c r="N315">
        <v>512.58000000000004</v>
      </c>
      <c r="O31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5" t="str">
        <f>IF(tblRentRoll[[#This Row],[Area_sqm]]&lt;=0,"Area&lt;=0","")</f>
        <v/>
      </c>
      <c r="Q315" t="str">
        <f>IF(tblRentRoll[[#This Row],[Monthly_Rent_EUR]]&lt;=0,"Rent&lt;=0","")</f>
        <v/>
      </c>
      <c r="R315">
        <f>IF(AND(tblRentRoll[[#This Row],[Status]]="Occupied", tblRentRoll[[#This Row],[Area_sqm]]&gt;0), tblRentRoll[[#This Row],[Annual_Rent_EUR]]/tblRentRoll[[#This Row],[Area_sqm]],"")</f>
        <v>196.50603015075376</v>
      </c>
      <c r="S315">
        <f>tblRentRoll[[#This Row],[Service_Charge_EUR]]+tblRentRoll[[#This Row],[Operating_Cost_EUR]]</f>
        <v>2032.5300000000002</v>
      </c>
      <c r="T315">
        <f>IF(tblRentRoll[[#This Row],[Annual_Rent_EUR]]&lt;&gt;0,tblRentRoll[[#This Row],[Annual_Rent_EUR]]-tblRentRoll[[#This Row],[Operating_Cost_EUR]], "")</f>
        <v>155906.22</v>
      </c>
      <c r="U315">
        <f ca="1">IF(AND(tblRentRoll[[#This Row],[Status]]="Occupied",tblRentRoll[[#This Row],[Lease_End]]&gt;=TODAY()),DATEDIF(TODAY(),tblRentRoll[[#This Row],[Lease_End]],"m"), 0)</f>
        <v>0</v>
      </c>
      <c r="V315" t="str">
        <f ca="1">IF(tblRentRoll[[#This Row],[Status]]&lt;&gt;"Occupied","", IF(tblRentRoll[[#This Row],[Month_to_Expiry]]&lt;=3, "0-3 Monaten",  IF(tblRentRoll[[#This Row],[Month_to_Expiry]]&lt;=6, "3-6 Monaten", IF(tblRentRoll[[#This Row],[Month_to_Expiry]]&lt;=12,"6-12 Monaten", IF(tblRentRoll[[#This Row],[Month_to_Expiry]]&gt;=12, "12 M+",)))))</f>
        <v>0-3 Monaten</v>
      </c>
      <c r="W315">
        <f>IF(tblRentRoll[[#This Row],[Status]]="Vacant", tblRentRoll[[#This Row],[Area_sqm]],0)</f>
        <v>0</v>
      </c>
      <c r="X315" s="3">
        <f>IF(tblRentRoll[[#This Row],[Status]]="Occupied", tblRentRoll[[#This Row],[Area_sqm]],0)</f>
        <v>796</v>
      </c>
      <c r="Y315" s="3">
        <f ca="1">tblRentRoll[[#This Row],[Month_to_Expiry]]/12*tblRentRoll[[#This Row],[Annual_Rent_EUR]]</f>
        <v>0</v>
      </c>
      <c r="Z315" s="3"/>
    </row>
    <row r="316" spans="1:26" x14ac:dyDescent="0.35">
      <c r="A316" t="s">
        <v>44</v>
      </c>
      <c r="B316" t="s">
        <v>485</v>
      </c>
      <c r="C316" t="s">
        <v>19</v>
      </c>
      <c r="D316">
        <v>1498</v>
      </c>
      <c r="E316" t="s">
        <v>15</v>
      </c>
      <c r="F316" t="s">
        <v>486</v>
      </c>
      <c r="G316">
        <v>25902.71</v>
      </c>
      <c r="H316">
        <v>310832.52</v>
      </c>
      <c r="I316" s="2">
        <f>tblRentRoll[[#This Row],[Monthly_Rent_EUR]]*12</f>
        <v>310832.52</v>
      </c>
      <c r="J316" s="2" t="str">
        <f>IF(tblRentRoll[[#This Row],[Annual_Rent_EUR]]&lt;&gt;tblRentRoll[[#This Row],[Jahresrente_EUR]], "FALSCH", "")</f>
        <v/>
      </c>
      <c r="K316" s="1">
        <v>44603</v>
      </c>
      <c r="L316" s="1">
        <v>45837</v>
      </c>
      <c r="M316">
        <v>2605.59</v>
      </c>
      <c r="N316">
        <v>1384.98</v>
      </c>
      <c r="O31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6" t="str">
        <f>IF(tblRentRoll[[#This Row],[Area_sqm]]&lt;=0,"Area&lt;=0","")</f>
        <v/>
      </c>
      <c r="Q316" t="str">
        <f>IF(tblRentRoll[[#This Row],[Monthly_Rent_EUR]]&lt;=0,"Rent&lt;=0","")</f>
        <v/>
      </c>
      <c r="R316">
        <f>IF(AND(tblRentRoll[[#This Row],[Status]]="Occupied", tblRentRoll[[#This Row],[Area_sqm]]&gt;0), tblRentRoll[[#This Row],[Annual_Rent_EUR]]/tblRentRoll[[#This Row],[Area_sqm]],"")</f>
        <v>207.49834445927905</v>
      </c>
      <c r="S316">
        <f>tblRentRoll[[#This Row],[Service_Charge_EUR]]+tblRentRoll[[#This Row],[Operating_Cost_EUR]]</f>
        <v>3990.57</v>
      </c>
      <c r="T316">
        <f>IF(tblRentRoll[[#This Row],[Annual_Rent_EUR]]&lt;&gt;0,tblRentRoll[[#This Row],[Annual_Rent_EUR]]-tblRentRoll[[#This Row],[Operating_Cost_EUR]], "")</f>
        <v>309447.54000000004</v>
      </c>
      <c r="U316">
        <f ca="1">IF(AND(tblRentRoll[[#This Row],[Status]]="Occupied",tblRentRoll[[#This Row],[Lease_End]]&gt;=TODAY()),DATEDIF(TODAY(),tblRentRoll[[#This Row],[Lease_End]],"m"), 0)</f>
        <v>0</v>
      </c>
      <c r="V316" t="str">
        <f ca="1">IF(tblRentRoll[[#This Row],[Status]]&lt;&gt;"Occupied","", IF(tblRentRoll[[#This Row],[Month_to_Expiry]]&lt;=3, "0-3 Monaten",  IF(tblRentRoll[[#This Row],[Month_to_Expiry]]&lt;=6, "3-6 Monaten", IF(tblRentRoll[[#This Row],[Month_to_Expiry]]&lt;=12,"6-12 Monaten", IF(tblRentRoll[[#This Row],[Month_to_Expiry]]&gt;=12, "12 M+",)))))</f>
        <v>0-3 Monaten</v>
      </c>
      <c r="W316">
        <f>IF(tblRentRoll[[#This Row],[Status]]="Vacant", tblRentRoll[[#This Row],[Area_sqm]],0)</f>
        <v>0</v>
      </c>
      <c r="X316" s="3">
        <f>IF(tblRentRoll[[#This Row],[Status]]="Occupied", tblRentRoll[[#This Row],[Area_sqm]],0)</f>
        <v>1498</v>
      </c>
      <c r="Y316" s="3">
        <f ca="1">tblRentRoll[[#This Row],[Month_to_Expiry]]/12*tblRentRoll[[#This Row],[Annual_Rent_EUR]]</f>
        <v>0</v>
      </c>
      <c r="Z316" s="3"/>
    </row>
    <row r="317" spans="1:26" x14ac:dyDescent="0.35">
      <c r="A317" t="s">
        <v>44</v>
      </c>
      <c r="B317" t="s">
        <v>487</v>
      </c>
      <c r="C317" t="s">
        <v>29</v>
      </c>
      <c r="D317">
        <v>1435</v>
      </c>
      <c r="E317" t="s">
        <v>20</v>
      </c>
      <c r="G317">
        <v>0</v>
      </c>
      <c r="H317">
        <v>0</v>
      </c>
      <c r="I317" s="2">
        <f>tblRentRoll[[#This Row],[Monthly_Rent_EUR]]*12</f>
        <v>0</v>
      </c>
      <c r="J317" s="2" t="str">
        <f>IF(tblRentRoll[[#This Row],[Annual_Rent_EUR]]&lt;&gt;tblRentRoll[[#This Row],[Jahresrente_EUR]], "FALSCH", "")</f>
        <v/>
      </c>
      <c r="M317">
        <v>3914.07</v>
      </c>
      <c r="N317">
        <v>3140.88</v>
      </c>
      <c r="O31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7" t="str">
        <f>IF(tblRentRoll[[#This Row],[Area_sqm]]&lt;=0,"Area&lt;=0","")</f>
        <v/>
      </c>
      <c r="Q317" t="str">
        <f>IF(tblRentRoll[[#This Row],[Monthly_Rent_EUR]]&lt;=0,"Rent&lt;=0","")</f>
        <v>Rent&lt;=0</v>
      </c>
      <c r="R317" t="str">
        <f>IF(AND(tblRentRoll[[#This Row],[Status]]="Occupied", tblRentRoll[[#This Row],[Area_sqm]]&gt;0), tblRentRoll[[#This Row],[Annual_Rent_EUR]]/tblRentRoll[[#This Row],[Area_sqm]],"")</f>
        <v/>
      </c>
      <c r="S317">
        <f>tblRentRoll[[#This Row],[Service_Charge_EUR]]+tblRentRoll[[#This Row],[Operating_Cost_EUR]]</f>
        <v>7054.9500000000007</v>
      </c>
      <c r="T317" t="str">
        <f>IF(tblRentRoll[[#This Row],[Annual_Rent_EUR]]&lt;&gt;0,tblRentRoll[[#This Row],[Annual_Rent_EUR]]-tblRentRoll[[#This Row],[Operating_Cost_EUR]], "")</f>
        <v/>
      </c>
      <c r="U317">
        <f ca="1">IF(AND(tblRentRoll[[#This Row],[Status]]="Occupied",tblRentRoll[[#This Row],[Lease_End]]&gt;=TODAY()),DATEDIF(TODAY(),tblRentRoll[[#This Row],[Lease_End]],"m"), 0)</f>
        <v>0</v>
      </c>
      <c r="V317" t="str">
        <f>IF(tblRentRoll[[#This Row],[Status]]&lt;&gt;"Occupied","", IF(tblRentRoll[[#This Row],[Month_to_Expiry]]&lt;=3, "0-3 Monaten",  IF(tblRentRoll[[#This Row],[Month_to_Expiry]]&lt;=6, "3-6 Monaten", IF(tblRentRoll[[#This Row],[Month_to_Expiry]]&lt;=12,"6-12 Monaten", IF(tblRentRoll[[#This Row],[Month_to_Expiry]]&gt;=12, "12 M+",)))))</f>
        <v/>
      </c>
      <c r="W317">
        <f>IF(tblRentRoll[[#This Row],[Status]]="Vacant", tblRentRoll[[#This Row],[Area_sqm]],0)</f>
        <v>1435</v>
      </c>
      <c r="X317" s="3">
        <f>IF(tblRentRoll[[#This Row],[Status]]="Occupied", tblRentRoll[[#This Row],[Area_sqm]],0)</f>
        <v>0</v>
      </c>
      <c r="Y317" s="3">
        <f ca="1">tblRentRoll[[#This Row],[Month_to_Expiry]]/12*tblRentRoll[[#This Row],[Annual_Rent_EUR]]</f>
        <v>0</v>
      </c>
      <c r="Z317" s="3"/>
    </row>
    <row r="318" spans="1:26" x14ac:dyDescent="0.35">
      <c r="A318" t="s">
        <v>12</v>
      </c>
      <c r="B318" t="s">
        <v>488</v>
      </c>
      <c r="C318" t="s">
        <v>14</v>
      </c>
      <c r="D318">
        <v>1071</v>
      </c>
      <c r="E318" t="s">
        <v>15</v>
      </c>
      <c r="F318" t="s">
        <v>68</v>
      </c>
      <c r="G318">
        <v>7364.38</v>
      </c>
      <c r="H318">
        <v>88372.56</v>
      </c>
      <c r="I318" s="2">
        <f>tblRentRoll[[#This Row],[Monthly_Rent_EUR]]*12</f>
        <v>88372.56</v>
      </c>
      <c r="J318" s="2" t="str">
        <f>IF(tblRentRoll[[#This Row],[Annual_Rent_EUR]]&lt;&gt;tblRentRoll[[#This Row],[Jahresrente_EUR]], "FALSCH", "")</f>
        <v/>
      </c>
      <c r="K318" s="1">
        <v>44863</v>
      </c>
      <c r="L318" s="1">
        <v>46088</v>
      </c>
      <c r="M318">
        <v>2733.88</v>
      </c>
      <c r="N318">
        <v>2505.89</v>
      </c>
      <c r="O31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8" t="str">
        <f>IF(tblRentRoll[[#This Row],[Area_sqm]]&lt;=0,"Area&lt;=0","")</f>
        <v/>
      </c>
      <c r="Q318" t="str">
        <f>IF(tblRentRoll[[#This Row],[Monthly_Rent_EUR]]&lt;=0,"Rent&lt;=0","")</f>
        <v/>
      </c>
      <c r="R318">
        <f>IF(AND(tblRentRoll[[#This Row],[Status]]="Occupied", tblRentRoll[[#This Row],[Area_sqm]]&gt;0), tblRentRoll[[#This Row],[Annual_Rent_EUR]]/tblRentRoll[[#This Row],[Area_sqm]],"")</f>
        <v>82.514061624649855</v>
      </c>
      <c r="S318">
        <f>tblRentRoll[[#This Row],[Service_Charge_EUR]]+tblRentRoll[[#This Row],[Operating_Cost_EUR]]</f>
        <v>5239.7700000000004</v>
      </c>
      <c r="T318">
        <f>IF(tblRentRoll[[#This Row],[Annual_Rent_EUR]]&lt;&gt;0,tblRentRoll[[#This Row],[Annual_Rent_EUR]]-tblRentRoll[[#This Row],[Operating_Cost_EUR]], "")</f>
        <v>85866.67</v>
      </c>
      <c r="U318">
        <f ca="1">IF(AND(tblRentRoll[[#This Row],[Status]]="Occupied",tblRentRoll[[#This Row],[Lease_End]]&gt;=TODAY()),DATEDIF(TODAY(),tblRentRoll[[#This Row],[Lease_End]],"m"), 0)</f>
        <v>0</v>
      </c>
      <c r="V318" t="str">
        <f ca="1">IF(tblRentRoll[[#This Row],[Status]]&lt;&gt;"Occupied","", IF(tblRentRoll[[#This Row],[Month_to_Expiry]]&lt;=3, "0-3 Monaten",  IF(tblRentRoll[[#This Row],[Month_to_Expiry]]&lt;=6, "3-6 Monaten", IF(tblRentRoll[[#This Row],[Month_to_Expiry]]&lt;=12,"6-12 Monaten", IF(tblRentRoll[[#This Row],[Month_to_Expiry]]&gt;=12, "12 M+",)))))</f>
        <v>0-3 Monaten</v>
      </c>
      <c r="W318">
        <f>IF(tblRentRoll[[#This Row],[Status]]="Vacant", tblRentRoll[[#This Row],[Area_sqm]],0)</f>
        <v>0</v>
      </c>
      <c r="X318" s="3">
        <f>IF(tblRentRoll[[#This Row],[Status]]="Occupied", tblRentRoll[[#This Row],[Area_sqm]],0)</f>
        <v>1071</v>
      </c>
      <c r="Y318" s="3">
        <f ca="1">tblRentRoll[[#This Row],[Month_to_Expiry]]/12*tblRentRoll[[#This Row],[Annual_Rent_EUR]]</f>
        <v>0</v>
      </c>
      <c r="Z318" s="3"/>
    </row>
    <row r="319" spans="1:26" x14ac:dyDescent="0.35">
      <c r="A319" t="s">
        <v>12</v>
      </c>
      <c r="B319" t="s">
        <v>489</v>
      </c>
      <c r="C319" t="s">
        <v>19</v>
      </c>
      <c r="D319">
        <v>776</v>
      </c>
      <c r="E319" t="s">
        <v>15</v>
      </c>
      <c r="F319" t="s">
        <v>490</v>
      </c>
      <c r="G319">
        <v>8563.9599999999991</v>
      </c>
      <c r="H319">
        <v>102767.52</v>
      </c>
      <c r="I319" s="2">
        <f>tblRentRoll[[#This Row],[Monthly_Rent_EUR]]*12</f>
        <v>102767.51999999999</v>
      </c>
      <c r="J319" s="2" t="str">
        <f>IF(tblRentRoll[[#This Row],[Annual_Rent_EUR]]&lt;&gt;tblRentRoll[[#This Row],[Jahresrente_EUR]], "FALSCH", "")</f>
        <v/>
      </c>
      <c r="K319" s="1">
        <v>45095</v>
      </c>
      <c r="L319" s="1">
        <v>46626</v>
      </c>
      <c r="M319">
        <v>1237.04</v>
      </c>
      <c r="N319">
        <v>1760.96</v>
      </c>
      <c r="O31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19" t="str">
        <f>IF(tblRentRoll[[#This Row],[Area_sqm]]&lt;=0,"Area&lt;=0","")</f>
        <v/>
      </c>
      <c r="Q319" t="str">
        <f>IF(tblRentRoll[[#This Row],[Monthly_Rent_EUR]]&lt;=0,"Rent&lt;=0","")</f>
        <v/>
      </c>
      <c r="R319">
        <f>IF(AND(tblRentRoll[[#This Row],[Status]]="Occupied", tblRentRoll[[#This Row],[Area_sqm]]&gt;0), tblRentRoll[[#This Row],[Annual_Rent_EUR]]/tblRentRoll[[#This Row],[Area_sqm]],"")</f>
        <v>132.43237113402063</v>
      </c>
      <c r="S319">
        <f>tblRentRoll[[#This Row],[Service_Charge_EUR]]+tblRentRoll[[#This Row],[Operating_Cost_EUR]]</f>
        <v>2998</v>
      </c>
      <c r="T319">
        <f>IF(tblRentRoll[[#This Row],[Annual_Rent_EUR]]&lt;&gt;0,tblRentRoll[[#This Row],[Annual_Rent_EUR]]-tblRentRoll[[#This Row],[Operating_Cost_EUR]], "")</f>
        <v>101006.56</v>
      </c>
      <c r="U319">
        <f ca="1">IF(AND(tblRentRoll[[#This Row],[Status]]="Occupied",tblRentRoll[[#This Row],[Lease_End]]&gt;=TODAY()),DATEDIF(TODAY(),tblRentRoll[[#This Row],[Lease_End]],"m"), 0)</f>
        <v>17</v>
      </c>
      <c r="V319" t="str">
        <f ca="1">IF(tblRentRoll[[#This Row],[Status]]&lt;&gt;"Occupied","", IF(tblRentRoll[[#This Row],[Month_to_Expiry]]&lt;=3, "0-3 Monaten",  IF(tblRentRoll[[#This Row],[Month_to_Expiry]]&lt;=6, "3-6 Monaten", IF(tblRentRoll[[#This Row],[Month_to_Expiry]]&lt;=12,"6-12 Monaten", IF(tblRentRoll[[#This Row],[Month_to_Expiry]]&gt;=12, "12 M+",)))))</f>
        <v>12 M+</v>
      </c>
      <c r="W319">
        <f>IF(tblRentRoll[[#This Row],[Status]]="Vacant", tblRentRoll[[#This Row],[Area_sqm]],0)</f>
        <v>0</v>
      </c>
      <c r="X319" s="3">
        <f>IF(tblRentRoll[[#This Row],[Status]]="Occupied", tblRentRoll[[#This Row],[Area_sqm]],0)</f>
        <v>776</v>
      </c>
      <c r="Y319" s="3">
        <f ca="1">tblRentRoll[[#This Row],[Month_to_Expiry]]/12*tblRentRoll[[#This Row],[Annual_Rent_EUR]]</f>
        <v>145587.32</v>
      </c>
      <c r="Z319" s="3"/>
    </row>
    <row r="320" spans="1:26" x14ac:dyDescent="0.35">
      <c r="A320" t="s">
        <v>24</v>
      </c>
      <c r="B320" t="s">
        <v>491</v>
      </c>
      <c r="C320" t="s">
        <v>29</v>
      </c>
      <c r="D320">
        <v>315</v>
      </c>
      <c r="E320" t="s">
        <v>15</v>
      </c>
      <c r="F320" t="s">
        <v>282</v>
      </c>
      <c r="G320">
        <v>4607.32</v>
      </c>
      <c r="H320">
        <v>55287.839999999997</v>
      </c>
      <c r="I320" s="2">
        <f>tblRentRoll[[#This Row],[Monthly_Rent_EUR]]*12</f>
        <v>55287.839999999997</v>
      </c>
      <c r="J320" s="2" t="str">
        <f>IF(tblRentRoll[[#This Row],[Annual_Rent_EUR]]&lt;&gt;tblRentRoll[[#This Row],[Jahresrente_EUR]], "FALSCH", "")</f>
        <v/>
      </c>
      <c r="K320" s="1">
        <v>45223</v>
      </c>
      <c r="L320" s="1">
        <v>46771</v>
      </c>
      <c r="M320">
        <v>564.84</v>
      </c>
      <c r="N320">
        <v>323.02999999999997</v>
      </c>
      <c r="O32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0" t="str">
        <f>IF(tblRentRoll[[#This Row],[Area_sqm]]&lt;=0,"Area&lt;=0","")</f>
        <v/>
      </c>
      <c r="Q320" t="str">
        <f>IF(tblRentRoll[[#This Row],[Monthly_Rent_EUR]]&lt;=0,"Rent&lt;=0","")</f>
        <v/>
      </c>
      <c r="R320">
        <f>IF(AND(tblRentRoll[[#This Row],[Status]]="Occupied", tblRentRoll[[#This Row],[Area_sqm]]&gt;0), tblRentRoll[[#This Row],[Annual_Rent_EUR]]/tblRentRoll[[#This Row],[Area_sqm]],"")</f>
        <v>175.51695238095238</v>
      </c>
      <c r="S320">
        <f>tblRentRoll[[#This Row],[Service_Charge_EUR]]+tblRentRoll[[#This Row],[Operating_Cost_EUR]]</f>
        <v>887.87</v>
      </c>
      <c r="T320">
        <f>IF(tblRentRoll[[#This Row],[Annual_Rent_EUR]]&lt;&gt;0,tblRentRoll[[#This Row],[Annual_Rent_EUR]]-tblRentRoll[[#This Row],[Operating_Cost_EUR]], "")</f>
        <v>54964.81</v>
      </c>
      <c r="U320">
        <f ca="1">IF(AND(tblRentRoll[[#This Row],[Status]]="Occupied",tblRentRoll[[#This Row],[Lease_End]]&gt;=TODAY()),DATEDIF(TODAY(),tblRentRoll[[#This Row],[Lease_End]],"m"), 0)</f>
        <v>22</v>
      </c>
      <c r="V320" t="str">
        <f ca="1">IF(tblRentRoll[[#This Row],[Status]]&lt;&gt;"Occupied","", IF(tblRentRoll[[#This Row],[Month_to_Expiry]]&lt;=3, "0-3 Monaten",  IF(tblRentRoll[[#This Row],[Month_to_Expiry]]&lt;=6, "3-6 Monaten", IF(tblRentRoll[[#This Row],[Month_to_Expiry]]&lt;=12,"6-12 Monaten", IF(tblRentRoll[[#This Row],[Month_to_Expiry]]&gt;=12, "12 M+",)))))</f>
        <v>12 M+</v>
      </c>
      <c r="W320">
        <f>IF(tblRentRoll[[#This Row],[Status]]="Vacant", tblRentRoll[[#This Row],[Area_sqm]],0)</f>
        <v>0</v>
      </c>
      <c r="X320" s="3">
        <f>IF(tblRentRoll[[#This Row],[Status]]="Occupied", tblRentRoll[[#This Row],[Area_sqm]],0)</f>
        <v>315</v>
      </c>
      <c r="Y320" s="3">
        <f ca="1">tblRentRoll[[#This Row],[Month_to_Expiry]]/12*tblRentRoll[[#This Row],[Annual_Rent_EUR]]</f>
        <v>101361.04</v>
      </c>
      <c r="Z320" s="3"/>
    </row>
    <row r="321" spans="1:26" x14ac:dyDescent="0.35">
      <c r="A321" t="s">
        <v>17</v>
      </c>
      <c r="B321" t="s">
        <v>492</v>
      </c>
      <c r="C321" t="s">
        <v>14</v>
      </c>
      <c r="D321">
        <v>399</v>
      </c>
      <c r="E321" t="s">
        <v>15</v>
      </c>
      <c r="F321" t="s">
        <v>88</v>
      </c>
      <c r="G321">
        <v>3362.77</v>
      </c>
      <c r="H321">
        <v>40353.24</v>
      </c>
      <c r="I321" s="2">
        <f>tblRentRoll[[#This Row],[Monthly_Rent_EUR]]*12</f>
        <v>40353.24</v>
      </c>
      <c r="J321" s="2" t="str">
        <f>IF(tblRentRoll[[#This Row],[Annual_Rent_EUR]]&lt;&gt;tblRentRoll[[#This Row],[Jahresrente_EUR]], "FALSCH", "")</f>
        <v/>
      </c>
      <c r="K321" s="1">
        <v>44836</v>
      </c>
      <c r="L321" s="1">
        <v>45141</v>
      </c>
      <c r="M321">
        <v>643.52</v>
      </c>
      <c r="N321">
        <v>560.03</v>
      </c>
      <c r="O32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1" t="str">
        <f>IF(tblRentRoll[[#This Row],[Area_sqm]]&lt;=0,"Area&lt;=0","")</f>
        <v/>
      </c>
      <c r="Q321" t="str">
        <f>IF(tblRentRoll[[#This Row],[Monthly_Rent_EUR]]&lt;=0,"Rent&lt;=0","")</f>
        <v/>
      </c>
      <c r="R321">
        <f>IF(AND(tblRentRoll[[#This Row],[Status]]="Occupied", tblRentRoll[[#This Row],[Area_sqm]]&gt;0), tblRentRoll[[#This Row],[Annual_Rent_EUR]]/tblRentRoll[[#This Row],[Area_sqm]],"")</f>
        <v>101.13593984962405</v>
      </c>
      <c r="S321">
        <f>tblRentRoll[[#This Row],[Service_Charge_EUR]]+tblRentRoll[[#This Row],[Operating_Cost_EUR]]</f>
        <v>1203.55</v>
      </c>
      <c r="T321">
        <f>IF(tblRentRoll[[#This Row],[Annual_Rent_EUR]]&lt;&gt;0,tblRentRoll[[#This Row],[Annual_Rent_EUR]]-tblRentRoll[[#This Row],[Operating_Cost_EUR]], "")</f>
        <v>39793.21</v>
      </c>
      <c r="U321">
        <f ca="1">IF(AND(tblRentRoll[[#This Row],[Status]]="Occupied",tblRentRoll[[#This Row],[Lease_End]]&gt;=TODAY()),DATEDIF(TODAY(),tblRentRoll[[#This Row],[Lease_End]],"m"), 0)</f>
        <v>0</v>
      </c>
      <c r="V321" t="str">
        <f ca="1">IF(tblRentRoll[[#This Row],[Status]]&lt;&gt;"Occupied","", IF(tblRentRoll[[#This Row],[Month_to_Expiry]]&lt;=3, "0-3 Monaten",  IF(tblRentRoll[[#This Row],[Month_to_Expiry]]&lt;=6, "3-6 Monaten", IF(tblRentRoll[[#This Row],[Month_to_Expiry]]&lt;=12,"6-12 Monaten", IF(tblRentRoll[[#This Row],[Month_to_Expiry]]&gt;=12, "12 M+",)))))</f>
        <v>0-3 Monaten</v>
      </c>
      <c r="W321">
        <f>IF(tblRentRoll[[#This Row],[Status]]="Vacant", tblRentRoll[[#This Row],[Area_sqm]],0)</f>
        <v>0</v>
      </c>
      <c r="X321" s="3">
        <f>IF(tblRentRoll[[#This Row],[Status]]="Occupied", tblRentRoll[[#This Row],[Area_sqm]],0)</f>
        <v>399</v>
      </c>
      <c r="Y321" s="3">
        <f ca="1">tblRentRoll[[#This Row],[Month_to_Expiry]]/12*tblRentRoll[[#This Row],[Annual_Rent_EUR]]</f>
        <v>0</v>
      </c>
      <c r="Z321" s="3"/>
    </row>
    <row r="322" spans="1:26" x14ac:dyDescent="0.35">
      <c r="A322" t="s">
        <v>27</v>
      </c>
      <c r="B322" t="s">
        <v>493</v>
      </c>
      <c r="C322" t="s">
        <v>29</v>
      </c>
      <c r="D322">
        <v>1039</v>
      </c>
      <c r="E322" t="s">
        <v>15</v>
      </c>
      <c r="F322" t="s">
        <v>233</v>
      </c>
      <c r="G322">
        <v>18377.830000000002</v>
      </c>
      <c r="H322">
        <v>220533.96</v>
      </c>
      <c r="I322" s="2">
        <f>tblRentRoll[[#This Row],[Monthly_Rent_EUR]]*12</f>
        <v>220533.96000000002</v>
      </c>
      <c r="J322" s="2" t="str">
        <f>IF(tblRentRoll[[#This Row],[Annual_Rent_EUR]]&lt;&gt;tblRentRoll[[#This Row],[Jahresrente_EUR]], "FALSCH", "")</f>
        <v/>
      </c>
      <c r="K322" s="1">
        <v>44881</v>
      </c>
      <c r="L322" s="1">
        <v>45104</v>
      </c>
      <c r="M322">
        <v>1076.99</v>
      </c>
      <c r="N322">
        <v>1385.93</v>
      </c>
      <c r="O32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2" t="str">
        <f>IF(tblRentRoll[[#This Row],[Area_sqm]]&lt;=0,"Area&lt;=0","")</f>
        <v/>
      </c>
      <c r="Q322" t="str">
        <f>IF(tblRentRoll[[#This Row],[Monthly_Rent_EUR]]&lt;=0,"Rent&lt;=0","")</f>
        <v/>
      </c>
      <c r="R322">
        <f>IF(AND(tblRentRoll[[#This Row],[Status]]="Occupied", tblRentRoll[[#This Row],[Area_sqm]]&gt;0), tblRentRoll[[#This Row],[Annual_Rent_EUR]]/tblRentRoll[[#This Row],[Area_sqm]],"")</f>
        <v>212.25597690086622</v>
      </c>
      <c r="S322">
        <f>tblRentRoll[[#This Row],[Service_Charge_EUR]]+tblRentRoll[[#This Row],[Operating_Cost_EUR]]</f>
        <v>2462.92</v>
      </c>
      <c r="T322">
        <f>IF(tblRentRoll[[#This Row],[Annual_Rent_EUR]]&lt;&gt;0,tblRentRoll[[#This Row],[Annual_Rent_EUR]]-tblRentRoll[[#This Row],[Operating_Cost_EUR]], "")</f>
        <v>219148.03</v>
      </c>
      <c r="U322">
        <f ca="1">IF(AND(tblRentRoll[[#This Row],[Status]]="Occupied",tblRentRoll[[#This Row],[Lease_End]]&gt;=TODAY()),DATEDIF(TODAY(),tblRentRoll[[#This Row],[Lease_End]],"m"), 0)</f>
        <v>0</v>
      </c>
      <c r="V322" t="str">
        <f ca="1">IF(tblRentRoll[[#This Row],[Status]]&lt;&gt;"Occupied","", IF(tblRentRoll[[#This Row],[Month_to_Expiry]]&lt;=3, "0-3 Monaten",  IF(tblRentRoll[[#This Row],[Month_to_Expiry]]&lt;=6, "3-6 Monaten", IF(tblRentRoll[[#This Row],[Month_to_Expiry]]&lt;=12,"6-12 Monaten", IF(tblRentRoll[[#This Row],[Month_to_Expiry]]&gt;=12, "12 M+",)))))</f>
        <v>0-3 Monaten</v>
      </c>
      <c r="W322">
        <f>IF(tblRentRoll[[#This Row],[Status]]="Vacant", tblRentRoll[[#This Row],[Area_sqm]],0)</f>
        <v>0</v>
      </c>
      <c r="X322" s="3">
        <f>IF(tblRentRoll[[#This Row],[Status]]="Occupied", tblRentRoll[[#This Row],[Area_sqm]],0)</f>
        <v>1039</v>
      </c>
      <c r="Y322" s="3">
        <f ca="1">tblRentRoll[[#This Row],[Month_to_Expiry]]/12*tblRentRoll[[#This Row],[Annual_Rent_EUR]]</f>
        <v>0</v>
      </c>
      <c r="Z322" s="3"/>
    </row>
    <row r="323" spans="1:26" x14ac:dyDescent="0.35">
      <c r="A323" t="s">
        <v>21</v>
      </c>
      <c r="B323" t="s">
        <v>494</v>
      </c>
      <c r="C323" t="s">
        <v>19</v>
      </c>
      <c r="D323">
        <v>735</v>
      </c>
      <c r="E323" t="s">
        <v>15</v>
      </c>
      <c r="F323" t="s">
        <v>495</v>
      </c>
      <c r="G323">
        <v>9993.8700000000008</v>
      </c>
      <c r="H323">
        <v>119926.44</v>
      </c>
      <c r="I323" s="2">
        <f>tblRentRoll[[#This Row],[Monthly_Rent_EUR]]*12</f>
        <v>119926.44</v>
      </c>
      <c r="J323" s="2" t="str">
        <f>IF(tblRentRoll[[#This Row],[Annual_Rent_EUR]]&lt;&gt;tblRentRoll[[#This Row],[Jahresrente_EUR]], "FALSCH", "")</f>
        <v/>
      </c>
      <c r="K323" s="1">
        <v>44486</v>
      </c>
      <c r="L323" s="1">
        <v>44816</v>
      </c>
      <c r="M323">
        <v>1377.37</v>
      </c>
      <c r="N323">
        <v>1169.5999999999999</v>
      </c>
      <c r="O32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3" t="str">
        <f>IF(tblRentRoll[[#This Row],[Area_sqm]]&lt;=0,"Area&lt;=0","")</f>
        <v/>
      </c>
      <c r="Q323" t="str">
        <f>IF(tblRentRoll[[#This Row],[Monthly_Rent_EUR]]&lt;=0,"Rent&lt;=0","")</f>
        <v/>
      </c>
      <c r="R323">
        <f>IF(AND(tblRentRoll[[#This Row],[Status]]="Occupied", tblRentRoll[[#This Row],[Area_sqm]]&gt;0), tblRentRoll[[#This Row],[Annual_Rent_EUR]]/tblRentRoll[[#This Row],[Area_sqm]],"")</f>
        <v>163.16522448979592</v>
      </c>
      <c r="S323">
        <f>tblRentRoll[[#This Row],[Service_Charge_EUR]]+tblRentRoll[[#This Row],[Operating_Cost_EUR]]</f>
        <v>2546.9699999999998</v>
      </c>
      <c r="T323">
        <f>IF(tblRentRoll[[#This Row],[Annual_Rent_EUR]]&lt;&gt;0,tblRentRoll[[#This Row],[Annual_Rent_EUR]]-tblRentRoll[[#This Row],[Operating_Cost_EUR]], "")</f>
        <v>118756.84</v>
      </c>
      <c r="U323">
        <f ca="1">IF(AND(tblRentRoll[[#This Row],[Status]]="Occupied",tblRentRoll[[#This Row],[Lease_End]]&gt;=TODAY()),DATEDIF(TODAY(),tblRentRoll[[#This Row],[Lease_End]],"m"), 0)</f>
        <v>0</v>
      </c>
      <c r="V323" t="str">
        <f ca="1">IF(tblRentRoll[[#This Row],[Status]]&lt;&gt;"Occupied","", IF(tblRentRoll[[#This Row],[Month_to_Expiry]]&lt;=3, "0-3 Monaten",  IF(tblRentRoll[[#This Row],[Month_to_Expiry]]&lt;=6, "3-6 Monaten", IF(tblRentRoll[[#This Row],[Month_to_Expiry]]&lt;=12,"6-12 Monaten", IF(tblRentRoll[[#This Row],[Month_to_Expiry]]&gt;=12, "12 M+",)))))</f>
        <v>0-3 Monaten</v>
      </c>
      <c r="W323">
        <f>IF(tblRentRoll[[#This Row],[Status]]="Vacant", tblRentRoll[[#This Row],[Area_sqm]],0)</f>
        <v>0</v>
      </c>
      <c r="X323" s="3">
        <f>IF(tblRentRoll[[#This Row],[Status]]="Occupied", tblRentRoll[[#This Row],[Area_sqm]],0)</f>
        <v>735</v>
      </c>
      <c r="Y323" s="3">
        <f ca="1">tblRentRoll[[#This Row],[Month_to_Expiry]]/12*tblRentRoll[[#This Row],[Annual_Rent_EUR]]</f>
        <v>0</v>
      </c>
      <c r="Z323" s="3"/>
    </row>
    <row r="324" spans="1:26" x14ac:dyDescent="0.35">
      <c r="A324" t="s">
        <v>17</v>
      </c>
      <c r="B324" t="s">
        <v>496</v>
      </c>
      <c r="C324" t="s">
        <v>14</v>
      </c>
      <c r="D324">
        <v>97</v>
      </c>
      <c r="E324" t="s">
        <v>20</v>
      </c>
      <c r="G324">
        <v>0</v>
      </c>
      <c r="H324">
        <v>0</v>
      </c>
      <c r="I324" s="2">
        <f>tblRentRoll[[#This Row],[Monthly_Rent_EUR]]*12</f>
        <v>0</v>
      </c>
      <c r="J324" s="2" t="str">
        <f>IF(tblRentRoll[[#This Row],[Annual_Rent_EUR]]&lt;&gt;tblRentRoll[[#This Row],[Jahresrente_EUR]], "FALSCH", "")</f>
        <v/>
      </c>
      <c r="M324">
        <v>289.79000000000002</v>
      </c>
      <c r="N324">
        <v>96.66</v>
      </c>
      <c r="O32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4" t="str">
        <f>IF(tblRentRoll[[#This Row],[Area_sqm]]&lt;=0,"Area&lt;=0","")</f>
        <v/>
      </c>
      <c r="Q324" t="str">
        <f>IF(tblRentRoll[[#This Row],[Monthly_Rent_EUR]]&lt;=0,"Rent&lt;=0","")</f>
        <v>Rent&lt;=0</v>
      </c>
      <c r="R324" t="str">
        <f>IF(AND(tblRentRoll[[#This Row],[Status]]="Occupied", tblRentRoll[[#This Row],[Area_sqm]]&gt;0), tblRentRoll[[#This Row],[Annual_Rent_EUR]]/tblRentRoll[[#This Row],[Area_sqm]],"")</f>
        <v/>
      </c>
      <c r="S324">
        <f>tblRentRoll[[#This Row],[Service_Charge_EUR]]+tblRentRoll[[#This Row],[Operating_Cost_EUR]]</f>
        <v>386.45000000000005</v>
      </c>
      <c r="T324" t="str">
        <f>IF(tblRentRoll[[#This Row],[Annual_Rent_EUR]]&lt;&gt;0,tblRentRoll[[#This Row],[Annual_Rent_EUR]]-tblRentRoll[[#This Row],[Operating_Cost_EUR]], "")</f>
        <v/>
      </c>
      <c r="U324">
        <f ca="1">IF(AND(tblRentRoll[[#This Row],[Status]]="Occupied",tblRentRoll[[#This Row],[Lease_End]]&gt;=TODAY()),DATEDIF(TODAY(),tblRentRoll[[#This Row],[Lease_End]],"m"), 0)</f>
        <v>0</v>
      </c>
      <c r="V324" t="str">
        <f>IF(tblRentRoll[[#This Row],[Status]]&lt;&gt;"Occupied","", IF(tblRentRoll[[#This Row],[Month_to_Expiry]]&lt;=3, "0-3 Monaten",  IF(tblRentRoll[[#This Row],[Month_to_Expiry]]&lt;=6, "3-6 Monaten", IF(tblRentRoll[[#This Row],[Month_to_Expiry]]&lt;=12,"6-12 Monaten", IF(tblRentRoll[[#This Row],[Month_to_Expiry]]&gt;=12, "12 M+",)))))</f>
        <v/>
      </c>
      <c r="W324">
        <f>IF(tblRentRoll[[#This Row],[Status]]="Vacant", tblRentRoll[[#This Row],[Area_sqm]],0)</f>
        <v>97</v>
      </c>
      <c r="X324" s="3">
        <f>IF(tblRentRoll[[#This Row],[Status]]="Occupied", tblRentRoll[[#This Row],[Area_sqm]],0)</f>
        <v>0</v>
      </c>
      <c r="Y324" s="3">
        <f ca="1">tblRentRoll[[#This Row],[Month_to_Expiry]]/12*tblRentRoll[[#This Row],[Annual_Rent_EUR]]</f>
        <v>0</v>
      </c>
      <c r="Z324" s="3"/>
    </row>
    <row r="325" spans="1:26" x14ac:dyDescent="0.35">
      <c r="A325" t="s">
        <v>31</v>
      </c>
      <c r="B325" t="s">
        <v>497</v>
      </c>
      <c r="C325" t="s">
        <v>33</v>
      </c>
      <c r="D325">
        <v>1150</v>
      </c>
      <c r="E325" t="s">
        <v>15</v>
      </c>
      <c r="F325" t="s">
        <v>243</v>
      </c>
      <c r="G325">
        <v>19756.36</v>
      </c>
      <c r="H325">
        <v>237076.32</v>
      </c>
      <c r="I325" s="2">
        <f>tblRentRoll[[#This Row],[Monthly_Rent_EUR]]*12</f>
        <v>237076.32</v>
      </c>
      <c r="J325" s="2" t="str">
        <f>IF(tblRentRoll[[#This Row],[Annual_Rent_EUR]]&lt;&gt;tblRentRoll[[#This Row],[Jahresrente_EUR]], "FALSCH", "")</f>
        <v/>
      </c>
      <c r="K325" s="1">
        <v>45269</v>
      </c>
      <c r="L325" s="1">
        <v>46935</v>
      </c>
      <c r="M325">
        <v>2102.14</v>
      </c>
      <c r="N325">
        <v>1143.9100000000001</v>
      </c>
      <c r="O32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5" t="str">
        <f>IF(tblRentRoll[[#This Row],[Area_sqm]]&lt;=0,"Area&lt;=0","")</f>
        <v/>
      </c>
      <c r="Q325" t="str">
        <f>IF(tblRentRoll[[#This Row],[Monthly_Rent_EUR]]&lt;=0,"Rent&lt;=0","")</f>
        <v/>
      </c>
      <c r="R325">
        <f>IF(AND(tblRentRoll[[#This Row],[Status]]="Occupied", tblRentRoll[[#This Row],[Area_sqm]]&gt;0), tblRentRoll[[#This Row],[Annual_Rent_EUR]]/tblRentRoll[[#This Row],[Area_sqm]],"")</f>
        <v>206.15332173913043</v>
      </c>
      <c r="S325">
        <f>tblRentRoll[[#This Row],[Service_Charge_EUR]]+tblRentRoll[[#This Row],[Operating_Cost_EUR]]</f>
        <v>3246.05</v>
      </c>
      <c r="T325">
        <f>IF(tblRentRoll[[#This Row],[Annual_Rent_EUR]]&lt;&gt;0,tblRentRoll[[#This Row],[Annual_Rent_EUR]]-tblRentRoll[[#This Row],[Operating_Cost_EUR]], "")</f>
        <v>235932.41</v>
      </c>
      <c r="U325">
        <f ca="1">IF(AND(tblRentRoll[[#This Row],[Status]]="Occupied",tblRentRoll[[#This Row],[Lease_End]]&gt;=TODAY()),DATEDIF(TODAY(),tblRentRoll[[#This Row],[Lease_End]],"m"), 0)</f>
        <v>27</v>
      </c>
      <c r="V325" t="str">
        <f ca="1">IF(tblRentRoll[[#This Row],[Status]]&lt;&gt;"Occupied","", IF(tblRentRoll[[#This Row],[Month_to_Expiry]]&lt;=3, "0-3 Monaten",  IF(tblRentRoll[[#This Row],[Month_to_Expiry]]&lt;=6, "3-6 Monaten", IF(tblRentRoll[[#This Row],[Month_to_Expiry]]&lt;=12,"6-12 Monaten", IF(tblRentRoll[[#This Row],[Month_to_Expiry]]&gt;=12, "12 M+",)))))</f>
        <v>12 M+</v>
      </c>
      <c r="W325">
        <f>IF(tblRentRoll[[#This Row],[Status]]="Vacant", tblRentRoll[[#This Row],[Area_sqm]],0)</f>
        <v>0</v>
      </c>
      <c r="X325" s="3">
        <f>IF(tblRentRoll[[#This Row],[Status]]="Occupied", tblRentRoll[[#This Row],[Area_sqm]],0)</f>
        <v>1150</v>
      </c>
      <c r="Y325" s="3">
        <f ca="1">tblRentRoll[[#This Row],[Month_to_Expiry]]/12*tblRentRoll[[#This Row],[Annual_Rent_EUR]]</f>
        <v>533421.72</v>
      </c>
      <c r="Z325" s="3"/>
    </row>
    <row r="326" spans="1:26" x14ac:dyDescent="0.35">
      <c r="A326" t="s">
        <v>24</v>
      </c>
      <c r="B326" t="s">
        <v>498</v>
      </c>
      <c r="C326" t="s">
        <v>33</v>
      </c>
      <c r="D326">
        <v>1389</v>
      </c>
      <c r="E326" t="s">
        <v>15</v>
      </c>
      <c r="F326" t="s">
        <v>499</v>
      </c>
      <c r="G326">
        <v>23163.84</v>
      </c>
      <c r="H326">
        <v>277966.08000000002</v>
      </c>
      <c r="I326" s="2">
        <f>tblRentRoll[[#This Row],[Monthly_Rent_EUR]]*12</f>
        <v>277966.08000000002</v>
      </c>
      <c r="J326" s="2" t="str">
        <f>IF(tblRentRoll[[#This Row],[Annual_Rent_EUR]]&lt;&gt;tblRentRoll[[#This Row],[Jahresrente_EUR]], "FALSCH", "")</f>
        <v/>
      </c>
      <c r="K326" s="1">
        <v>45133</v>
      </c>
      <c r="L326" s="1">
        <v>46440</v>
      </c>
      <c r="M326">
        <v>2315.8000000000002</v>
      </c>
      <c r="N326">
        <v>1647.38</v>
      </c>
      <c r="O32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6" t="str">
        <f>IF(tblRentRoll[[#This Row],[Area_sqm]]&lt;=0,"Area&lt;=0","")</f>
        <v/>
      </c>
      <c r="Q326" t="str">
        <f>IF(tblRentRoll[[#This Row],[Monthly_Rent_EUR]]&lt;=0,"Rent&lt;=0","")</f>
        <v/>
      </c>
      <c r="R326">
        <f>IF(AND(tblRentRoll[[#This Row],[Status]]="Occupied", tblRentRoll[[#This Row],[Area_sqm]]&gt;0), tblRentRoll[[#This Row],[Annual_Rent_EUR]]/tblRentRoll[[#This Row],[Area_sqm]],"")</f>
        <v>200.11956803455726</v>
      </c>
      <c r="S326">
        <f>tblRentRoll[[#This Row],[Service_Charge_EUR]]+tblRentRoll[[#This Row],[Operating_Cost_EUR]]</f>
        <v>3963.1800000000003</v>
      </c>
      <c r="T326">
        <f>IF(tblRentRoll[[#This Row],[Annual_Rent_EUR]]&lt;&gt;0,tblRentRoll[[#This Row],[Annual_Rent_EUR]]-tblRentRoll[[#This Row],[Operating_Cost_EUR]], "")</f>
        <v>276318.7</v>
      </c>
      <c r="U326">
        <f ca="1">IF(AND(tblRentRoll[[#This Row],[Status]]="Occupied",tblRentRoll[[#This Row],[Lease_End]]&gt;=TODAY()),DATEDIF(TODAY(),tblRentRoll[[#This Row],[Lease_End]],"m"), 0)</f>
        <v>11</v>
      </c>
      <c r="V326" t="str">
        <f ca="1">IF(tblRentRoll[[#This Row],[Status]]&lt;&gt;"Occupied","", IF(tblRentRoll[[#This Row],[Month_to_Expiry]]&lt;=3, "0-3 Monaten",  IF(tblRentRoll[[#This Row],[Month_to_Expiry]]&lt;=6, "3-6 Monaten", IF(tblRentRoll[[#This Row],[Month_to_Expiry]]&lt;=12,"6-12 Monaten", IF(tblRentRoll[[#This Row],[Month_to_Expiry]]&gt;=12, "12 M+",)))))</f>
        <v>6-12 Monaten</v>
      </c>
      <c r="W326">
        <f>IF(tblRentRoll[[#This Row],[Status]]="Vacant", tblRentRoll[[#This Row],[Area_sqm]],0)</f>
        <v>0</v>
      </c>
      <c r="X326" s="3">
        <f>IF(tblRentRoll[[#This Row],[Status]]="Occupied", tblRentRoll[[#This Row],[Area_sqm]],0)</f>
        <v>1389</v>
      </c>
      <c r="Y326" s="3">
        <f ca="1">tblRentRoll[[#This Row],[Month_to_Expiry]]/12*tblRentRoll[[#This Row],[Annual_Rent_EUR]]</f>
        <v>254802.24</v>
      </c>
      <c r="Z326" s="3"/>
    </row>
    <row r="327" spans="1:26" x14ac:dyDescent="0.35">
      <c r="A327" t="s">
        <v>27</v>
      </c>
      <c r="B327" t="s">
        <v>500</v>
      </c>
      <c r="C327" t="s">
        <v>14</v>
      </c>
      <c r="D327">
        <v>509</v>
      </c>
      <c r="E327" t="s">
        <v>15</v>
      </c>
      <c r="F327" t="s">
        <v>355</v>
      </c>
      <c r="G327">
        <v>4213.1099999999997</v>
      </c>
      <c r="H327">
        <v>50557.32</v>
      </c>
      <c r="I327" s="2">
        <f>tblRentRoll[[#This Row],[Monthly_Rent_EUR]]*12</f>
        <v>50557.319999999992</v>
      </c>
      <c r="J327" s="2" t="str">
        <f>IF(tblRentRoll[[#This Row],[Annual_Rent_EUR]]&lt;&gt;tblRentRoll[[#This Row],[Jahresrente_EUR]], "FALSCH", "")</f>
        <v/>
      </c>
      <c r="K327" s="1">
        <v>44641</v>
      </c>
      <c r="L327" s="1">
        <v>45415</v>
      </c>
      <c r="M327">
        <v>596.69000000000005</v>
      </c>
      <c r="N327">
        <v>489.53</v>
      </c>
      <c r="O32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7" t="str">
        <f>IF(tblRentRoll[[#This Row],[Area_sqm]]&lt;=0,"Area&lt;=0","")</f>
        <v/>
      </c>
      <c r="Q327" t="str">
        <f>IF(tblRentRoll[[#This Row],[Monthly_Rent_EUR]]&lt;=0,"Rent&lt;=0","")</f>
        <v/>
      </c>
      <c r="R327">
        <f>IF(AND(tblRentRoll[[#This Row],[Status]]="Occupied", tblRentRoll[[#This Row],[Area_sqm]]&gt;0), tblRentRoll[[#This Row],[Annual_Rent_EUR]]/tblRentRoll[[#This Row],[Area_sqm]],"")</f>
        <v>99.326758349705301</v>
      </c>
      <c r="S327">
        <f>tblRentRoll[[#This Row],[Service_Charge_EUR]]+tblRentRoll[[#This Row],[Operating_Cost_EUR]]</f>
        <v>1086.22</v>
      </c>
      <c r="T327">
        <f>IF(tblRentRoll[[#This Row],[Annual_Rent_EUR]]&lt;&gt;0,tblRentRoll[[#This Row],[Annual_Rent_EUR]]-tblRentRoll[[#This Row],[Operating_Cost_EUR]], "")</f>
        <v>50067.79</v>
      </c>
      <c r="U327">
        <f ca="1">IF(AND(tblRentRoll[[#This Row],[Status]]="Occupied",tblRentRoll[[#This Row],[Lease_End]]&gt;=TODAY()),DATEDIF(TODAY(),tblRentRoll[[#This Row],[Lease_End]],"m"), 0)</f>
        <v>0</v>
      </c>
      <c r="V327" t="str">
        <f ca="1">IF(tblRentRoll[[#This Row],[Status]]&lt;&gt;"Occupied","", IF(tblRentRoll[[#This Row],[Month_to_Expiry]]&lt;=3, "0-3 Monaten",  IF(tblRentRoll[[#This Row],[Month_to_Expiry]]&lt;=6, "3-6 Monaten", IF(tblRentRoll[[#This Row],[Month_to_Expiry]]&lt;=12,"6-12 Monaten", IF(tblRentRoll[[#This Row],[Month_to_Expiry]]&gt;=12, "12 M+",)))))</f>
        <v>0-3 Monaten</v>
      </c>
      <c r="W327">
        <f>IF(tblRentRoll[[#This Row],[Status]]="Vacant", tblRentRoll[[#This Row],[Area_sqm]],0)</f>
        <v>0</v>
      </c>
      <c r="X327" s="3">
        <f>IF(tblRentRoll[[#This Row],[Status]]="Occupied", tblRentRoll[[#This Row],[Area_sqm]],0)</f>
        <v>509</v>
      </c>
      <c r="Y327" s="3">
        <f ca="1">tblRentRoll[[#This Row],[Month_to_Expiry]]/12*tblRentRoll[[#This Row],[Annual_Rent_EUR]]</f>
        <v>0</v>
      </c>
      <c r="Z327" s="3"/>
    </row>
    <row r="328" spans="1:26" x14ac:dyDescent="0.35">
      <c r="A328" t="s">
        <v>56</v>
      </c>
      <c r="B328" t="s">
        <v>501</v>
      </c>
      <c r="C328" t="s">
        <v>29</v>
      </c>
      <c r="D328">
        <v>1238</v>
      </c>
      <c r="E328" t="s">
        <v>20</v>
      </c>
      <c r="G328">
        <v>0</v>
      </c>
      <c r="H328">
        <v>0</v>
      </c>
      <c r="I328" s="2">
        <f>tblRentRoll[[#This Row],[Monthly_Rent_EUR]]*12</f>
        <v>0</v>
      </c>
      <c r="J328" s="2" t="str">
        <f>IF(tblRentRoll[[#This Row],[Annual_Rent_EUR]]&lt;&gt;tblRentRoll[[#This Row],[Jahresrente_EUR]], "FALSCH", "")</f>
        <v/>
      </c>
      <c r="M328">
        <v>2115.77</v>
      </c>
      <c r="N328">
        <v>901.27</v>
      </c>
      <c r="O32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8" t="str">
        <f>IF(tblRentRoll[[#This Row],[Area_sqm]]&lt;=0,"Area&lt;=0","")</f>
        <v/>
      </c>
      <c r="Q328" t="str">
        <f>IF(tblRentRoll[[#This Row],[Monthly_Rent_EUR]]&lt;=0,"Rent&lt;=0","")</f>
        <v>Rent&lt;=0</v>
      </c>
      <c r="R328" t="str">
        <f>IF(AND(tblRentRoll[[#This Row],[Status]]="Occupied", tblRentRoll[[#This Row],[Area_sqm]]&gt;0), tblRentRoll[[#This Row],[Annual_Rent_EUR]]/tblRentRoll[[#This Row],[Area_sqm]],"")</f>
        <v/>
      </c>
      <c r="S328">
        <f>tblRentRoll[[#This Row],[Service_Charge_EUR]]+tblRentRoll[[#This Row],[Operating_Cost_EUR]]</f>
        <v>3017.04</v>
      </c>
      <c r="T328" t="str">
        <f>IF(tblRentRoll[[#This Row],[Annual_Rent_EUR]]&lt;&gt;0,tblRentRoll[[#This Row],[Annual_Rent_EUR]]-tblRentRoll[[#This Row],[Operating_Cost_EUR]], "")</f>
        <v/>
      </c>
      <c r="U328">
        <f ca="1">IF(AND(tblRentRoll[[#This Row],[Status]]="Occupied",tblRentRoll[[#This Row],[Lease_End]]&gt;=TODAY()),DATEDIF(TODAY(),tblRentRoll[[#This Row],[Lease_End]],"m"), 0)</f>
        <v>0</v>
      </c>
      <c r="V328" t="str">
        <f>IF(tblRentRoll[[#This Row],[Status]]&lt;&gt;"Occupied","", IF(tblRentRoll[[#This Row],[Month_to_Expiry]]&lt;=3, "0-3 Monaten",  IF(tblRentRoll[[#This Row],[Month_to_Expiry]]&lt;=6, "3-6 Monaten", IF(tblRentRoll[[#This Row],[Month_to_Expiry]]&lt;=12,"6-12 Monaten", IF(tblRentRoll[[#This Row],[Month_to_Expiry]]&gt;=12, "12 M+",)))))</f>
        <v/>
      </c>
      <c r="W328">
        <f>IF(tblRentRoll[[#This Row],[Status]]="Vacant", tblRentRoll[[#This Row],[Area_sqm]],0)</f>
        <v>1238</v>
      </c>
      <c r="X328" s="3">
        <f>IF(tblRentRoll[[#This Row],[Status]]="Occupied", tblRentRoll[[#This Row],[Area_sqm]],0)</f>
        <v>0</v>
      </c>
      <c r="Y328" s="3">
        <f ca="1">tblRentRoll[[#This Row],[Month_to_Expiry]]/12*tblRentRoll[[#This Row],[Annual_Rent_EUR]]</f>
        <v>0</v>
      </c>
      <c r="Z328" s="3"/>
    </row>
    <row r="329" spans="1:26" x14ac:dyDescent="0.35">
      <c r="A329" t="s">
        <v>24</v>
      </c>
      <c r="B329" t="s">
        <v>502</v>
      </c>
      <c r="C329" t="s">
        <v>29</v>
      </c>
      <c r="D329">
        <v>1078</v>
      </c>
      <c r="E329" t="s">
        <v>20</v>
      </c>
      <c r="G329">
        <v>0</v>
      </c>
      <c r="H329">
        <v>0</v>
      </c>
      <c r="I329" s="2">
        <f>tblRentRoll[[#This Row],[Monthly_Rent_EUR]]*12</f>
        <v>0</v>
      </c>
      <c r="J329" s="2" t="str">
        <f>IF(tblRentRoll[[#This Row],[Annual_Rent_EUR]]&lt;&gt;tblRentRoll[[#This Row],[Jahresrente_EUR]], "FALSCH", "")</f>
        <v/>
      </c>
      <c r="M329">
        <v>2848.41</v>
      </c>
      <c r="N329">
        <v>948.51</v>
      </c>
      <c r="O32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29" t="str">
        <f>IF(tblRentRoll[[#This Row],[Area_sqm]]&lt;=0,"Area&lt;=0","")</f>
        <v/>
      </c>
      <c r="Q329" t="str">
        <f>IF(tblRentRoll[[#This Row],[Monthly_Rent_EUR]]&lt;=0,"Rent&lt;=0","")</f>
        <v>Rent&lt;=0</v>
      </c>
      <c r="R329" t="str">
        <f>IF(AND(tblRentRoll[[#This Row],[Status]]="Occupied", tblRentRoll[[#This Row],[Area_sqm]]&gt;0), tblRentRoll[[#This Row],[Annual_Rent_EUR]]/tblRentRoll[[#This Row],[Area_sqm]],"")</f>
        <v/>
      </c>
      <c r="S329">
        <f>tblRentRoll[[#This Row],[Service_Charge_EUR]]+tblRentRoll[[#This Row],[Operating_Cost_EUR]]</f>
        <v>3796.92</v>
      </c>
      <c r="T329" t="str">
        <f>IF(tblRentRoll[[#This Row],[Annual_Rent_EUR]]&lt;&gt;0,tblRentRoll[[#This Row],[Annual_Rent_EUR]]-tblRentRoll[[#This Row],[Operating_Cost_EUR]], "")</f>
        <v/>
      </c>
      <c r="U329">
        <f ca="1">IF(AND(tblRentRoll[[#This Row],[Status]]="Occupied",tblRentRoll[[#This Row],[Lease_End]]&gt;=TODAY()),DATEDIF(TODAY(),tblRentRoll[[#This Row],[Lease_End]],"m"), 0)</f>
        <v>0</v>
      </c>
      <c r="V329" t="str">
        <f>IF(tblRentRoll[[#This Row],[Status]]&lt;&gt;"Occupied","", IF(tblRentRoll[[#This Row],[Month_to_Expiry]]&lt;=3, "0-3 Monaten",  IF(tblRentRoll[[#This Row],[Month_to_Expiry]]&lt;=6, "3-6 Monaten", IF(tblRentRoll[[#This Row],[Month_to_Expiry]]&lt;=12,"6-12 Monaten", IF(tblRentRoll[[#This Row],[Month_to_Expiry]]&gt;=12, "12 M+",)))))</f>
        <v/>
      </c>
      <c r="W329">
        <f>IF(tblRentRoll[[#This Row],[Status]]="Vacant", tblRentRoll[[#This Row],[Area_sqm]],0)</f>
        <v>1078</v>
      </c>
      <c r="X329" s="3">
        <f>IF(tblRentRoll[[#This Row],[Status]]="Occupied", tblRentRoll[[#This Row],[Area_sqm]],0)</f>
        <v>0</v>
      </c>
      <c r="Y329" s="3">
        <f ca="1">tblRentRoll[[#This Row],[Month_to_Expiry]]/12*tblRentRoll[[#This Row],[Annual_Rent_EUR]]</f>
        <v>0</v>
      </c>
      <c r="Z329" s="3"/>
    </row>
    <row r="330" spans="1:26" x14ac:dyDescent="0.35">
      <c r="A330" t="s">
        <v>56</v>
      </c>
      <c r="B330" t="s">
        <v>503</v>
      </c>
      <c r="C330" t="s">
        <v>29</v>
      </c>
      <c r="D330">
        <v>1470</v>
      </c>
      <c r="E330" t="s">
        <v>15</v>
      </c>
      <c r="F330" t="s">
        <v>78</v>
      </c>
      <c r="G330">
        <v>25210.78</v>
      </c>
      <c r="H330">
        <v>302529.36</v>
      </c>
      <c r="I330" s="2">
        <f>tblRentRoll[[#This Row],[Monthly_Rent_EUR]]*12</f>
        <v>302529.36</v>
      </c>
      <c r="J330" s="2" t="str">
        <f>IF(tblRentRoll[[#This Row],[Annual_Rent_EUR]]&lt;&gt;tblRentRoll[[#This Row],[Jahresrente_EUR]], "FALSCH", "")</f>
        <v/>
      </c>
      <c r="K330" s="1">
        <v>45103</v>
      </c>
      <c r="L330" s="1">
        <v>45726</v>
      </c>
      <c r="M330">
        <v>1870.39</v>
      </c>
      <c r="N330">
        <v>3527.01</v>
      </c>
      <c r="O33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0" t="str">
        <f>IF(tblRentRoll[[#This Row],[Area_sqm]]&lt;=0,"Area&lt;=0","")</f>
        <v/>
      </c>
      <c r="Q330" t="str">
        <f>IF(tblRentRoll[[#This Row],[Monthly_Rent_EUR]]&lt;=0,"Rent&lt;=0","")</f>
        <v/>
      </c>
      <c r="R330">
        <f>IF(AND(tblRentRoll[[#This Row],[Status]]="Occupied", tblRentRoll[[#This Row],[Area_sqm]]&gt;0), tblRentRoll[[#This Row],[Annual_Rent_EUR]]/tblRentRoll[[#This Row],[Area_sqm]],"")</f>
        <v>205.80228571428572</v>
      </c>
      <c r="S330">
        <f>tblRentRoll[[#This Row],[Service_Charge_EUR]]+tblRentRoll[[#This Row],[Operating_Cost_EUR]]</f>
        <v>5397.4000000000005</v>
      </c>
      <c r="T330">
        <f>IF(tblRentRoll[[#This Row],[Annual_Rent_EUR]]&lt;&gt;0,tblRentRoll[[#This Row],[Annual_Rent_EUR]]-tblRentRoll[[#This Row],[Operating_Cost_EUR]], "")</f>
        <v>299002.34999999998</v>
      </c>
      <c r="U330">
        <f ca="1">IF(AND(tblRentRoll[[#This Row],[Status]]="Occupied",tblRentRoll[[#This Row],[Lease_End]]&gt;=TODAY()),DATEDIF(TODAY(),tblRentRoll[[#This Row],[Lease_End]],"m"), 0)</f>
        <v>0</v>
      </c>
      <c r="V330" t="str">
        <f ca="1">IF(tblRentRoll[[#This Row],[Status]]&lt;&gt;"Occupied","", IF(tblRentRoll[[#This Row],[Month_to_Expiry]]&lt;=3, "0-3 Monaten",  IF(tblRentRoll[[#This Row],[Month_to_Expiry]]&lt;=6, "3-6 Monaten", IF(tblRentRoll[[#This Row],[Month_to_Expiry]]&lt;=12,"6-12 Monaten", IF(tblRentRoll[[#This Row],[Month_to_Expiry]]&gt;=12, "12 M+",)))))</f>
        <v>0-3 Monaten</v>
      </c>
      <c r="W330">
        <f>IF(tblRentRoll[[#This Row],[Status]]="Vacant", tblRentRoll[[#This Row],[Area_sqm]],0)</f>
        <v>0</v>
      </c>
      <c r="X330" s="3">
        <f>IF(tblRentRoll[[#This Row],[Status]]="Occupied", tblRentRoll[[#This Row],[Area_sqm]],0)</f>
        <v>1470</v>
      </c>
      <c r="Y330" s="3">
        <f ca="1">tblRentRoll[[#This Row],[Month_to_Expiry]]/12*tblRentRoll[[#This Row],[Annual_Rent_EUR]]</f>
        <v>0</v>
      </c>
      <c r="Z330" s="3"/>
    </row>
    <row r="331" spans="1:26" x14ac:dyDescent="0.35">
      <c r="A331" t="s">
        <v>24</v>
      </c>
      <c r="B331" t="s">
        <v>504</v>
      </c>
      <c r="C331" t="s">
        <v>19</v>
      </c>
      <c r="D331">
        <v>917</v>
      </c>
      <c r="E331" t="s">
        <v>15</v>
      </c>
      <c r="F331" t="s">
        <v>215</v>
      </c>
      <c r="G331">
        <v>15789.77</v>
      </c>
      <c r="H331">
        <v>189477.24</v>
      </c>
      <c r="I331" s="2">
        <f>tblRentRoll[[#This Row],[Monthly_Rent_EUR]]*12</f>
        <v>189477.24</v>
      </c>
      <c r="J331" s="2" t="str">
        <f>IF(tblRentRoll[[#This Row],[Annual_Rent_EUR]]&lt;&gt;tblRentRoll[[#This Row],[Jahresrente_EUR]], "FALSCH", "")</f>
        <v/>
      </c>
      <c r="K331" s="1">
        <v>45010</v>
      </c>
      <c r="L331" s="1">
        <v>45588</v>
      </c>
      <c r="M331">
        <v>1692.7</v>
      </c>
      <c r="N331">
        <v>1630.76</v>
      </c>
      <c r="O33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1" t="str">
        <f>IF(tblRentRoll[[#This Row],[Area_sqm]]&lt;=0,"Area&lt;=0","")</f>
        <v/>
      </c>
      <c r="Q331" t="str">
        <f>IF(tblRentRoll[[#This Row],[Monthly_Rent_EUR]]&lt;=0,"Rent&lt;=0","")</f>
        <v/>
      </c>
      <c r="R331">
        <f>IF(AND(tblRentRoll[[#This Row],[Status]]="Occupied", tblRentRoll[[#This Row],[Area_sqm]]&gt;0), tblRentRoll[[#This Row],[Annual_Rent_EUR]]/tblRentRoll[[#This Row],[Area_sqm]],"")</f>
        <v>206.62730643402398</v>
      </c>
      <c r="S331">
        <f>tblRentRoll[[#This Row],[Service_Charge_EUR]]+tblRentRoll[[#This Row],[Operating_Cost_EUR]]</f>
        <v>3323.46</v>
      </c>
      <c r="T331">
        <f>IF(tblRentRoll[[#This Row],[Annual_Rent_EUR]]&lt;&gt;0,tblRentRoll[[#This Row],[Annual_Rent_EUR]]-tblRentRoll[[#This Row],[Operating_Cost_EUR]], "")</f>
        <v>187846.47999999998</v>
      </c>
      <c r="U331">
        <f ca="1">IF(AND(tblRentRoll[[#This Row],[Status]]="Occupied",tblRentRoll[[#This Row],[Lease_End]]&gt;=TODAY()),DATEDIF(TODAY(),tblRentRoll[[#This Row],[Lease_End]],"m"), 0)</f>
        <v>0</v>
      </c>
      <c r="V331" t="str">
        <f ca="1">IF(tblRentRoll[[#This Row],[Status]]&lt;&gt;"Occupied","", IF(tblRentRoll[[#This Row],[Month_to_Expiry]]&lt;=3, "0-3 Monaten",  IF(tblRentRoll[[#This Row],[Month_to_Expiry]]&lt;=6, "3-6 Monaten", IF(tblRentRoll[[#This Row],[Month_to_Expiry]]&lt;=12,"6-12 Monaten", IF(tblRentRoll[[#This Row],[Month_to_Expiry]]&gt;=12, "12 M+",)))))</f>
        <v>0-3 Monaten</v>
      </c>
      <c r="W331">
        <f>IF(tblRentRoll[[#This Row],[Status]]="Vacant", tblRentRoll[[#This Row],[Area_sqm]],0)</f>
        <v>0</v>
      </c>
      <c r="X331" s="3">
        <f>IF(tblRentRoll[[#This Row],[Status]]="Occupied", tblRentRoll[[#This Row],[Area_sqm]],0)</f>
        <v>917</v>
      </c>
      <c r="Y331" s="3">
        <f ca="1">tblRentRoll[[#This Row],[Month_to_Expiry]]/12*tblRentRoll[[#This Row],[Annual_Rent_EUR]]</f>
        <v>0</v>
      </c>
      <c r="Z331" s="3"/>
    </row>
    <row r="332" spans="1:26" x14ac:dyDescent="0.35">
      <c r="A332" t="s">
        <v>12</v>
      </c>
      <c r="B332" t="s">
        <v>505</v>
      </c>
      <c r="C332" t="s">
        <v>14</v>
      </c>
      <c r="D332">
        <v>221</v>
      </c>
      <c r="E332" t="s">
        <v>15</v>
      </c>
      <c r="F332" t="s">
        <v>506</v>
      </c>
      <c r="G332">
        <v>3069.84</v>
      </c>
      <c r="H332">
        <v>36838.080000000002</v>
      </c>
      <c r="I332" s="2">
        <f>tblRentRoll[[#This Row],[Monthly_Rent_EUR]]*12</f>
        <v>36838.080000000002</v>
      </c>
      <c r="J332" s="2" t="str">
        <f>IF(tblRentRoll[[#This Row],[Annual_Rent_EUR]]&lt;&gt;tblRentRoll[[#This Row],[Jahresrente_EUR]], "FALSCH", "")</f>
        <v/>
      </c>
      <c r="K332" s="1">
        <v>44734</v>
      </c>
      <c r="L332" s="1">
        <v>46192</v>
      </c>
      <c r="M332">
        <v>476.68</v>
      </c>
      <c r="N332">
        <v>362.13</v>
      </c>
      <c r="O33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2" t="str">
        <f>IF(tblRentRoll[[#This Row],[Area_sqm]]&lt;=0,"Area&lt;=0","")</f>
        <v/>
      </c>
      <c r="Q332" t="str">
        <f>IF(tblRentRoll[[#This Row],[Monthly_Rent_EUR]]&lt;=0,"Rent&lt;=0","")</f>
        <v/>
      </c>
      <c r="R332">
        <f>IF(AND(tblRentRoll[[#This Row],[Status]]="Occupied", tblRentRoll[[#This Row],[Area_sqm]]&gt;0), tblRentRoll[[#This Row],[Annual_Rent_EUR]]/tblRentRoll[[#This Row],[Area_sqm]],"")</f>
        <v>166.6881447963801</v>
      </c>
      <c r="S332">
        <f>tblRentRoll[[#This Row],[Service_Charge_EUR]]+tblRentRoll[[#This Row],[Operating_Cost_EUR]]</f>
        <v>838.81</v>
      </c>
      <c r="T332">
        <f>IF(tblRentRoll[[#This Row],[Annual_Rent_EUR]]&lt;&gt;0,tblRentRoll[[#This Row],[Annual_Rent_EUR]]-tblRentRoll[[#This Row],[Operating_Cost_EUR]], "")</f>
        <v>36475.950000000004</v>
      </c>
      <c r="U332">
        <f ca="1">IF(AND(tblRentRoll[[#This Row],[Status]]="Occupied",tblRentRoll[[#This Row],[Lease_End]]&gt;=TODAY()),DATEDIF(TODAY(),tblRentRoll[[#This Row],[Lease_End]],"m"), 0)</f>
        <v>3</v>
      </c>
      <c r="V332" t="str">
        <f ca="1">IF(tblRentRoll[[#This Row],[Status]]&lt;&gt;"Occupied","", IF(tblRentRoll[[#This Row],[Month_to_Expiry]]&lt;=3, "0-3 Monaten",  IF(tblRentRoll[[#This Row],[Month_to_Expiry]]&lt;=6, "3-6 Monaten", IF(tblRentRoll[[#This Row],[Month_to_Expiry]]&lt;=12,"6-12 Monaten", IF(tblRentRoll[[#This Row],[Month_to_Expiry]]&gt;=12, "12 M+",)))))</f>
        <v>0-3 Monaten</v>
      </c>
      <c r="W332">
        <f>IF(tblRentRoll[[#This Row],[Status]]="Vacant", tblRentRoll[[#This Row],[Area_sqm]],0)</f>
        <v>0</v>
      </c>
      <c r="X332" s="3">
        <f>IF(tblRentRoll[[#This Row],[Status]]="Occupied", tblRentRoll[[#This Row],[Area_sqm]],0)</f>
        <v>221</v>
      </c>
      <c r="Y332" s="3">
        <f ca="1">tblRentRoll[[#This Row],[Month_to_Expiry]]/12*tblRentRoll[[#This Row],[Annual_Rent_EUR]]</f>
        <v>9209.52</v>
      </c>
      <c r="Z332" s="3"/>
    </row>
    <row r="333" spans="1:26" x14ac:dyDescent="0.35">
      <c r="A333" t="s">
        <v>17</v>
      </c>
      <c r="B333" t="s">
        <v>507</v>
      </c>
      <c r="C333" t="s">
        <v>19</v>
      </c>
      <c r="D333">
        <v>393</v>
      </c>
      <c r="E333" t="s">
        <v>15</v>
      </c>
      <c r="F333" t="s">
        <v>317</v>
      </c>
      <c r="G333">
        <v>3938.87</v>
      </c>
      <c r="H333">
        <v>47266.44</v>
      </c>
      <c r="I333" s="2">
        <f>tblRentRoll[[#This Row],[Monthly_Rent_EUR]]*12</f>
        <v>47266.44</v>
      </c>
      <c r="J333" s="2" t="str">
        <f>IF(tblRentRoll[[#This Row],[Annual_Rent_EUR]]&lt;&gt;tblRentRoll[[#This Row],[Jahresrente_EUR]], "FALSCH", "")</f>
        <v/>
      </c>
      <c r="K333" s="1">
        <v>44684</v>
      </c>
      <c r="L333" s="1">
        <v>44961</v>
      </c>
      <c r="M333">
        <v>1143.69</v>
      </c>
      <c r="N333">
        <v>741.89</v>
      </c>
      <c r="O33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3" t="str">
        <f>IF(tblRentRoll[[#This Row],[Area_sqm]]&lt;=0,"Area&lt;=0","")</f>
        <v/>
      </c>
      <c r="Q333" t="str">
        <f>IF(tblRentRoll[[#This Row],[Monthly_Rent_EUR]]&lt;=0,"Rent&lt;=0","")</f>
        <v/>
      </c>
      <c r="R333">
        <f>IF(AND(tblRentRoll[[#This Row],[Status]]="Occupied", tblRentRoll[[#This Row],[Area_sqm]]&gt;0), tblRentRoll[[#This Row],[Annual_Rent_EUR]]/tblRentRoll[[#This Row],[Area_sqm]],"")</f>
        <v>120.27083969465649</v>
      </c>
      <c r="S333">
        <f>tblRentRoll[[#This Row],[Service_Charge_EUR]]+tblRentRoll[[#This Row],[Operating_Cost_EUR]]</f>
        <v>1885.58</v>
      </c>
      <c r="T333">
        <f>IF(tblRentRoll[[#This Row],[Annual_Rent_EUR]]&lt;&gt;0,tblRentRoll[[#This Row],[Annual_Rent_EUR]]-tblRentRoll[[#This Row],[Operating_Cost_EUR]], "")</f>
        <v>46524.55</v>
      </c>
      <c r="U333">
        <f ca="1">IF(AND(tblRentRoll[[#This Row],[Status]]="Occupied",tblRentRoll[[#This Row],[Lease_End]]&gt;=TODAY()),DATEDIF(TODAY(),tblRentRoll[[#This Row],[Lease_End]],"m"), 0)</f>
        <v>0</v>
      </c>
      <c r="V333" t="str">
        <f ca="1">IF(tblRentRoll[[#This Row],[Status]]&lt;&gt;"Occupied","", IF(tblRentRoll[[#This Row],[Month_to_Expiry]]&lt;=3, "0-3 Monaten",  IF(tblRentRoll[[#This Row],[Month_to_Expiry]]&lt;=6, "3-6 Monaten", IF(tblRentRoll[[#This Row],[Month_to_Expiry]]&lt;=12,"6-12 Monaten", IF(tblRentRoll[[#This Row],[Month_to_Expiry]]&gt;=12, "12 M+",)))))</f>
        <v>0-3 Monaten</v>
      </c>
      <c r="W333">
        <f>IF(tblRentRoll[[#This Row],[Status]]="Vacant", tblRentRoll[[#This Row],[Area_sqm]],0)</f>
        <v>0</v>
      </c>
      <c r="X333" s="3">
        <f>IF(tblRentRoll[[#This Row],[Status]]="Occupied", tblRentRoll[[#This Row],[Area_sqm]],0)</f>
        <v>393</v>
      </c>
      <c r="Y333" s="3">
        <f ca="1">tblRentRoll[[#This Row],[Month_to_Expiry]]/12*tblRentRoll[[#This Row],[Annual_Rent_EUR]]</f>
        <v>0</v>
      </c>
      <c r="Z333" s="3"/>
    </row>
    <row r="334" spans="1:26" x14ac:dyDescent="0.35">
      <c r="A334" t="s">
        <v>24</v>
      </c>
      <c r="B334" t="s">
        <v>508</v>
      </c>
      <c r="C334" t="s">
        <v>19</v>
      </c>
      <c r="D334">
        <v>1055</v>
      </c>
      <c r="E334" t="s">
        <v>15</v>
      </c>
      <c r="F334" t="s">
        <v>509</v>
      </c>
      <c r="G334">
        <v>14461.26</v>
      </c>
      <c r="H334">
        <v>173535.12</v>
      </c>
      <c r="I334" s="2">
        <f>tblRentRoll[[#This Row],[Monthly_Rent_EUR]]*12</f>
        <v>173535.12</v>
      </c>
      <c r="J334" s="2" t="str">
        <f>IF(tblRentRoll[[#This Row],[Annual_Rent_EUR]]&lt;&gt;tblRentRoll[[#This Row],[Jahresrente_EUR]], "FALSCH", "")</f>
        <v/>
      </c>
      <c r="K334" s="1">
        <v>45032</v>
      </c>
      <c r="L334" s="1">
        <v>46759</v>
      </c>
      <c r="M334">
        <v>3014.05</v>
      </c>
      <c r="N334">
        <v>2348.25</v>
      </c>
      <c r="O33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4" t="str">
        <f>IF(tblRentRoll[[#This Row],[Area_sqm]]&lt;=0,"Area&lt;=0","")</f>
        <v/>
      </c>
      <c r="Q334" t="str">
        <f>IF(tblRentRoll[[#This Row],[Monthly_Rent_EUR]]&lt;=0,"Rent&lt;=0","")</f>
        <v/>
      </c>
      <c r="R334">
        <f>IF(AND(tblRentRoll[[#This Row],[Status]]="Occupied", tblRentRoll[[#This Row],[Area_sqm]]&gt;0), tblRentRoll[[#This Row],[Annual_Rent_EUR]]/tblRentRoll[[#This Row],[Area_sqm]],"")</f>
        <v>164.48826540284361</v>
      </c>
      <c r="S334">
        <f>tblRentRoll[[#This Row],[Service_Charge_EUR]]+tblRentRoll[[#This Row],[Operating_Cost_EUR]]</f>
        <v>5362.3</v>
      </c>
      <c r="T334">
        <f>IF(tblRentRoll[[#This Row],[Annual_Rent_EUR]]&lt;&gt;0,tblRentRoll[[#This Row],[Annual_Rent_EUR]]-tblRentRoll[[#This Row],[Operating_Cost_EUR]], "")</f>
        <v>171186.87</v>
      </c>
      <c r="U334">
        <f ca="1">IF(AND(tblRentRoll[[#This Row],[Status]]="Occupied",tblRentRoll[[#This Row],[Lease_End]]&gt;=TODAY()),DATEDIF(TODAY(),tblRentRoll[[#This Row],[Lease_End]],"m"), 0)</f>
        <v>21</v>
      </c>
      <c r="V334" t="str">
        <f ca="1">IF(tblRentRoll[[#This Row],[Status]]&lt;&gt;"Occupied","", IF(tblRentRoll[[#This Row],[Month_to_Expiry]]&lt;=3, "0-3 Monaten",  IF(tblRentRoll[[#This Row],[Month_to_Expiry]]&lt;=6, "3-6 Monaten", IF(tblRentRoll[[#This Row],[Month_to_Expiry]]&lt;=12,"6-12 Monaten", IF(tblRentRoll[[#This Row],[Month_to_Expiry]]&gt;=12, "12 M+",)))))</f>
        <v>12 M+</v>
      </c>
      <c r="W334">
        <f>IF(tblRentRoll[[#This Row],[Status]]="Vacant", tblRentRoll[[#This Row],[Area_sqm]],0)</f>
        <v>0</v>
      </c>
      <c r="X334" s="3">
        <f>IF(tblRentRoll[[#This Row],[Status]]="Occupied", tblRentRoll[[#This Row],[Area_sqm]],0)</f>
        <v>1055</v>
      </c>
      <c r="Y334" s="3">
        <f ca="1">tblRentRoll[[#This Row],[Month_to_Expiry]]/12*tblRentRoll[[#This Row],[Annual_Rent_EUR]]</f>
        <v>303686.45999999996</v>
      </c>
      <c r="Z334" s="3"/>
    </row>
    <row r="335" spans="1:26" x14ac:dyDescent="0.35">
      <c r="A335" t="s">
        <v>44</v>
      </c>
      <c r="B335" t="s">
        <v>510</v>
      </c>
      <c r="C335" t="s">
        <v>14</v>
      </c>
      <c r="D335">
        <v>1297</v>
      </c>
      <c r="E335" t="s">
        <v>15</v>
      </c>
      <c r="F335" t="s">
        <v>511</v>
      </c>
      <c r="G335">
        <v>8477.92</v>
      </c>
      <c r="H335">
        <v>101735.03999999999</v>
      </c>
      <c r="I335" s="2">
        <f>tblRentRoll[[#This Row],[Monthly_Rent_EUR]]*12</f>
        <v>101735.04000000001</v>
      </c>
      <c r="J335" s="2" t="str">
        <f>IF(tblRentRoll[[#This Row],[Annual_Rent_EUR]]&lt;&gt;tblRentRoll[[#This Row],[Jahresrente_EUR]], "FALSCH", "")</f>
        <v/>
      </c>
      <c r="K335" s="1">
        <v>44812</v>
      </c>
      <c r="L335" s="1">
        <v>45902</v>
      </c>
      <c r="M335">
        <v>3743.76</v>
      </c>
      <c r="N335">
        <v>2650.27</v>
      </c>
      <c r="O33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5" t="str">
        <f>IF(tblRentRoll[[#This Row],[Area_sqm]]&lt;=0,"Area&lt;=0","")</f>
        <v/>
      </c>
      <c r="Q335" t="str">
        <f>IF(tblRentRoll[[#This Row],[Monthly_Rent_EUR]]&lt;=0,"Rent&lt;=0","")</f>
        <v/>
      </c>
      <c r="R335">
        <f>IF(AND(tblRentRoll[[#This Row],[Status]]="Occupied", tblRentRoll[[#This Row],[Area_sqm]]&gt;0), tblRentRoll[[#This Row],[Annual_Rent_EUR]]/tblRentRoll[[#This Row],[Area_sqm]],"")</f>
        <v>78.438735543562061</v>
      </c>
      <c r="S335">
        <f>tblRentRoll[[#This Row],[Service_Charge_EUR]]+tblRentRoll[[#This Row],[Operating_Cost_EUR]]</f>
        <v>6394.0300000000007</v>
      </c>
      <c r="T335">
        <f>IF(tblRentRoll[[#This Row],[Annual_Rent_EUR]]&lt;&gt;0,tblRentRoll[[#This Row],[Annual_Rent_EUR]]-tblRentRoll[[#This Row],[Operating_Cost_EUR]], "")</f>
        <v>99084.76999999999</v>
      </c>
      <c r="U335">
        <f ca="1">IF(AND(tblRentRoll[[#This Row],[Status]]="Occupied",tblRentRoll[[#This Row],[Lease_End]]&gt;=TODAY()),DATEDIF(TODAY(),tblRentRoll[[#This Row],[Lease_End]],"m"), 0)</f>
        <v>0</v>
      </c>
      <c r="V335" t="str">
        <f ca="1">IF(tblRentRoll[[#This Row],[Status]]&lt;&gt;"Occupied","", IF(tblRentRoll[[#This Row],[Month_to_Expiry]]&lt;=3, "0-3 Monaten",  IF(tblRentRoll[[#This Row],[Month_to_Expiry]]&lt;=6, "3-6 Monaten", IF(tblRentRoll[[#This Row],[Month_to_Expiry]]&lt;=12,"6-12 Monaten", IF(tblRentRoll[[#This Row],[Month_to_Expiry]]&gt;=12, "12 M+",)))))</f>
        <v>0-3 Monaten</v>
      </c>
      <c r="W335">
        <f>IF(tblRentRoll[[#This Row],[Status]]="Vacant", tblRentRoll[[#This Row],[Area_sqm]],0)</f>
        <v>0</v>
      </c>
      <c r="X335" s="3">
        <f>IF(tblRentRoll[[#This Row],[Status]]="Occupied", tblRentRoll[[#This Row],[Area_sqm]],0)</f>
        <v>1297</v>
      </c>
      <c r="Y335" s="3">
        <f ca="1">tblRentRoll[[#This Row],[Month_to_Expiry]]/12*tblRentRoll[[#This Row],[Annual_Rent_EUR]]</f>
        <v>0</v>
      </c>
      <c r="Z335" s="3"/>
    </row>
    <row r="336" spans="1:26" x14ac:dyDescent="0.35">
      <c r="A336" t="s">
        <v>27</v>
      </c>
      <c r="B336" t="s">
        <v>512</v>
      </c>
      <c r="C336" t="s">
        <v>19</v>
      </c>
      <c r="D336">
        <v>901</v>
      </c>
      <c r="E336" t="s">
        <v>15</v>
      </c>
      <c r="F336" t="s">
        <v>98</v>
      </c>
      <c r="G336">
        <v>14194.61</v>
      </c>
      <c r="H336">
        <v>170335.32</v>
      </c>
      <c r="I336" s="2">
        <f>tblRentRoll[[#This Row],[Monthly_Rent_EUR]]*12</f>
        <v>170335.32</v>
      </c>
      <c r="J336" s="2" t="str">
        <f>IF(tblRentRoll[[#This Row],[Annual_Rent_EUR]]&lt;&gt;tblRentRoll[[#This Row],[Jahresrente_EUR]], "FALSCH", "")</f>
        <v/>
      </c>
      <c r="K336" s="1">
        <v>44331</v>
      </c>
      <c r="L336" s="1">
        <v>45806</v>
      </c>
      <c r="M336">
        <v>2674.58</v>
      </c>
      <c r="N336">
        <v>1193.1300000000001</v>
      </c>
      <c r="O33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6" t="str">
        <f>IF(tblRentRoll[[#This Row],[Area_sqm]]&lt;=0,"Area&lt;=0","")</f>
        <v/>
      </c>
      <c r="Q336" t="str">
        <f>IF(tblRentRoll[[#This Row],[Monthly_Rent_EUR]]&lt;=0,"Rent&lt;=0","")</f>
        <v/>
      </c>
      <c r="R336">
        <f>IF(AND(tblRentRoll[[#This Row],[Status]]="Occupied", tblRentRoll[[#This Row],[Area_sqm]]&gt;0), tblRentRoll[[#This Row],[Annual_Rent_EUR]]/tblRentRoll[[#This Row],[Area_sqm]],"")</f>
        <v>189.05140954495008</v>
      </c>
      <c r="S336">
        <f>tblRentRoll[[#This Row],[Service_Charge_EUR]]+tblRentRoll[[#This Row],[Operating_Cost_EUR]]</f>
        <v>3867.71</v>
      </c>
      <c r="T336">
        <f>IF(tblRentRoll[[#This Row],[Annual_Rent_EUR]]&lt;&gt;0,tblRentRoll[[#This Row],[Annual_Rent_EUR]]-tblRentRoll[[#This Row],[Operating_Cost_EUR]], "")</f>
        <v>169142.19</v>
      </c>
      <c r="U336">
        <f ca="1">IF(AND(tblRentRoll[[#This Row],[Status]]="Occupied",tblRentRoll[[#This Row],[Lease_End]]&gt;=TODAY()),DATEDIF(TODAY(),tblRentRoll[[#This Row],[Lease_End]],"m"), 0)</f>
        <v>0</v>
      </c>
      <c r="V336" t="str">
        <f ca="1">IF(tblRentRoll[[#This Row],[Status]]&lt;&gt;"Occupied","", IF(tblRentRoll[[#This Row],[Month_to_Expiry]]&lt;=3, "0-3 Monaten",  IF(tblRentRoll[[#This Row],[Month_to_Expiry]]&lt;=6, "3-6 Monaten", IF(tblRentRoll[[#This Row],[Month_to_Expiry]]&lt;=12,"6-12 Monaten", IF(tblRentRoll[[#This Row],[Month_to_Expiry]]&gt;=12, "12 M+",)))))</f>
        <v>0-3 Monaten</v>
      </c>
      <c r="W336">
        <f>IF(tblRentRoll[[#This Row],[Status]]="Vacant", tblRentRoll[[#This Row],[Area_sqm]],0)</f>
        <v>0</v>
      </c>
      <c r="X336" s="3">
        <f>IF(tblRentRoll[[#This Row],[Status]]="Occupied", tblRentRoll[[#This Row],[Area_sqm]],0)</f>
        <v>901</v>
      </c>
      <c r="Y336" s="3">
        <f ca="1">tblRentRoll[[#This Row],[Month_to_Expiry]]/12*tblRentRoll[[#This Row],[Annual_Rent_EUR]]</f>
        <v>0</v>
      </c>
      <c r="Z336" s="3"/>
    </row>
    <row r="337" spans="1:26" x14ac:dyDescent="0.35">
      <c r="A337" t="s">
        <v>17</v>
      </c>
      <c r="B337" t="s">
        <v>513</v>
      </c>
      <c r="C337" t="s">
        <v>29</v>
      </c>
      <c r="D337">
        <v>1471</v>
      </c>
      <c r="E337" t="s">
        <v>20</v>
      </c>
      <c r="G337">
        <v>0</v>
      </c>
      <c r="H337">
        <v>0</v>
      </c>
      <c r="I337" s="2">
        <f>tblRentRoll[[#This Row],[Monthly_Rent_EUR]]*12</f>
        <v>0</v>
      </c>
      <c r="J337" s="2" t="str">
        <f>IF(tblRentRoll[[#This Row],[Annual_Rent_EUR]]&lt;&gt;tblRentRoll[[#This Row],[Jahresrente_EUR]], "FALSCH", "")</f>
        <v/>
      </c>
      <c r="M337">
        <v>1484.76</v>
      </c>
      <c r="N337">
        <v>2212.84</v>
      </c>
      <c r="O33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7" t="str">
        <f>IF(tblRentRoll[[#This Row],[Area_sqm]]&lt;=0,"Area&lt;=0","")</f>
        <v/>
      </c>
      <c r="Q337" t="str">
        <f>IF(tblRentRoll[[#This Row],[Monthly_Rent_EUR]]&lt;=0,"Rent&lt;=0","")</f>
        <v>Rent&lt;=0</v>
      </c>
      <c r="R337" t="str">
        <f>IF(AND(tblRentRoll[[#This Row],[Status]]="Occupied", tblRentRoll[[#This Row],[Area_sqm]]&gt;0), tblRentRoll[[#This Row],[Annual_Rent_EUR]]/tblRentRoll[[#This Row],[Area_sqm]],"")</f>
        <v/>
      </c>
      <c r="S337">
        <f>tblRentRoll[[#This Row],[Service_Charge_EUR]]+tblRentRoll[[#This Row],[Operating_Cost_EUR]]</f>
        <v>3697.6000000000004</v>
      </c>
      <c r="T337" t="str">
        <f>IF(tblRentRoll[[#This Row],[Annual_Rent_EUR]]&lt;&gt;0,tblRentRoll[[#This Row],[Annual_Rent_EUR]]-tblRentRoll[[#This Row],[Operating_Cost_EUR]], "")</f>
        <v/>
      </c>
      <c r="U337">
        <f ca="1">IF(AND(tblRentRoll[[#This Row],[Status]]="Occupied",tblRentRoll[[#This Row],[Lease_End]]&gt;=TODAY()),DATEDIF(TODAY(),tblRentRoll[[#This Row],[Lease_End]],"m"), 0)</f>
        <v>0</v>
      </c>
      <c r="V337" t="str">
        <f>IF(tblRentRoll[[#This Row],[Status]]&lt;&gt;"Occupied","", IF(tblRentRoll[[#This Row],[Month_to_Expiry]]&lt;=3, "0-3 Monaten",  IF(tblRentRoll[[#This Row],[Month_to_Expiry]]&lt;=6, "3-6 Monaten", IF(tblRentRoll[[#This Row],[Month_to_Expiry]]&lt;=12,"6-12 Monaten", IF(tblRentRoll[[#This Row],[Month_to_Expiry]]&gt;=12, "12 M+",)))))</f>
        <v/>
      </c>
      <c r="W337">
        <f>IF(tblRentRoll[[#This Row],[Status]]="Vacant", tblRentRoll[[#This Row],[Area_sqm]],0)</f>
        <v>1471</v>
      </c>
      <c r="X337" s="3">
        <f>IF(tblRentRoll[[#This Row],[Status]]="Occupied", tblRentRoll[[#This Row],[Area_sqm]],0)</f>
        <v>0</v>
      </c>
      <c r="Y337" s="3">
        <f ca="1">tblRentRoll[[#This Row],[Month_to_Expiry]]/12*tblRentRoll[[#This Row],[Annual_Rent_EUR]]</f>
        <v>0</v>
      </c>
      <c r="Z337" s="3"/>
    </row>
    <row r="338" spans="1:26" x14ac:dyDescent="0.35">
      <c r="A338" t="s">
        <v>21</v>
      </c>
      <c r="B338" t="s">
        <v>514</v>
      </c>
      <c r="C338" t="s">
        <v>33</v>
      </c>
      <c r="D338">
        <v>927</v>
      </c>
      <c r="E338" t="s">
        <v>15</v>
      </c>
      <c r="F338" t="s">
        <v>429</v>
      </c>
      <c r="G338">
        <v>6771.59</v>
      </c>
      <c r="H338">
        <v>81259.08</v>
      </c>
      <c r="I338" s="2">
        <f>tblRentRoll[[#This Row],[Monthly_Rent_EUR]]*12</f>
        <v>81259.08</v>
      </c>
      <c r="J338" s="2" t="str">
        <f>IF(tblRentRoll[[#This Row],[Annual_Rent_EUR]]&lt;&gt;tblRentRoll[[#This Row],[Jahresrente_EUR]], "FALSCH", "")</f>
        <v/>
      </c>
      <c r="K338" s="1">
        <v>44424</v>
      </c>
      <c r="L338" s="1">
        <v>45628</v>
      </c>
      <c r="M338">
        <v>1834.65</v>
      </c>
      <c r="N338">
        <v>1915.06</v>
      </c>
      <c r="O33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8" t="str">
        <f>IF(tblRentRoll[[#This Row],[Area_sqm]]&lt;=0,"Area&lt;=0","")</f>
        <v/>
      </c>
      <c r="Q338" t="str">
        <f>IF(tblRentRoll[[#This Row],[Monthly_Rent_EUR]]&lt;=0,"Rent&lt;=0","")</f>
        <v/>
      </c>
      <c r="R338">
        <f>IF(AND(tblRentRoll[[#This Row],[Status]]="Occupied", tblRentRoll[[#This Row],[Area_sqm]]&gt;0), tblRentRoll[[#This Row],[Annual_Rent_EUR]]/tblRentRoll[[#This Row],[Area_sqm]],"")</f>
        <v>87.658122977346281</v>
      </c>
      <c r="S338">
        <f>tblRentRoll[[#This Row],[Service_Charge_EUR]]+tblRentRoll[[#This Row],[Operating_Cost_EUR]]</f>
        <v>3749.71</v>
      </c>
      <c r="T338">
        <f>IF(tblRentRoll[[#This Row],[Annual_Rent_EUR]]&lt;&gt;0,tblRentRoll[[#This Row],[Annual_Rent_EUR]]-tblRentRoll[[#This Row],[Operating_Cost_EUR]], "")</f>
        <v>79344.02</v>
      </c>
      <c r="U338">
        <f ca="1">IF(AND(tblRentRoll[[#This Row],[Status]]="Occupied",tblRentRoll[[#This Row],[Lease_End]]&gt;=TODAY()),DATEDIF(TODAY(),tblRentRoll[[#This Row],[Lease_End]],"m"), 0)</f>
        <v>0</v>
      </c>
      <c r="V338" t="str">
        <f ca="1">IF(tblRentRoll[[#This Row],[Status]]&lt;&gt;"Occupied","", IF(tblRentRoll[[#This Row],[Month_to_Expiry]]&lt;=3, "0-3 Monaten",  IF(tblRentRoll[[#This Row],[Month_to_Expiry]]&lt;=6, "3-6 Monaten", IF(tblRentRoll[[#This Row],[Month_to_Expiry]]&lt;=12,"6-12 Monaten", IF(tblRentRoll[[#This Row],[Month_to_Expiry]]&gt;=12, "12 M+",)))))</f>
        <v>0-3 Monaten</v>
      </c>
      <c r="W338">
        <f>IF(tblRentRoll[[#This Row],[Status]]="Vacant", tblRentRoll[[#This Row],[Area_sqm]],0)</f>
        <v>0</v>
      </c>
      <c r="X338" s="3">
        <f>IF(tblRentRoll[[#This Row],[Status]]="Occupied", tblRentRoll[[#This Row],[Area_sqm]],0)</f>
        <v>927</v>
      </c>
      <c r="Y338" s="3">
        <f ca="1">tblRentRoll[[#This Row],[Month_to_Expiry]]/12*tblRentRoll[[#This Row],[Annual_Rent_EUR]]</f>
        <v>0</v>
      </c>
      <c r="Z338" s="3"/>
    </row>
    <row r="339" spans="1:26" x14ac:dyDescent="0.35">
      <c r="A339" t="s">
        <v>24</v>
      </c>
      <c r="B339" t="s">
        <v>515</v>
      </c>
      <c r="C339" t="s">
        <v>14</v>
      </c>
      <c r="D339">
        <v>572</v>
      </c>
      <c r="E339" t="s">
        <v>15</v>
      </c>
      <c r="F339" t="s">
        <v>35</v>
      </c>
      <c r="G339">
        <v>8921.52</v>
      </c>
      <c r="H339">
        <v>107058.24000000001</v>
      </c>
      <c r="I339" s="2">
        <f>tblRentRoll[[#This Row],[Monthly_Rent_EUR]]*12</f>
        <v>107058.24000000001</v>
      </c>
      <c r="J339" s="2" t="str">
        <f>IF(tblRentRoll[[#This Row],[Annual_Rent_EUR]]&lt;&gt;tblRentRoll[[#This Row],[Jahresrente_EUR]], "FALSCH", "")</f>
        <v/>
      </c>
      <c r="K339" s="1">
        <v>44517</v>
      </c>
      <c r="L339" s="1">
        <v>44923</v>
      </c>
      <c r="M339">
        <v>1130.2</v>
      </c>
      <c r="N339">
        <v>555.63</v>
      </c>
      <c r="O33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39" t="str">
        <f>IF(tblRentRoll[[#This Row],[Area_sqm]]&lt;=0,"Area&lt;=0","")</f>
        <v/>
      </c>
      <c r="Q339" t="str">
        <f>IF(tblRentRoll[[#This Row],[Monthly_Rent_EUR]]&lt;=0,"Rent&lt;=0","")</f>
        <v/>
      </c>
      <c r="R339">
        <f>IF(AND(tblRentRoll[[#This Row],[Status]]="Occupied", tblRentRoll[[#This Row],[Area_sqm]]&gt;0), tblRentRoll[[#This Row],[Annual_Rent_EUR]]/tblRentRoll[[#This Row],[Area_sqm]],"")</f>
        <v>187.16475524475524</v>
      </c>
      <c r="S339">
        <f>tblRentRoll[[#This Row],[Service_Charge_EUR]]+tblRentRoll[[#This Row],[Operating_Cost_EUR]]</f>
        <v>1685.83</v>
      </c>
      <c r="T339">
        <f>IF(tblRentRoll[[#This Row],[Annual_Rent_EUR]]&lt;&gt;0,tblRentRoll[[#This Row],[Annual_Rent_EUR]]-tblRentRoll[[#This Row],[Operating_Cost_EUR]], "")</f>
        <v>106502.61</v>
      </c>
      <c r="U339">
        <f ca="1">IF(AND(tblRentRoll[[#This Row],[Status]]="Occupied",tblRentRoll[[#This Row],[Lease_End]]&gt;=TODAY()),DATEDIF(TODAY(),tblRentRoll[[#This Row],[Lease_End]],"m"), 0)</f>
        <v>0</v>
      </c>
      <c r="V339" t="str">
        <f ca="1">IF(tblRentRoll[[#This Row],[Status]]&lt;&gt;"Occupied","", IF(tblRentRoll[[#This Row],[Month_to_Expiry]]&lt;=3, "0-3 Monaten",  IF(tblRentRoll[[#This Row],[Month_to_Expiry]]&lt;=6, "3-6 Monaten", IF(tblRentRoll[[#This Row],[Month_to_Expiry]]&lt;=12,"6-12 Monaten", IF(tblRentRoll[[#This Row],[Month_to_Expiry]]&gt;=12, "12 M+",)))))</f>
        <v>0-3 Monaten</v>
      </c>
      <c r="W339">
        <f>IF(tblRentRoll[[#This Row],[Status]]="Vacant", tblRentRoll[[#This Row],[Area_sqm]],0)</f>
        <v>0</v>
      </c>
      <c r="X339" s="3">
        <f>IF(tblRentRoll[[#This Row],[Status]]="Occupied", tblRentRoll[[#This Row],[Area_sqm]],0)</f>
        <v>572</v>
      </c>
      <c r="Y339" s="3">
        <f ca="1">tblRentRoll[[#This Row],[Month_to_Expiry]]/12*tblRentRoll[[#This Row],[Annual_Rent_EUR]]</f>
        <v>0</v>
      </c>
      <c r="Z339" s="3"/>
    </row>
    <row r="340" spans="1:26" x14ac:dyDescent="0.35">
      <c r="A340" t="s">
        <v>44</v>
      </c>
      <c r="B340" t="s">
        <v>516</v>
      </c>
      <c r="C340" t="s">
        <v>33</v>
      </c>
      <c r="D340">
        <v>1388</v>
      </c>
      <c r="E340" t="s">
        <v>15</v>
      </c>
      <c r="F340" t="s">
        <v>164</v>
      </c>
      <c r="G340">
        <v>15260.85</v>
      </c>
      <c r="H340">
        <v>183130.2</v>
      </c>
      <c r="I340" s="2">
        <f>tblRentRoll[[#This Row],[Monthly_Rent_EUR]]*12</f>
        <v>183130.2</v>
      </c>
      <c r="J340" s="2" t="str">
        <f>IF(tblRentRoll[[#This Row],[Annual_Rent_EUR]]&lt;&gt;tblRentRoll[[#This Row],[Jahresrente_EUR]], "FALSCH", "")</f>
        <v/>
      </c>
      <c r="K340" s="1">
        <v>44745</v>
      </c>
      <c r="L340" s="1">
        <v>45776</v>
      </c>
      <c r="M340">
        <v>4050.3</v>
      </c>
      <c r="N340">
        <v>2859.92</v>
      </c>
      <c r="O34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0" t="str">
        <f>IF(tblRentRoll[[#This Row],[Area_sqm]]&lt;=0,"Area&lt;=0","")</f>
        <v/>
      </c>
      <c r="Q340" t="str">
        <f>IF(tblRentRoll[[#This Row],[Monthly_Rent_EUR]]&lt;=0,"Rent&lt;=0","")</f>
        <v/>
      </c>
      <c r="R340">
        <f>IF(AND(tblRentRoll[[#This Row],[Status]]="Occupied", tblRentRoll[[#This Row],[Area_sqm]]&gt;0), tblRentRoll[[#This Row],[Annual_Rent_EUR]]/tblRentRoll[[#This Row],[Area_sqm]],"")</f>
        <v>131.93818443804037</v>
      </c>
      <c r="S340">
        <f>tblRentRoll[[#This Row],[Service_Charge_EUR]]+tblRentRoll[[#This Row],[Operating_Cost_EUR]]</f>
        <v>6910.22</v>
      </c>
      <c r="T340">
        <f>IF(tblRentRoll[[#This Row],[Annual_Rent_EUR]]&lt;&gt;0,tblRentRoll[[#This Row],[Annual_Rent_EUR]]-tblRentRoll[[#This Row],[Operating_Cost_EUR]], "")</f>
        <v>180270.28</v>
      </c>
      <c r="U340">
        <f ca="1">IF(AND(tblRentRoll[[#This Row],[Status]]="Occupied",tblRentRoll[[#This Row],[Lease_End]]&gt;=TODAY()),DATEDIF(TODAY(),tblRentRoll[[#This Row],[Lease_End]],"m"), 0)</f>
        <v>0</v>
      </c>
      <c r="V340" t="str">
        <f ca="1">IF(tblRentRoll[[#This Row],[Status]]&lt;&gt;"Occupied","", IF(tblRentRoll[[#This Row],[Month_to_Expiry]]&lt;=3, "0-3 Monaten",  IF(tblRentRoll[[#This Row],[Month_to_Expiry]]&lt;=6, "3-6 Monaten", IF(tblRentRoll[[#This Row],[Month_to_Expiry]]&lt;=12,"6-12 Monaten", IF(tblRentRoll[[#This Row],[Month_to_Expiry]]&gt;=12, "12 M+",)))))</f>
        <v>0-3 Monaten</v>
      </c>
      <c r="W340">
        <f>IF(tblRentRoll[[#This Row],[Status]]="Vacant", tblRentRoll[[#This Row],[Area_sqm]],0)</f>
        <v>0</v>
      </c>
      <c r="X340" s="3">
        <f>IF(tblRentRoll[[#This Row],[Status]]="Occupied", tblRentRoll[[#This Row],[Area_sqm]],0)</f>
        <v>1388</v>
      </c>
      <c r="Y340" s="3">
        <f ca="1">tblRentRoll[[#This Row],[Month_to_Expiry]]/12*tblRentRoll[[#This Row],[Annual_Rent_EUR]]</f>
        <v>0</v>
      </c>
      <c r="Z340" s="3"/>
    </row>
    <row r="341" spans="1:26" x14ac:dyDescent="0.35">
      <c r="A341" t="s">
        <v>31</v>
      </c>
      <c r="B341" t="s">
        <v>517</v>
      </c>
      <c r="C341" t="s">
        <v>19</v>
      </c>
      <c r="D341">
        <v>81</v>
      </c>
      <c r="E341" t="s">
        <v>15</v>
      </c>
      <c r="F341" t="s">
        <v>86</v>
      </c>
      <c r="G341">
        <v>750.41</v>
      </c>
      <c r="H341">
        <v>9004.92</v>
      </c>
      <c r="I341" s="2">
        <f>tblRentRoll[[#This Row],[Monthly_Rent_EUR]]*12</f>
        <v>9004.92</v>
      </c>
      <c r="J341" s="2" t="str">
        <f>IF(tblRentRoll[[#This Row],[Annual_Rent_EUR]]&lt;&gt;tblRentRoll[[#This Row],[Jahresrente_EUR]], "FALSCH", "")</f>
        <v/>
      </c>
      <c r="K341" s="1">
        <v>44360</v>
      </c>
      <c r="L341" s="1">
        <v>44581</v>
      </c>
      <c r="M341">
        <v>154.77000000000001</v>
      </c>
      <c r="N341">
        <v>66.69</v>
      </c>
      <c r="O34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1" t="str">
        <f>IF(tblRentRoll[[#This Row],[Area_sqm]]&lt;=0,"Area&lt;=0","")</f>
        <v/>
      </c>
      <c r="Q341" t="str">
        <f>IF(tblRentRoll[[#This Row],[Monthly_Rent_EUR]]&lt;=0,"Rent&lt;=0","")</f>
        <v/>
      </c>
      <c r="R341">
        <f>IF(AND(tblRentRoll[[#This Row],[Status]]="Occupied", tblRentRoll[[#This Row],[Area_sqm]]&gt;0), tblRentRoll[[#This Row],[Annual_Rent_EUR]]/tblRentRoll[[#This Row],[Area_sqm]],"")</f>
        <v>111.17185185185186</v>
      </c>
      <c r="S341">
        <f>tblRentRoll[[#This Row],[Service_Charge_EUR]]+tblRentRoll[[#This Row],[Operating_Cost_EUR]]</f>
        <v>221.46</v>
      </c>
      <c r="T341">
        <f>IF(tblRentRoll[[#This Row],[Annual_Rent_EUR]]&lt;&gt;0,tblRentRoll[[#This Row],[Annual_Rent_EUR]]-tblRentRoll[[#This Row],[Operating_Cost_EUR]], "")</f>
        <v>8938.23</v>
      </c>
      <c r="U341">
        <f ca="1">IF(AND(tblRentRoll[[#This Row],[Status]]="Occupied",tblRentRoll[[#This Row],[Lease_End]]&gt;=TODAY()),DATEDIF(TODAY(),tblRentRoll[[#This Row],[Lease_End]],"m"), 0)</f>
        <v>0</v>
      </c>
      <c r="V341" t="str">
        <f ca="1">IF(tblRentRoll[[#This Row],[Status]]&lt;&gt;"Occupied","", IF(tblRentRoll[[#This Row],[Month_to_Expiry]]&lt;=3, "0-3 Monaten",  IF(tblRentRoll[[#This Row],[Month_to_Expiry]]&lt;=6, "3-6 Monaten", IF(tblRentRoll[[#This Row],[Month_to_Expiry]]&lt;=12,"6-12 Monaten", IF(tblRentRoll[[#This Row],[Month_to_Expiry]]&gt;=12, "12 M+",)))))</f>
        <v>0-3 Monaten</v>
      </c>
      <c r="W341">
        <f>IF(tblRentRoll[[#This Row],[Status]]="Vacant", tblRentRoll[[#This Row],[Area_sqm]],0)</f>
        <v>0</v>
      </c>
      <c r="X341" s="3">
        <f>IF(tblRentRoll[[#This Row],[Status]]="Occupied", tblRentRoll[[#This Row],[Area_sqm]],0)</f>
        <v>81</v>
      </c>
      <c r="Y341" s="3">
        <f ca="1">tblRentRoll[[#This Row],[Month_to_Expiry]]/12*tblRentRoll[[#This Row],[Annual_Rent_EUR]]</f>
        <v>0</v>
      </c>
      <c r="Z341" s="3"/>
    </row>
    <row r="342" spans="1:26" x14ac:dyDescent="0.35">
      <c r="A342" t="s">
        <v>17</v>
      </c>
      <c r="B342" t="s">
        <v>518</v>
      </c>
      <c r="C342" t="s">
        <v>14</v>
      </c>
      <c r="D342">
        <v>279</v>
      </c>
      <c r="E342" t="s">
        <v>15</v>
      </c>
      <c r="F342" t="s">
        <v>219</v>
      </c>
      <c r="G342">
        <v>2970.96</v>
      </c>
      <c r="H342">
        <v>35651.519999999997</v>
      </c>
      <c r="I342" s="2">
        <f>tblRentRoll[[#This Row],[Monthly_Rent_EUR]]*12</f>
        <v>35651.520000000004</v>
      </c>
      <c r="J342" s="2" t="str">
        <f>IF(tblRentRoll[[#This Row],[Annual_Rent_EUR]]&lt;&gt;tblRentRoll[[#This Row],[Jahresrente_EUR]], "FALSCH", "")</f>
        <v/>
      </c>
      <c r="K342" s="1">
        <v>44833</v>
      </c>
      <c r="L342" s="1">
        <v>46252</v>
      </c>
      <c r="M342">
        <v>314.29000000000002</v>
      </c>
      <c r="N342">
        <v>490.96</v>
      </c>
      <c r="O34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2" t="str">
        <f>IF(tblRentRoll[[#This Row],[Area_sqm]]&lt;=0,"Area&lt;=0","")</f>
        <v/>
      </c>
      <c r="Q342" t="str">
        <f>IF(tblRentRoll[[#This Row],[Monthly_Rent_EUR]]&lt;=0,"Rent&lt;=0","")</f>
        <v/>
      </c>
      <c r="R342">
        <f>IF(AND(tblRentRoll[[#This Row],[Status]]="Occupied", tblRentRoll[[#This Row],[Area_sqm]]&gt;0), tblRentRoll[[#This Row],[Annual_Rent_EUR]]/tblRentRoll[[#This Row],[Area_sqm]],"")</f>
        <v>127.7832258064516</v>
      </c>
      <c r="S342">
        <f>tblRentRoll[[#This Row],[Service_Charge_EUR]]+tblRentRoll[[#This Row],[Operating_Cost_EUR]]</f>
        <v>805.25</v>
      </c>
      <c r="T342">
        <f>IF(tblRentRoll[[#This Row],[Annual_Rent_EUR]]&lt;&gt;0,tblRentRoll[[#This Row],[Annual_Rent_EUR]]-tblRentRoll[[#This Row],[Operating_Cost_EUR]], "")</f>
        <v>35160.559999999998</v>
      </c>
      <c r="U342">
        <f ca="1">IF(AND(tblRentRoll[[#This Row],[Status]]="Occupied",tblRentRoll[[#This Row],[Lease_End]]&gt;=TODAY()),DATEDIF(TODAY(),tblRentRoll[[#This Row],[Lease_End]],"m"), 0)</f>
        <v>5</v>
      </c>
      <c r="V342" t="str">
        <f ca="1">IF(tblRentRoll[[#This Row],[Status]]&lt;&gt;"Occupied","", IF(tblRentRoll[[#This Row],[Month_to_Expiry]]&lt;=3, "0-3 Monaten",  IF(tblRentRoll[[#This Row],[Month_to_Expiry]]&lt;=6, "3-6 Monaten", IF(tblRentRoll[[#This Row],[Month_to_Expiry]]&lt;=12,"6-12 Monaten", IF(tblRentRoll[[#This Row],[Month_to_Expiry]]&gt;=12, "12 M+",)))))</f>
        <v>3-6 Monaten</v>
      </c>
      <c r="W342">
        <f>IF(tblRentRoll[[#This Row],[Status]]="Vacant", tblRentRoll[[#This Row],[Area_sqm]],0)</f>
        <v>0</v>
      </c>
      <c r="X342" s="3">
        <f>IF(tblRentRoll[[#This Row],[Status]]="Occupied", tblRentRoll[[#This Row],[Area_sqm]],0)</f>
        <v>279</v>
      </c>
      <c r="Y342" s="3">
        <f ca="1">tblRentRoll[[#This Row],[Month_to_Expiry]]/12*tblRentRoll[[#This Row],[Annual_Rent_EUR]]</f>
        <v>14854.8</v>
      </c>
      <c r="Z342" s="3"/>
    </row>
    <row r="343" spans="1:26" x14ac:dyDescent="0.35">
      <c r="A343" t="s">
        <v>24</v>
      </c>
      <c r="B343" t="s">
        <v>519</v>
      </c>
      <c r="C343" t="s">
        <v>19</v>
      </c>
      <c r="D343">
        <v>712</v>
      </c>
      <c r="E343" t="s">
        <v>20</v>
      </c>
      <c r="G343">
        <v>0</v>
      </c>
      <c r="H343">
        <v>0</v>
      </c>
      <c r="I343" s="2">
        <f>tblRentRoll[[#This Row],[Monthly_Rent_EUR]]*12</f>
        <v>0</v>
      </c>
      <c r="J343" s="2" t="str">
        <f>IF(tblRentRoll[[#This Row],[Annual_Rent_EUR]]&lt;&gt;tblRentRoll[[#This Row],[Jahresrente_EUR]], "FALSCH", "")</f>
        <v/>
      </c>
      <c r="M343">
        <v>1503.84</v>
      </c>
      <c r="N343">
        <v>1525.24</v>
      </c>
      <c r="O34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3" t="str">
        <f>IF(tblRentRoll[[#This Row],[Area_sqm]]&lt;=0,"Area&lt;=0","")</f>
        <v/>
      </c>
      <c r="Q343" t="str">
        <f>IF(tblRentRoll[[#This Row],[Monthly_Rent_EUR]]&lt;=0,"Rent&lt;=0","")</f>
        <v>Rent&lt;=0</v>
      </c>
      <c r="R343" t="str">
        <f>IF(AND(tblRentRoll[[#This Row],[Status]]="Occupied", tblRentRoll[[#This Row],[Area_sqm]]&gt;0), tblRentRoll[[#This Row],[Annual_Rent_EUR]]/tblRentRoll[[#This Row],[Area_sqm]],"")</f>
        <v/>
      </c>
      <c r="S343">
        <f>tblRentRoll[[#This Row],[Service_Charge_EUR]]+tblRentRoll[[#This Row],[Operating_Cost_EUR]]</f>
        <v>3029.08</v>
      </c>
      <c r="T343" t="str">
        <f>IF(tblRentRoll[[#This Row],[Annual_Rent_EUR]]&lt;&gt;0,tblRentRoll[[#This Row],[Annual_Rent_EUR]]-tblRentRoll[[#This Row],[Operating_Cost_EUR]], "")</f>
        <v/>
      </c>
      <c r="U343">
        <f ca="1">IF(AND(tblRentRoll[[#This Row],[Status]]="Occupied",tblRentRoll[[#This Row],[Lease_End]]&gt;=TODAY()),DATEDIF(TODAY(),tblRentRoll[[#This Row],[Lease_End]],"m"), 0)</f>
        <v>0</v>
      </c>
      <c r="V343" t="str">
        <f>IF(tblRentRoll[[#This Row],[Status]]&lt;&gt;"Occupied","", IF(tblRentRoll[[#This Row],[Month_to_Expiry]]&lt;=3, "0-3 Monaten",  IF(tblRentRoll[[#This Row],[Month_to_Expiry]]&lt;=6, "3-6 Monaten", IF(tblRentRoll[[#This Row],[Month_to_Expiry]]&lt;=12,"6-12 Monaten", IF(tblRentRoll[[#This Row],[Month_to_Expiry]]&gt;=12, "12 M+",)))))</f>
        <v/>
      </c>
      <c r="W343">
        <f>IF(tblRentRoll[[#This Row],[Status]]="Vacant", tblRentRoll[[#This Row],[Area_sqm]],0)</f>
        <v>712</v>
      </c>
      <c r="X343" s="3">
        <f>IF(tblRentRoll[[#This Row],[Status]]="Occupied", tblRentRoll[[#This Row],[Area_sqm]],0)</f>
        <v>0</v>
      </c>
      <c r="Y343" s="3">
        <f ca="1">tblRentRoll[[#This Row],[Month_to_Expiry]]/12*tblRentRoll[[#This Row],[Annual_Rent_EUR]]</f>
        <v>0</v>
      </c>
      <c r="Z343" s="3"/>
    </row>
    <row r="344" spans="1:26" x14ac:dyDescent="0.35">
      <c r="A344" t="s">
        <v>56</v>
      </c>
      <c r="B344" t="s">
        <v>520</v>
      </c>
      <c r="C344" t="s">
        <v>19</v>
      </c>
      <c r="D344">
        <v>137</v>
      </c>
      <c r="E344" t="s">
        <v>15</v>
      </c>
      <c r="F344" t="s">
        <v>268</v>
      </c>
      <c r="G344">
        <v>971.76</v>
      </c>
      <c r="H344">
        <v>11661.12</v>
      </c>
      <c r="I344" s="2">
        <f>tblRentRoll[[#This Row],[Monthly_Rent_EUR]]*12</f>
        <v>11661.119999999999</v>
      </c>
      <c r="J344" s="2" t="str">
        <f>IF(tblRentRoll[[#This Row],[Annual_Rent_EUR]]&lt;&gt;tblRentRoll[[#This Row],[Jahresrente_EUR]], "FALSCH", "")</f>
        <v/>
      </c>
      <c r="K344" s="1">
        <v>44996</v>
      </c>
      <c r="L344" s="1">
        <v>46043</v>
      </c>
      <c r="M344">
        <v>209.69</v>
      </c>
      <c r="N344">
        <v>105.28</v>
      </c>
      <c r="O34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4" t="str">
        <f>IF(tblRentRoll[[#This Row],[Area_sqm]]&lt;=0,"Area&lt;=0","")</f>
        <v/>
      </c>
      <c r="Q344" t="str">
        <f>IF(tblRentRoll[[#This Row],[Monthly_Rent_EUR]]&lt;=0,"Rent&lt;=0","")</f>
        <v/>
      </c>
      <c r="R344">
        <f>IF(AND(tblRentRoll[[#This Row],[Status]]="Occupied", tblRentRoll[[#This Row],[Area_sqm]]&gt;0), tblRentRoll[[#This Row],[Annual_Rent_EUR]]/tblRentRoll[[#This Row],[Area_sqm]],"")</f>
        <v>85.117664233576647</v>
      </c>
      <c r="S344">
        <f>tblRentRoll[[#This Row],[Service_Charge_EUR]]+tblRentRoll[[#This Row],[Operating_Cost_EUR]]</f>
        <v>314.97000000000003</v>
      </c>
      <c r="T344">
        <f>IF(tblRentRoll[[#This Row],[Annual_Rent_EUR]]&lt;&gt;0,tblRentRoll[[#This Row],[Annual_Rent_EUR]]-tblRentRoll[[#This Row],[Operating_Cost_EUR]], "")</f>
        <v>11555.84</v>
      </c>
      <c r="U344">
        <f ca="1">IF(AND(tblRentRoll[[#This Row],[Status]]="Occupied",tblRentRoll[[#This Row],[Lease_End]]&gt;=TODAY()),DATEDIF(TODAY(),tblRentRoll[[#This Row],[Lease_End]],"m"), 0)</f>
        <v>0</v>
      </c>
      <c r="V344" t="str">
        <f ca="1">IF(tblRentRoll[[#This Row],[Status]]&lt;&gt;"Occupied","", IF(tblRentRoll[[#This Row],[Month_to_Expiry]]&lt;=3, "0-3 Monaten",  IF(tblRentRoll[[#This Row],[Month_to_Expiry]]&lt;=6, "3-6 Monaten", IF(tblRentRoll[[#This Row],[Month_to_Expiry]]&lt;=12,"6-12 Monaten", IF(tblRentRoll[[#This Row],[Month_to_Expiry]]&gt;=12, "12 M+",)))))</f>
        <v>0-3 Monaten</v>
      </c>
      <c r="W344">
        <f>IF(tblRentRoll[[#This Row],[Status]]="Vacant", tblRentRoll[[#This Row],[Area_sqm]],0)</f>
        <v>0</v>
      </c>
      <c r="X344" s="3">
        <f>IF(tblRentRoll[[#This Row],[Status]]="Occupied", tblRentRoll[[#This Row],[Area_sqm]],0)</f>
        <v>137</v>
      </c>
      <c r="Y344" s="3">
        <f ca="1">tblRentRoll[[#This Row],[Month_to_Expiry]]/12*tblRentRoll[[#This Row],[Annual_Rent_EUR]]</f>
        <v>0</v>
      </c>
      <c r="Z344" s="3"/>
    </row>
    <row r="345" spans="1:26" x14ac:dyDescent="0.35">
      <c r="A345" t="s">
        <v>56</v>
      </c>
      <c r="B345" t="s">
        <v>521</v>
      </c>
      <c r="C345" t="s">
        <v>14</v>
      </c>
      <c r="D345">
        <v>64</v>
      </c>
      <c r="E345" t="s">
        <v>15</v>
      </c>
      <c r="F345" t="s">
        <v>35</v>
      </c>
      <c r="G345">
        <v>559.6</v>
      </c>
      <c r="H345">
        <v>6715.2</v>
      </c>
      <c r="I345" s="2">
        <f>tblRentRoll[[#This Row],[Monthly_Rent_EUR]]*12</f>
        <v>6715.2000000000007</v>
      </c>
      <c r="J345" s="2" t="str">
        <f>IF(tblRentRoll[[#This Row],[Annual_Rent_EUR]]&lt;&gt;tblRentRoll[[#This Row],[Jahresrente_EUR]], "FALSCH", "")</f>
        <v/>
      </c>
      <c r="K345" s="1">
        <v>44734</v>
      </c>
      <c r="L345" s="1">
        <v>46504</v>
      </c>
      <c r="M345">
        <v>179.71</v>
      </c>
      <c r="N345">
        <v>49.55</v>
      </c>
      <c r="O34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5" t="str">
        <f>IF(tblRentRoll[[#This Row],[Area_sqm]]&lt;=0,"Area&lt;=0","")</f>
        <v/>
      </c>
      <c r="Q345" t="str">
        <f>IF(tblRentRoll[[#This Row],[Monthly_Rent_EUR]]&lt;=0,"Rent&lt;=0","")</f>
        <v/>
      </c>
      <c r="R345">
        <f>IF(AND(tblRentRoll[[#This Row],[Status]]="Occupied", tblRentRoll[[#This Row],[Area_sqm]]&gt;0), tblRentRoll[[#This Row],[Annual_Rent_EUR]]/tblRentRoll[[#This Row],[Area_sqm]],"")</f>
        <v>104.925</v>
      </c>
      <c r="S345">
        <f>tblRentRoll[[#This Row],[Service_Charge_EUR]]+tblRentRoll[[#This Row],[Operating_Cost_EUR]]</f>
        <v>229.26</v>
      </c>
      <c r="T345">
        <f>IF(tblRentRoll[[#This Row],[Annual_Rent_EUR]]&lt;&gt;0,tblRentRoll[[#This Row],[Annual_Rent_EUR]]-tblRentRoll[[#This Row],[Operating_Cost_EUR]], "")</f>
        <v>6665.65</v>
      </c>
      <c r="U345">
        <f ca="1">IF(AND(tblRentRoll[[#This Row],[Status]]="Occupied",tblRentRoll[[#This Row],[Lease_End]]&gt;=TODAY()),DATEDIF(TODAY(),tblRentRoll[[#This Row],[Lease_End]],"m"), 0)</f>
        <v>13</v>
      </c>
      <c r="V345" t="str">
        <f ca="1">IF(tblRentRoll[[#This Row],[Status]]&lt;&gt;"Occupied","", IF(tblRentRoll[[#This Row],[Month_to_Expiry]]&lt;=3, "0-3 Monaten",  IF(tblRentRoll[[#This Row],[Month_to_Expiry]]&lt;=6, "3-6 Monaten", IF(tblRentRoll[[#This Row],[Month_to_Expiry]]&lt;=12,"6-12 Monaten", IF(tblRentRoll[[#This Row],[Month_to_Expiry]]&gt;=12, "12 M+",)))))</f>
        <v>12 M+</v>
      </c>
      <c r="W345">
        <f>IF(tblRentRoll[[#This Row],[Status]]="Vacant", tblRentRoll[[#This Row],[Area_sqm]],0)</f>
        <v>0</v>
      </c>
      <c r="X345" s="3">
        <f>IF(tblRentRoll[[#This Row],[Status]]="Occupied", tblRentRoll[[#This Row],[Area_sqm]],0)</f>
        <v>64</v>
      </c>
      <c r="Y345" s="3">
        <f ca="1">tblRentRoll[[#This Row],[Month_to_Expiry]]/12*tblRentRoll[[#This Row],[Annual_Rent_EUR]]</f>
        <v>7274.7999999999993</v>
      </c>
      <c r="Z345" s="3"/>
    </row>
    <row r="346" spans="1:26" x14ac:dyDescent="0.35">
      <c r="A346" t="s">
        <v>24</v>
      </c>
      <c r="B346" t="s">
        <v>522</v>
      </c>
      <c r="C346" t="s">
        <v>33</v>
      </c>
      <c r="D346">
        <v>91</v>
      </c>
      <c r="E346" t="s">
        <v>15</v>
      </c>
      <c r="F346" t="s">
        <v>486</v>
      </c>
      <c r="G346">
        <v>589.92999999999995</v>
      </c>
      <c r="H346">
        <v>7079.16</v>
      </c>
      <c r="I346" s="2">
        <f>tblRentRoll[[#This Row],[Monthly_Rent_EUR]]*12</f>
        <v>7079.16</v>
      </c>
      <c r="J346" s="2" t="str">
        <f>IF(tblRentRoll[[#This Row],[Annual_Rent_EUR]]&lt;&gt;tblRentRoll[[#This Row],[Jahresrente_EUR]], "FALSCH", "")</f>
        <v/>
      </c>
      <c r="K346" s="1">
        <v>45174</v>
      </c>
      <c r="L346" s="1">
        <v>45874</v>
      </c>
      <c r="M346">
        <v>125.8</v>
      </c>
      <c r="N346">
        <v>169.73</v>
      </c>
      <c r="O34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6" t="str">
        <f>IF(tblRentRoll[[#This Row],[Area_sqm]]&lt;=0,"Area&lt;=0","")</f>
        <v/>
      </c>
      <c r="Q346" t="str">
        <f>IF(tblRentRoll[[#This Row],[Monthly_Rent_EUR]]&lt;=0,"Rent&lt;=0","")</f>
        <v/>
      </c>
      <c r="R346">
        <f>IF(AND(tblRentRoll[[#This Row],[Status]]="Occupied", tblRentRoll[[#This Row],[Area_sqm]]&gt;0), tblRentRoll[[#This Row],[Annual_Rent_EUR]]/tblRentRoll[[#This Row],[Area_sqm]],"")</f>
        <v>77.792967032967027</v>
      </c>
      <c r="S346">
        <f>tblRentRoll[[#This Row],[Service_Charge_EUR]]+tblRentRoll[[#This Row],[Operating_Cost_EUR]]</f>
        <v>295.52999999999997</v>
      </c>
      <c r="T346">
        <f>IF(tblRentRoll[[#This Row],[Annual_Rent_EUR]]&lt;&gt;0,tblRentRoll[[#This Row],[Annual_Rent_EUR]]-tblRentRoll[[#This Row],[Operating_Cost_EUR]], "")</f>
        <v>6909.43</v>
      </c>
      <c r="U346">
        <f ca="1">IF(AND(tblRentRoll[[#This Row],[Status]]="Occupied",tblRentRoll[[#This Row],[Lease_End]]&gt;=TODAY()),DATEDIF(TODAY(),tblRentRoll[[#This Row],[Lease_End]],"m"), 0)</f>
        <v>0</v>
      </c>
      <c r="V346" t="str">
        <f ca="1">IF(tblRentRoll[[#This Row],[Status]]&lt;&gt;"Occupied","", IF(tblRentRoll[[#This Row],[Month_to_Expiry]]&lt;=3, "0-3 Monaten",  IF(tblRentRoll[[#This Row],[Month_to_Expiry]]&lt;=6, "3-6 Monaten", IF(tblRentRoll[[#This Row],[Month_to_Expiry]]&lt;=12,"6-12 Monaten", IF(tblRentRoll[[#This Row],[Month_to_Expiry]]&gt;=12, "12 M+",)))))</f>
        <v>0-3 Monaten</v>
      </c>
      <c r="W346">
        <f>IF(tblRentRoll[[#This Row],[Status]]="Vacant", tblRentRoll[[#This Row],[Area_sqm]],0)</f>
        <v>0</v>
      </c>
      <c r="X346" s="3">
        <f>IF(tblRentRoll[[#This Row],[Status]]="Occupied", tblRentRoll[[#This Row],[Area_sqm]],0)</f>
        <v>91</v>
      </c>
      <c r="Y346" s="3">
        <f ca="1">tblRentRoll[[#This Row],[Month_to_Expiry]]/12*tblRentRoll[[#This Row],[Annual_Rent_EUR]]</f>
        <v>0</v>
      </c>
      <c r="Z346" s="3"/>
    </row>
    <row r="347" spans="1:26" x14ac:dyDescent="0.35">
      <c r="A347" t="s">
        <v>24</v>
      </c>
      <c r="B347" t="s">
        <v>523</v>
      </c>
      <c r="C347" t="s">
        <v>33</v>
      </c>
      <c r="D347">
        <v>185</v>
      </c>
      <c r="E347" t="s">
        <v>15</v>
      </c>
      <c r="F347" t="s">
        <v>509</v>
      </c>
      <c r="G347">
        <v>2621.0300000000002</v>
      </c>
      <c r="H347">
        <v>31452.36</v>
      </c>
      <c r="I347" s="2">
        <f>tblRentRoll[[#This Row],[Monthly_Rent_EUR]]*12</f>
        <v>31452.36</v>
      </c>
      <c r="J347" s="2" t="str">
        <f>IF(tblRentRoll[[#This Row],[Annual_Rent_EUR]]&lt;&gt;tblRentRoll[[#This Row],[Jahresrente_EUR]], "FALSCH", "")</f>
        <v/>
      </c>
      <c r="K347" s="1">
        <v>44901</v>
      </c>
      <c r="L347" s="1">
        <v>45884</v>
      </c>
      <c r="M347">
        <v>400.67</v>
      </c>
      <c r="N347">
        <v>330.05</v>
      </c>
      <c r="O34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7" t="str">
        <f>IF(tblRentRoll[[#This Row],[Area_sqm]]&lt;=0,"Area&lt;=0","")</f>
        <v/>
      </c>
      <c r="Q347" t="str">
        <f>IF(tblRentRoll[[#This Row],[Monthly_Rent_EUR]]&lt;=0,"Rent&lt;=0","")</f>
        <v/>
      </c>
      <c r="R347">
        <f>IF(AND(tblRentRoll[[#This Row],[Status]]="Occupied", tblRentRoll[[#This Row],[Area_sqm]]&gt;0), tblRentRoll[[#This Row],[Annual_Rent_EUR]]/tblRentRoll[[#This Row],[Area_sqm]],"")</f>
        <v>170.01275675675677</v>
      </c>
      <c r="S347">
        <f>tblRentRoll[[#This Row],[Service_Charge_EUR]]+tblRentRoll[[#This Row],[Operating_Cost_EUR]]</f>
        <v>730.72</v>
      </c>
      <c r="T347">
        <f>IF(tblRentRoll[[#This Row],[Annual_Rent_EUR]]&lt;&gt;0,tblRentRoll[[#This Row],[Annual_Rent_EUR]]-tblRentRoll[[#This Row],[Operating_Cost_EUR]], "")</f>
        <v>31122.31</v>
      </c>
      <c r="U347">
        <f ca="1">IF(AND(tblRentRoll[[#This Row],[Status]]="Occupied",tblRentRoll[[#This Row],[Lease_End]]&gt;=TODAY()),DATEDIF(TODAY(),tblRentRoll[[#This Row],[Lease_End]],"m"), 0)</f>
        <v>0</v>
      </c>
      <c r="V347" t="str">
        <f ca="1">IF(tblRentRoll[[#This Row],[Status]]&lt;&gt;"Occupied","", IF(tblRentRoll[[#This Row],[Month_to_Expiry]]&lt;=3, "0-3 Monaten",  IF(tblRentRoll[[#This Row],[Month_to_Expiry]]&lt;=6, "3-6 Monaten", IF(tblRentRoll[[#This Row],[Month_to_Expiry]]&lt;=12,"6-12 Monaten", IF(tblRentRoll[[#This Row],[Month_to_Expiry]]&gt;=12, "12 M+",)))))</f>
        <v>0-3 Monaten</v>
      </c>
      <c r="W347">
        <f>IF(tblRentRoll[[#This Row],[Status]]="Vacant", tblRentRoll[[#This Row],[Area_sqm]],0)</f>
        <v>0</v>
      </c>
      <c r="X347" s="3">
        <f>IF(tblRentRoll[[#This Row],[Status]]="Occupied", tblRentRoll[[#This Row],[Area_sqm]],0)</f>
        <v>185</v>
      </c>
      <c r="Y347" s="3">
        <f ca="1">tblRentRoll[[#This Row],[Month_to_Expiry]]/12*tblRentRoll[[#This Row],[Annual_Rent_EUR]]</f>
        <v>0</v>
      </c>
      <c r="Z347" s="3"/>
    </row>
    <row r="348" spans="1:26" x14ac:dyDescent="0.35">
      <c r="A348" t="s">
        <v>44</v>
      </c>
      <c r="B348" t="s">
        <v>524</v>
      </c>
      <c r="C348" t="s">
        <v>19</v>
      </c>
      <c r="D348">
        <v>1223</v>
      </c>
      <c r="E348" t="s">
        <v>15</v>
      </c>
      <c r="F348" t="s">
        <v>192</v>
      </c>
      <c r="G348">
        <v>10048.27</v>
      </c>
      <c r="H348">
        <v>120579.24</v>
      </c>
      <c r="I348" s="2">
        <f>tblRentRoll[[#This Row],[Monthly_Rent_EUR]]*12</f>
        <v>120579.24</v>
      </c>
      <c r="J348" s="2" t="str">
        <f>IF(tblRentRoll[[#This Row],[Annual_Rent_EUR]]&lt;&gt;tblRentRoll[[#This Row],[Jahresrente_EUR]], "FALSCH", "")</f>
        <v/>
      </c>
      <c r="K348" s="1">
        <v>45269</v>
      </c>
      <c r="L348" s="1">
        <v>46147</v>
      </c>
      <c r="M348">
        <v>2010.74</v>
      </c>
      <c r="N348">
        <v>1576.53</v>
      </c>
      <c r="O34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8" t="str">
        <f>IF(tblRentRoll[[#This Row],[Area_sqm]]&lt;=0,"Area&lt;=0","")</f>
        <v/>
      </c>
      <c r="Q348" t="str">
        <f>IF(tblRentRoll[[#This Row],[Monthly_Rent_EUR]]&lt;=0,"Rent&lt;=0","")</f>
        <v/>
      </c>
      <c r="R348">
        <f>IF(AND(tblRentRoll[[#This Row],[Status]]="Occupied", tblRentRoll[[#This Row],[Area_sqm]]&gt;0), tblRentRoll[[#This Row],[Annual_Rent_EUR]]/tblRentRoll[[#This Row],[Area_sqm]],"")</f>
        <v>98.59300081766149</v>
      </c>
      <c r="S348">
        <f>tblRentRoll[[#This Row],[Service_Charge_EUR]]+tblRentRoll[[#This Row],[Operating_Cost_EUR]]</f>
        <v>3587.27</v>
      </c>
      <c r="T348">
        <f>IF(tblRentRoll[[#This Row],[Annual_Rent_EUR]]&lt;&gt;0,tblRentRoll[[#This Row],[Annual_Rent_EUR]]-tblRentRoll[[#This Row],[Operating_Cost_EUR]], "")</f>
        <v>119002.71</v>
      </c>
      <c r="U348">
        <f ca="1">IF(AND(tblRentRoll[[#This Row],[Status]]="Occupied",tblRentRoll[[#This Row],[Lease_End]]&gt;=TODAY()),DATEDIF(TODAY(),tblRentRoll[[#This Row],[Lease_End]],"m"), 0)</f>
        <v>1</v>
      </c>
      <c r="V348" t="str">
        <f ca="1">IF(tblRentRoll[[#This Row],[Status]]&lt;&gt;"Occupied","", IF(tblRentRoll[[#This Row],[Month_to_Expiry]]&lt;=3, "0-3 Monaten",  IF(tblRentRoll[[#This Row],[Month_to_Expiry]]&lt;=6, "3-6 Monaten", IF(tblRentRoll[[#This Row],[Month_to_Expiry]]&lt;=12,"6-12 Monaten", IF(tblRentRoll[[#This Row],[Month_to_Expiry]]&gt;=12, "12 M+",)))))</f>
        <v>0-3 Monaten</v>
      </c>
      <c r="W348">
        <f>IF(tblRentRoll[[#This Row],[Status]]="Vacant", tblRentRoll[[#This Row],[Area_sqm]],0)</f>
        <v>0</v>
      </c>
      <c r="X348" s="3">
        <f>IF(tblRentRoll[[#This Row],[Status]]="Occupied", tblRentRoll[[#This Row],[Area_sqm]],0)</f>
        <v>1223</v>
      </c>
      <c r="Y348" s="3">
        <f ca="1">tblRentRoll[[#This Row],[Month_to_Expiry]]/12*tblRentRoll[[#This Row],[Annual_Rent_EUR]]</f>
        <v>10048.27</v>
      </c>
      <c r="Z348" s="3"/>
    </row>
    <row r="349" spans="1:26" x14ac:dyDescent="0.35">
      <c r="A349" t="s">
        <v>24</v>
      </c>
      <c r="B349" t="s">
        <v>525</v>
      </c>
      <c r="C349" t="s">
        <v>29</v>
      </c>
      <c r="D349">
        <v>369</v>
      </c>
      <c r="E349" t="s">
        <v>15</v>
      </c>
      <c r="F349" t="s">
        <v>317</v>
      </c>
      <c r="G349">
        <v>6165.81</v>
      </c>
      <c r="H349">
        <v>73989.72</v>
      </c>
      <c r="I349" s="2">
        <f>tblRentRoll[[#This Row],[Monthly_Rent_EUR]]*12</f>
        <v>73989.72</v>
      </c>
      <c r="J349" s="2" t="str">
        <f>IF(tblRentRoll[[#This Row],[Annual_Rent_EUR]]&lt;&gt;tblRentRoll[[#This Row],[Jahresrente_EUR]], "FALSCH", "")</f>
        <v/>
      </c>
      <c r="K349" s="1">
        <v>44401</v>
      </c>
      <c r="L349" s="1">
        <v>45711</v>
      </c>
      <c r="M349">
        <v>1070.72</v>
      </c>
      <c r="N349">
        <v>751.91</v>
      </c>
      <c r="O34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49" t="str">
        <f>IF(tblRentRoll[[#This Row],[Area_sqm]]&lt;=0,"Area&lt;=0","")</f>
        <v/>
      </c>
      <c r="Q349" t="str">
        <f>IF(tblRentRoll[[#This Row],[Monthly_Rent_EUR]]&lt;=0,"Rent&lt;=0","")</f>
        <v/>
      </c>
      <c r="R349">
        <f>IF(AND(tblRentRoll[[#This Row],[Status]]="Occupied", tblRentRoll[[#This Row],[Area_sqm]]&gt;0), tblRentRoll[[#This Row],[Annual_Rent_EUR]]/tblRentRoll[[#This Row],[Area_sqm]],"")</f>
        <v>200.51414634146343</v>
      </c>
      <c r="S349">
        <f>tblRentRoll[[#This Row],[Service_Charge_EUR]]+tblRentRoll[[#This Row],[Operating_Cost_EUR]]</f>
        <v>1822.63</v>
      </c>
      <c r="T349">
        <f>IF(tblRentRoll[[#This Row],[Annual_Rent_EUR]]&lt;&gt;0,tblRentRoll[[#This Row],[Annual_Rent_EUR]]-tblRentRoll[[#This Row],[Operating_Cost_EUR]], "")</f>
        <v>73237.81</v>
      </c>
      <c r="U349">
        <f ca="1">IF(AND(tblRentRoll[[#This Row],[Status]]="Occupied",tblRentRoll[[#This Row],[Lease_End]]&gt;=TODAY()),DATEDIF(TODAY(),tblRentRoll[[#This Row],[Lease_End]],"m"), 0)</f>
        <v>0</v>
      </c>
      <c r="V349" t="str">
        <f ca="1">IF(tblRentRoll[[#This Row],[Status]]&lt;&gt;"Occupied","", IF(tblRentRoll[[#This Row],[Month_to_Expiry]]&lt;=3, "0-3 Monaten",  IF(tblRentRoll[[#This Row],[Month_to_Expiry]]&lt;=6, "3-6 Monaten", IF(tblRentRoll[[#This Row],[Month_to_Expiry]]&lt;=12,"6-12 Monaten", IF(tblRentRoll[[#This Row],[Month_to_Expiry]]&gt;=12, "12 M+",)))))</f>
        <v>0-3 Monaten</v>
      </c>
      <c r="W349">
        <f>IF(tblRentRoll[[#This Row],[Status]]="Vacant", tblRentRoll[[#This Row],[Area_sqm]],0)</f>
        <v>0</v>
      </c>
      <c r="X349" s="3">
        <f>IF(tblRentRoll[[#This Row],[Status]]="Occupied", tblRentRoll[[#This Row],[Area_sqm]],0)</f>
        <v>369</v>
      </c>
      <c r="Y349" s="3">
        <f ca="1">tblRentRoll[[#This Row],[Month_to_Expiry]]/12*tblRentRoll[[#This Row],[Annual_Rent_EUR]]</f>
        <v>0</v>
      </c>
      <c r="Z349" s="3"/>
    </row>
    <row r="350" spans="1:26" x14ac:dyDescent="0.35">
      <c r="A350" t="s">
        <v>21</v>
      </c>
      <c r="B350" t="s">
        <v>526</v>
      </c>
      <c r="C350" t="s">
        <v>33</v>
      </c>
      <c r="D350">
        <v>1085</v>
      </c>
      <c r="E350" t="s">
        <v>15</v>
      </c>
      <c r="F350" t="s">
        <v>509</v>
      </c>
      <c r="G350">
        <v>7816.91</v>
      </c>
      <c r="H350">
        <v>93802.92</v>
      </c>
      <c r="I350" s="2">
        <f>tblRentRoll[[#This Row],[Monthly_Rent_EUR]]*12</f>
        <v>93802.92</v>
      </c>
      <c r="J350" s="2" t="str">
        <f>IF(tblRentRoll[[#This Row],[Annual_Rent_EUR]]&lt;&gt;tblRentRoll[[#This Row],[Jahresrente_EUR]], "FALSCH", "")</f>
        <v/>
      </c>
      <c r="K350" s="1">
        <v>45000</v>
      </c>
      <c r="L350" s="1">
        <v>46724</v>
      </c>
      <c r="M350">
        <v>3178.47</v>
      </c>
      <c r="N350">
        <v>1589.54</v>
      </c>
      <c r="O35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0" t="str">
        <f>IF(tblRentRoll[[#This Row],[Area_sqm]]&lt;=0,"Area&lt;=0","")</f>
        <v/>
      </c>
      <c r="Q350" t="str">
        <f>IF(tblRentRoll[[#This Row],[Monthly_Rent_EUR]]&lt;=0,"Rent&lt;=0","")</f>
        <v/>
      </c>
      <c r="R350">
        <f>IF(AND(tblRentRoll[[#This Row],[Status]]="Occupied", tblRentRoll[[#This Row],[Area_sqm]]&gt;0), tblRentRoll[[#This Row],[Annual_Rent_EUR]]/tblRentRoll[[#This Row],[Area_sqm]],"")</f>
        <v>86.454304147465436</v>
      </c>
      <c r="S350">
        <f>tblRentRoll[[#This Row],[Service_Charge_EUR]]+tblRentRoll[[#This Row],[Operating_Cost_EUR]]</f>
        <v>4768.01</v>
      </c>
      <c r="T350">
        <f>IF(tblRentRoll[[#This Row],[Annual_Rent_EUR]]&lt;&gt;0,tblRentRoll[[#This Row],[Annual_Rent_EUR]]-tblRentRoll[[#This Row],[Operating_Cost_EUR]], "")</f>
        <v>92213.38</v>
      </c>
      <c r="U350">
        <f ca="1">IF(AND(tblRentRoll[[#This Row],[Status]]="Occupied",tblRentRoll[[#This Row],[Lease_End]]&gt;=TODAY()),DATEDIF(TODAY(),tblRentRoll[[#This Row],[Lease_End]],"m"), 0)</f>
        <v>20</v>
      </c>
      <c r="V350" t="str">
        <f ca="1">IF(tblRentRoll[[#This Row],[Status]]&lt;&gt;"Occupied","", IF(tblRentRoll[[#This Row],[Month_to_Expiry]]&lt;=3, "0-3 Monaten",  IF(tblRentRoll[[#This Row],[Month_to_Expiry]]&lt;=6, "3-6 Monaten", IF(tblRentRoll[[#This Row],[Month_to_Expiry]]&lt;=12,"6-12 Monaten", IF(tblRentRoll[[#This Row],[Month_to_Expiry]]&gt;=12, "12 M+",)))))</f>
        <v>12 M+</v>
      </c>
      <c r="W350">
        <f>IF(tblRentRoll[[#This Row],[Status]]="Vacant", tblRentRoll[[#This Row],[Area_sqm]],0)</f>
        <v>0</v>
      </c>
      <c r="X350" s="3">
        <f>IF(tblRentRoll[[#This Row],[Status]]="Occupied", tblRentRoll[[#This Row],[Area_sqm]],0)</f>
        <v>1085</v>
      </c>
      <c r="Y350" s="3">
        <f ca="1">tblRentRoll[[#This Row],[Month_to_Expiry]]/12*tblRentRoll[[#This Row],[Annual_Rent_EUR]]</f>
        <v>156338.20000000001</v>
      </c>
      <c r="Z350" s="3"/>
    </row>
    <row r="351" spans="1:26" x14ac:dyDescent="0.35">
      <c r="A351" t="s">
        <v>17</v>
      </c>
      <c r="B351" t="s">
        <v>527</v>
      </c>
      <c r="C351" t="s">
        <v>33</v>
      </c>
      <c r="D351">
        <v>1321</v>
      </c>
      <c r="E351" t="s">
        <v>15</v>
      </c>
      <c r="F351" t="s">
        <v>280</v>
      </c>
      <c r="G351">
        <v>10263.85</v>
      </c>
      <c r="H351">
        <v>123166.2</v>
      </c>
      <c r="I351" s="2">
        <f>tblRentRoll[[#This Row],[Monthly_Rent_EUR]]*12</f>
        <v>123166.20000000001</v>
      </c>
      <c r="J351" s="2" t="str">
        <f>IF(tblRentRoll[[#This Row],[Annual_Rent_EUR]]&lt;&gt;tblRentRoll[[#This Row],[Jahresrente_EUR]], "FALSCH", "")</f>
        <v/>
      </c>
      <c r="K351" s="1">
        <v>45255</v>
      </c>
      <c r="L351" s="1">
        <v>46706</v>
      </c>
      <c r="M351">
        <v>3763.07</v>
      </c>
      <c r="N351">
        <v>2404.23</v>
      </c>
      <c r="O35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1" t="str">
        <f>IF(tblRentRoll[[#This Row],[Area_sqm]]&lt;=0,"Area&lt;=0","")</f>
        <v/>
      </c>
      <c r="Q351" t="str">
        <f>IF(tblRentRoll[[#This Row],[Monthly_Rent_EUR]]&lt;=0,"Rent&lt;=0","")</f>
        <v/>
      </c>
      <c r="R351">
        <f>IF(AND(tblRentRoll[[#This Row],[Status]]="Occupied", tblRentRoll[[#This Row],[Area_sqm]]&gt;0), tblRentRoll[[#This Row],[Annual_Rent_EUR]]/tblRentRoll[[#This Row],[Area_sqm]],"")</f>
        <v>93.237093111279336</v>
      </c>
      <c r="S351">
        <f>tblRentRoll[[#This Row],[Service_Charge_EUR]]+tblRentRoll[[#This Row],[Operating_Cost_EUR]]</f>
        <v>6167.3</v>
      </c>
      <c r="T351">
        <f>IF(tblRentRoll[[#This Row],[Annual_Rent_EUR]]&lt;&gt;0,tblRentRoll[[#This Row],[Annual_Rent_EUR]]-tblRentRoll[[#This Row],[Operating_Cost_EUR]], "")</f>
        <v>120761.97</v>
      </c>
      <c r="U351">
        <f ca="1">IF(AND(tblRentRoll[[#This Row],[Status]]="Occupied",tblRentRoll[[#This Row],[Lease_End]]&gt;=TODAY()),DATEDIF(TODAY(),tblRentRoll[[#This Row],[Lease_End]],"m"), 0)</f>
        <v>20</v>
      </c>
      <c r="V351" t="str">
        <f ca="1">IF(tblRentRoll[[#This Row],[Status]]&lt;&gt;"Occupied","", IF(tblRentRoll[[#This Row],[Month_to_Expiry]]&lt;=3, "0-3 Monaten",  IF(tblRentRoll[[#This Row],[Month_to_Expiry]]&lt;=6, "3-6 Monaten", IF(tblRentRoll[[#This Row],[Month_to_Expiry]]&lt;=12,"6-12 Monaten", IF(tblRentRoll[[#This Row],[Month_to_Expiry]]&gt;=12, "12 M+",)))))</f>
        <v>12 M+</v>
      </c>
      <c r="W351">
        <f>IF(tblRentRoll[[#This Row],[Status]]="Vacant", tblRentRoll[[#This Row],[Area_sqm]],0)</f>
        <v>0</v>
      </c>
      <c r="X351" s="3">
        <f>IF(tblRentRoll[[#This Row],[Status]]="Occupied", tblRentRoll[[#This Row],[Area_sqm]],0)</f>
        <v>1321</v>
      </c>
      <c r="Y351" s="3">
        <f ca="1">tblRentRoll[[#This Row],[Month_to_Expiry]]/12*tblRentRoll[[#This Row],[Annual_Rent_EUR]]</f>
        <v>205277</v>
      </c>
      <c r="Z351" s="3"/>
    </row>
    <row r="352" spans="1:26" x14ac:dyDescent="0.35">
      <c r="A352" t="s">
        <v>12</v>
      </c>
      <c r="B352" t="s">
        <v>528</v>
      </c>
      <c r="C352" t="s">
        <v>14</v>
      </c>
      <c r="D352">
        <v>941</v>
      </c>
      <c r="E352" t="s">
        <v>15</v>
      </c>
      <c r="F352" t="s">
        <v>429</v>
      </c>
      <c r="G352">
        <v>9818.9500000000007</v>
      </c>
      <c r="H352">
        <v>117827.4</v>
      </c>
      <c r="I352" s="2">
        <f>tblRentRoll[[#This Row],[Monthly_Rent_EUR]]*12</f>
        <v>117827.40000000001</v>
      </c>
      <c r="J352" s="2" t="str">
        <f>IF(tblRentRoll[[#This Row],[Annual_Rent_EUR]]&lt;&gt;tblRentRoll[[#This Row],[Jahresrente_EUR]], "FALSCH", "")</f>
        <v/>
      </c>
      <c r="K352" s="1">
        <v>44378</v>
      </c>
      <c r="L352" s="1">
        <v>45269</v>
      </c>
      <c r="M352">
        <v>2362.4</v>
      </c>
      <c r="N352">
        <v>710.91</v>
      </c>
      <c r="O35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2" t="str">
        <f>IF(tblRentRoll[[#This Row],[Area_sqm]]&lt;=0,"Area&lt;=0","")</f>
        <v/>
      </c>
      <c r="Q352" t="str">
        <f>IF(tblRentRoll[[#This Row],[Monthly_Rent_EUR]]&lt;=0,"Rent&lt;=0","")</f>
        <v/>
      </c>
      <c r="R352">
        <f>IF(AND(tblRentRoll[[#This Row],[Status]]="Occupied", tblRentRoll[[#This Row],[Area_sqm]]&gt;0), tblRentRoll[[#This Row],[Annual_Rent_EUR]]/tblRentRoll[[#This Row],[Area_sqm]],"")</f>
        <v>125.21509032943676</v>
      </c>
      <c r="S352">
        <f>tblRentRoll[[#This Row],[Service_Charge_EUR]]+tblRentRoll[[#This Row],[Operating_Cost_EUR]]</f>
        <v>3073.31</v>
      </c>
      <c r="T352">
        <f>IF(tblRentRoll[[#This Row],[Annual_Rent_EUR]]&lt;&gt;0,tblRentRoll[[#This Row],[Annual_Rent_EUR]]-tblRentRoll[[#This Row],[Operating_Cost_EUR]], "")</f>
        <v>117116.48999999999</v>
      </c>
      <c r="U352">
        <f ca="1">IF(AND(tblRentRoll[[#This Row],[Status]]="Occupied",tblRentRoll[[#This Row],[Lease_End]]&gt;=TODAY()),DATEDIF(TODAY(),tblRentRoll[[#This Row],[Lease_End]],"m"), 0)</f>
        <v>0</v>
      </c>
      <c r="V352" t="str">
        <f ca="1">IF(tblRentRoll[[#This Row],[Status]]&lt;&gt;"Occupied","", IF(tblRentRoll[[#This Row],[Month_to_Expiry]]&lt;=3, "0-3 Monaten",  IF(tblRentRoll[[#This Row],[Month_to_Expiry]]&lt;=6, "3-6 Monaten", IF(tblRentRoll[[#This Row],[Month_to_Expiry]]&lt;=12,"6-12 Monaten", IF(tblRentRoll[[#This Row],[Month_to_Expiry]]&gt;=12, "12 M+",)))))</f>
        <v>0-3 Monaten</v>
      </c>
      <c r="W352">
        <f>IF(tblRentRoll[[#This Row],[Status]]="Vacant", tblRentRoll[[#This Row],[Area_sqm]],0)</f>
        <v>0</v>
      </c>
      <c r="X352" s="3">
        <f>IF(tblRentRoll[[#This Row],[Status]]="Occupied", tblRentRoll[[#This Row],[Area_sqm]],0)</f>
        <v>941</v>
      </c>
      <c r="Y352" s="3">
        <f ca="1">tblRentRoll[[#This Row],[Month_to_Expiry]]/12*tblRentRoll[[#This Row],[Annual_Rent_EUR]]</f>
        <v>0</v>
      </c>
      <c r="Z352" s="3"/>
    </row>
    <row r="353" spans="1:26" x14ac:dyDescent="0.35">
      <c r="A353" t="s">
        <v>12</v>
      </c>
      <c r="B353" t="s">
        <v>529</v>
      </c>
      <c r="C353" t="s">
        <v>19</v>
      </c>
      <c r="D353">
        <v>1087</v>
      </c>
      <c r="E353" t="s">
        <v>15</v>
      </c>
      <c r="F353" t="s">
        <v>241</v>
      </c>
      <c r="G353">
        <v>10029.85</v>
      </c>
      <c r="H353">
        <v>120358.2</v>
      </c>
      <c r="I353" s="2">
        <f>tblRentRoll[[#This Row],[Monthly_Rent_EUR]]*12</f>
        <v>120358.20000000001</v>
      </c>
      <c r="J353" s="2" t="str">
        <f>IF(tblRentRoll[[#This Row],[Annual_Rent_EUR]]&lt;&gt;tblRentRoll[[#This Row],[Jahresrente_EUR]], "FALSCH", "")</f>
        <v/>
      </c>
      <c r="K353" s="1">
        <v>44995</v>
      </c>
      <c r="L353" s="1">
        <v>45710</v>
      </c>
      <c r="M353">
        <v>1830.99</v>
      </c>
      <c r="N353">
        <v>1982.45</v>
      </c>
      <c r="O35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3" t="str">
        <f>IF(tblRentRoll[[#This Row],[Area_sqm]]&lt;=0,"Area&lt;=0","")</f>
        <v/>
      </c>
      <c r="Q353" t="str">
        <f>IF(tblRentRoll[[#This Row],[Monthly_Rent_EUR]]&lt;=0,"Rent&lt;=0","")</f>
        <v/>
      </c>
      <c r="R353">
        <f>IF(AND(tblRentRoll[[#This Row],[Status]]="Occupied", tblRentRoll[[#This Row],[Area_sqm]]&gt;0), tblRentRoll[[#This Row],[Annual_Rent_EUR]]/tblRentRoll[[#This Row],[Area_sqm]],"")</f>
        <v>110.72511499540018</v>
      </c>
      <c r="S353">
        <f>tblRentRoll[[#This Row],[Service_Charge_EUR]]+tblRentRoll[[#This Row],[Operating_Cost_EUR]]</f>
        <v>3813.44</v>
      </c>
      <c r="T353">
        <f>IF(tblRentRoll[[#This Row],[Annual_Rent_EUR]]&lt;&gt;0,tblRentRoll[[#This Row],[Annual_Rent_EUR]]-tblRentRoll[[#This Row],[Operating_Cost_EUR]], "")</f>
        <v>118375.75</v>
      </c>
      <c r="U353">
        <f ca="1">IF(AND(tblRentRoll[[#This Row],[Status]]="Occupied",tblRentRoll[[#This Row],[Lease_End]]&gt;=TODAY()),DATEDIF(TODAY(),tblRentRoll[[#This Row],[Lease_End]],"m"), 0)</f>
        <v>0</v>
      </c>
      <c r="V353" t="str">
        <f ca="1">IF(tblRentRoll[[#This Row],[Status]]&lt;&gt;"Occupied","", IF(tblRentRoll[[#This Row],[Month_to_Expiry]]&lt;=3, "0-3 Monaten",  IF(tblRentRoll[[#This Row],[Month_to_Expiry]]&lt;=6, "3-6 Monaten", IF(tblRentRoll[[#This Row],[Month_to_Expiry]]&lt;=12,"6-12 Monaten", IF(tblRentRoll[[#This Row],[Month_to_Expiry]]&gt;=12, "12 M+",)))))</f>
        <v>0-3 Monaten</v>
      </c>
      <c r="W353">
        <f>IF(tblRentRoll[[#This Row],[Status]]="Vacant", tblRentRoll[[#This Row],[Area_sqm]],0)</f>
        <v>0</v>
      </c>
      <c r="X353" s="3">
        <f>IF(tblRentRoll[[#This Row],[Status]]="Occupied", tblRentRoll[[#This Row],[Area_sqm]],0)</f>
        <v>1087</v>
      </c>
      <c r="Y353" s="3">
        <f ca="1">tblRentRoll[[#This Row],[Month_to_Expiry]]/12*tblRentRoll[[#This Row],[Annual_Rent_EUR]]</f>
        <v>0</v>
      </c>
      <c r="Z353" s="3"/>
    </row>
    <row r="354" spans="1:26" x14ac:dyDescent="0.35">
      <c r="A354" t="s">
        <v>31</v>
      </c>
      <c r="B354" t="s">
        <v>530</v>
      </c>
      <c r="C354" t="s">
        <v>19</v>
      </c>
      <c r="D354">
        <v>545</v>
      </c>
      <c r="E354" t="s">
        <v>20</v>
      </c>
      <c r="G354">
        <v>0</v>
      </c>
      <c r="H354">
        <v>0</v>
      </c>
      <c r="I354" s="2">
        <f>tblRentRoll[[#This Row],[Monthly_Rent_EUR]]*12</f>
        <v>0</v>
      </c>
      <c r="J354" s="2" t="str">
        <f>IF(tblRentRoll[[#This Row],[Annual_Rent_EUR]]&lt;&gt;tblRentRoll[[#This Row],[Jahresrente_EUR]], "FALSCH", "")</f>
        <v/>
      </c>
      <c r="M354">
        <v>1540.43</v>
      </c>
      <c r="N354">
        <v>385.23</v>
      </c>
      <c r="O35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4" t="str">
        <f>IF(tblRentRoll[[#This Row],[Area_sqm]]&lt;=0,"Area&lt;=0","")</f>
        <v/>
      </c>
      <c r="Q354" t="str">
        <f>IF(tblRentRoll[[#This Row],[Monthly_Rent_EUR]]&lt;=0,"Rent&lt;=0","")</f>
        <v>Rent&lt;=0</v>
      </c>
      <c r="R354" t="str">
        <f>IF(AND(tblRentRoll[[#This Row],[Status]]="Occupied", tblRentRoll[[#This Row],[Area_sqm]]&gt;0), tblRentRoll[[#This Row],[Annual_Rent_EUR]]/tblRentRoll[[#This Row],[Area_sqm]],"")</f>
        <v/>
      </c>
      <c r="S354">
        <f>tblRentRoll[[#This Row],[Service_Charge_EUR]]+tblRentRoll[[#This Row],[Operating_Cost_EUR]]</f>
        <v>1925.66</v>
      </c>
      <c r="T354" t="str">
        <f>IF(tblRentRoll[[#This Row],[Annual_Rent_EUR]]&lt;&gt;0,tblRentRoll[[#This Row],[Annual_Rent_EUR]]-tblRentRoll[[#This Row],[Operating_Cost_EUR]], "")</f>
        <v/>
      </c>
      <c r="U354">
        <f ca="1">IF(AND(tblRentRoll[[#This Row],[Status]]="Occupied",tblRentRoll[[#This Row],[Lease_End]]&gt;=TODAY()),DATEDIF(TODAY(),tblRentRoll[[#This Row],[Lease_End]],"m"), 0)</f>
        <v>0</v>
      </c>
      <c r="V354" t="str">
        <f>IF(tblRentRoll[[#This Row],[Status]]&lt;&gt;"Occupied","", IF(tblRentRoll[[#This Row],[Month_to_Expiry]]&lt;=3, "0-3 Monaten",  IF(tblRentRoll[[#This Row],[Month_to_Expiry]]&lt;=6, "3-6 Monaten", IF(tblRentRoll[[#This Row],[Month_to_Expiry]]&lt;=12,"6-12 Monaten", IF(tblRentRoll[[#This Row],[Month_to_Expiry]]&gt;=12, "12 M+",)))))</f>
        <v/>
      </c>
      <c r="W354">
        <f>IF(tblRentRoll[[#This Row],[Status]]="Vacant", tblRentRoll[[#This Row],[Area_sqm]],0)</f>
        <v>545</v>
      </c>
      <c r="X354" s="3">
        <f>IF(tblRentRoll[[#This Row],[Status]]="Occupied", tblRentRoll[[#This Row],[Area_sqm]],0)</f>
        <v>0</v>
      </c>
      <c r="Y354" s="3">
        <f ca="1">tblRentRoll[[#This Row],[Month_to_Expiry]]/12*tblRentRoll[[#This Row],[Annual_Rent_EUR]]</f>
        <v>0</v>
      </c>
      <c r="Z354" s="3"/>
    </row>
    <row r="355" spans="1:26" x14ac:dyDescent="0.35">
      <c r="A355" t="s">
        <v>56</v>
      </c>
      <c r="B355" t="s">
        <v>531</v>
      </c>
      <c r="C355" t="s">
        <v>33</v>
      </c>
      <c r="D355">
        <v>620</v>
      </c>
      <c r="E355" t="s">
        <v>15</v>
      </c>
      <c r="F355" t="s">
        <v>532</v>
      </c>
      <c r="G355">
        <v>8182.13</v>
      </c>
      <c r="H355">
        <v>98185.56</v>
      </c>
      <c r="I355" s="2">
        <f>tblRentRoll[[#This Row],[Monthly_Rent_EUR]]*12</f>
        <v>98185.56</v>
      </c>
      <c r="J355" s="2" t="str">
        <f>IF(tblRentRoll[[#This Row],[Annual_Rent_EUR]]&lt;&gt;tblRentRoll[[#This Row],[Jahresrente_EUR]], "FALSCH", "")</f>
        <v/>
      </c>
      <c r="K355" s="1">
        <v>45074</v>
      </c>
      <c r="L355" s="1">
        <v>45306</v>
      </c>
      <c r="M355">
        <v>1647.31</v>
      </c>
      <c r="N355">
        <v>1249.67</v>
      </c>
      <c r="O35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5" t="str">
        <f>IF(tblRentRoll[[#This Row],[Area_sqm]]&lt;=0,"Area&lt;=0","")</f>
        <v/>
      </c>
      <c r="Q355" t="str">
        <f>IF(tblRentRoll[[#This Row],[Monthly_Rent_EUR]]&lt;=0,"Rent&lt;=0","")</f>
        <v/>
      </c>
      <c r="R355">
        <f>IF(AND(tblRentRoll[[#This Row],[Status]]="Occupied", tblRentRoll[[#This Row],[Area_sqm]]&gt;0), tblRentRoll[[#This Row],[Annual_Rent_EUR]]/tblRentRoll[[#This Row],[Area_sqm]],"")</f>
        <v>158.3638064516129</v>
      </c>
      <c r="S355">
        <f>tblRentRoll[[#This Row],[Service_Charge_EUR]]+tblRentRoll[[#This Row],[Operating_Cost_EUR]]</f>
        <v>2896.98</v>
      </c>
      <c r="T355">
        <f>IF(tblRentRoll[[#This Row],[Annual_Rent_EUR]]&lt;&gt;0,tblRentRoll[[#This Row],[Annual_Rent_EUR]]-tblRentRoll[[#This Row],[Operating_Cost_EUR]], "")</f>
        <v>96935.89</v>
      </c>
      <c r="U355">
        <f ca="1">IF(AND(tblRentRoll[[#This Row],[Status]]="Occupied",tblRentRoll[[#This Row],[Lease_End]]&gt;=TODAY()),DATEDIF(TODAY(),tblRentRoll[[#This Row],[Lease_End]],"m"), 0)</f>
        <v>0</v>
      </c>
      <c r="V355" t="str">
        <f ca="1">IF(tblRentRoll[[#This Row],[Status]]&lt;&gt;"Occupied","", IF(tblRentRoll[[#This Row],[Month_to_Expiry]]&lt;=3, "0-3 Monaten",  IF(tblRentRoll[[#This Row],[Month_to_Expiry]]&lt;=6, "3-6 Monaten", IF(tblRentRoll[[#This Row],[Month_to_Expiry]]&lt;=12,"6-12 Monaten", IF(tblRentRoll[[#This Row],[Month_to_Expiry]]&gt;=12, "12 M+",)))))</f>
        <v>0-3 Monaten</v>
      </c>
      <c r="W355">
        <f>IF(tblRentRoll[[#This Row],[Status]]="Vacant", tblRentRoll[[#This Row],[Area_sqm]],0)</f>
        <v>0</v>
      </c>
      <c r="X355" s="3">
        <f>IF(tblRentRoll[[#This Row],[Status]]="Occupied", tblRentRoll[[#This Row],[Area_sqm]],0)</f>
        <v>620</v>
      </c>
      <c r="Y355" s="3">
        <f ca="1">tblRentRoll[[#This Row],[Month_to_Expiry]]/12*tblRentRoll[[#This Row],[Annual_Rent_EUR]]</f>
        <v>0</v>
      </c>
      <c r="Z355" s="3"/>
    </row>
    <row r="356" spans="1:26" x14ac:dyDescent="0.35">
      <c r="A356" t="s">
        <v>17</v>
      </c>
      <c r="B356" t="s">
        <v>533</v>
      </c>
      <c r="C356" t="s">
        <v>19</v>
      </c>
      <c r="D356">
        <v>463</v>
      </c>
      <c r="E356" t="s">
        <v>15</v>
      </c>
      <c r="F356" t="s">
        <v>257</v>
      </c>
      <c r="G356">
        <v>5135.97</v>
      </c>
      <c r="H356">
        <v>61631.64</v>
      </c>
      <c r="I356" s="2">
        <f>tblRentRoll[[#This Row],[Monthly_Rent_EUR]]*12</f>
        <v>61631.64</v>
      </c>
      <c r="J356" s="2" t="str">
        <f>IF(tblRentRoll[[#This Row],[Annual_Rent_EUR]]&lt;&gt;tblRentRoll[[#This Row],[Jahresrente_EUR]], "FALSCH", "")</f>
        <v/>
      </c>
      <c r="K356" s="1">
        <v>44845</v>
      </c>
      <c r="L356" s="1">
        <v>46549</v>
      </c>
      <c r="M356">
        <v>672.99</v>
      </c>
      <c r="N356">
        <v>1112.6199999999999</v>
      </c>
      <c r="O35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6" t="str">
        <f>IF(tblRentRoll[[#This Row],[Area_sqm]]&lt;=0,"Area&lt;=0","")</f>
        <v/>
      </c>
      <c r="Q356" t="str">
        <f>IF(tblRentRoll[[#This Row],[Monthly_Rent_EUR]]&lt;=0,"Rent&lt;=0","")</f>
        <v/>
      </c>
      <c r="R356">
        <f>IF(AND(tblRentRoll[[#This Row],[Status]]="Occupied", tblRentRoll[[#This Row],[Area_sqm]]&gt;0), tblRentRoll[[#This Row],[Annual_Rent_EUR]]/tblRentRoll[[#This Row],[Area_sqm]],"")</f>
        <v>133.11369330453564</v>
      </c>
      <c r="S356">
        <f>tblRentRoll[[#This Row],[Service_Charge_EUR]]+tblRentRoll[[#This Row],[Operating_Cost_EUR]]</f>
        <v>1785.61</v>
      </c>
      <c r="T356">
        <f>IF(tblRentRoll[[#This Row],[Annual_Rent_EUR]]&lt;&gt;0,tblRentRoll[[#This Row],[Annual_Rent_EUR]]-tblRentRoll[[#This Row],[Operating_Cost_EUR]], "")</f>
        <v>60519.02</v>
      </c>
      <c r="U356">
        <f ca="1">IF(AND(tblRentRoll[[#This Row],[Status]]="Occupied",tblRentRoll[[#This Row],[Lease_End]]&gt;=TODAY()),DATEDIF(TODAY(),tblRentRoll[[#This Row],[Lease_End]],"m"), 0)</f>
        <v>14</v>
      </c>
      <c r="V356" t="str">
        <f ca="1">IF(tblRentRoll[[#This Row],[Status]]&lt;&gt;"Occupied","", IF(tblRentRoll[[#This Row],[Month_to_Expiry]]&lt;=3, "0-3 Monaten",  IF(tblRentRoll[[#This Row],[Month_to_Expiry]]&lt;=6, "3-6 Monaten", IF(tblRentRoll[[#This Row],[Month_to_Expiry]]&lt;=12,"6-12 Monaten", IF(tblRentRoll[[#This Row],[Month_to_Expiry]]&gt;=12, "12 M+",)))))</f>
        <v>12 M+</v>
      </c>
      <c r="W356">
        <f>IF(tblRentRoll[[#This Row],[Status]]="Vacant", tblRentRoll[[#This Row],[Area_sqm]],0)</f>
        <v>0</v>
      </c>
      <c r="X356" s="3">
        <f>IF(tblRentRoll[[#This Row],[Status]]="Occupied", tblRentRoll[[#This Row],[Area_sqm]],0)</f>
        <v>463</v>
      </c>
      <c r="Y356" s="3">
        <f ca="1">tblRentRoll[[#This Row],[Month_to_Expiry]]/12*tblRentRoll[[#This Row],[Annual_Rent_EUR]]</f>
        <v>71903.58</v>
      </c>
      <c r="Z356" s="3"/>
    </row>
    <row r="357" spans="1:26" x14ac:dyDescent="0.35">
      <c r="A357" t="s">
        <v>27</v>
      </c>
      <c r="B357" t="s">
        <v>534</v>
      </c>
      <c r="C357" t="s">
        <v>19</v>
      </c>
      <c r="D357">
        <v>1448</v>
      </c>
      <c r="E357" t="s">
        <v>15</v>
      </c>
      <c r="F357" t="s">
        <v>100</v>
      </c>
      <c r="G357">
        <v>9486.93</v>
      </c>
      <c r="H357">
        <v>113843.16</v>
      </c>
      <c r="I357" s="2">
        <f>tblRentRoll[[#This Row],[Monthly_Rent_EUR]]*12</f>
        <v>113843.16</v>
      </c>
      <c r="J357" s="2" t="str">
        <f>IF(tblRentRoll[[#This Row],[Annual_Rent_EUR]]&lt;&gt;tblRentRoll[[#This Row],[Jahresrente_EUR]], "FALSCH", "")</f>
        <v/>
      </c>
      <c r="K357" s="1">
        <v>44470</v>
      </c>
      <c r="L357" s="1">
        <v>45499</v>
      </c>
      <c r="M357">
        <v>2150.16</v>
      </c>
      <c r="N357">
        <v>2884.89</v>
      </c>
      <c r="O35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7" t="str">
        <f>IF(tblRentRoll[[#This Row],[Area_sqm]]&lt;=0,"Area&lt;=0","")</f>
        <v/>
      </c>
      <c r="Q357" t="str">
        <f>IF(tblRentRoll[[#This Row],[Monthly_Rent_EUR]]&lt;=0,"Rent&lt;=0","")</f>
        <v/>
      </c>
      <c r="R357">
        <f>IF(AND(tblRentRoll[[#This Row],[Status]]="Occupied", tblRentRoll[[#This Row],[Area_sqm]]&gt;0), tblRentRoll[[#This Row],[Annual_Rent_EUR]]/tblRentRoll[[#This Row],[Area_sqm]],"")</f>
        <v>78.620966850828736</v>
      </c>
      <c r="S357">
        <f>tblRentRoll[[#This Row],[Service_Charge_EUR]]+tblRentRoll[[#This Row],[Operating_Cost_EUR]]</f>
        <v>5035.0499999999993</v>
      </c>
      <c r="T357">
        <f>IF(tblRentRoll[[#This Row],[Annual_Rent_EUR]]&lt;&gt;0,tblRentRoll[[#This Row],[Annual_Rent_EUR]]-tblRentRoll[[#This Row],[Operating_Cost_EUR]], "")</f>
        <v>110958.27</v>
      </c>
      <c r="U357">
        <f ca="1">IF(AND(tblRentRoll[[#This Row],[Status]]="Occupied",tblRentRoll[[#This Row],[Lease_End]]&gt;=TODAY()),DATEDIF(TODAY(),tblRentRoll[[#This Row],[Lease_End]],"m"), 0)</f>
        <v>0</v>
      </c>
      <c r="V357" t="str">
        <f ca="1">IF(tblRentRoll[[#This Row],[Status]]&lt;&gt;"Occupied","", IF(tblRentRoll[[#This Row],[Month_to_Expiry]]&lt;=3, "0-3 Monaten",  IF(tblRentRoll[[#This Row],[Month_to_Expiry]]&lt;=6, "3-6 Monaten", IF(tblRentRoll[[#This Row],[Month_to_Expiry]]&lt;=12,"6-12 Monaten", IF(tblRentRoll[[#This Row],[Month_to_Expiry]]&gt;=12, "12 M+",)))))</f>
        <v>0-3 Monaten</v>
      </c>
      <c r="W357">
        <f>IF(tblRentRoll[[#This Row],[Status]]="Vacant", tblRentRoll[[#This Row],[Area_sqm]],0)</f>
        <v>0</v>
      </c>
      <c r="X357" s="3">
        <f>IF(tblRentRoll[[#This Row],[Status]]="Occupied", tblRentRoll[[#This Row],[Area_sqm]],0)</f>
        <v>1448</v>
      </c>
      <c r="Y357" s="3">
        <f ca="1">tblRentRoll[[#This Row],[Month_to_Expiry]]/12*tblRentRoll[[#This Row],[Annual_Rent_EUR]]</f>
        <v>0</v>
      </c>
      <c r="Z357" s="3"/>
    </row>
    <row r="358" spans="1:26" x14ac:dyDescent="0.35">
      <c r="A358" t="s">
        <v>31</v>
      </c>
      <c r="B358" t="s">
        <v>535</v>
      </c>
      <c r="C358" t="s">
        <v>29</v>
      </c>
      <c r="D358">
        <v>933</v>
      </c>
      <c r="E358" t="s">
        <v>15</v>
      </c>
      <c r="F358" t="s">
        <v>345</v>
      </c>
      <c r="G358">
        <v>6289.52</v>
      </c>
      <c r="H358">
        <v>75474.240000000005</v>
      </c>
      <c r="I358" s="2">
        <f>tblRentRoll[[#This Row],[Monthly_Rent_EUR]]*12</f>
        <v>75474.240000000005</v>
      </c>
      <c r="J358" s="2" t="str">
        <f>IF(tblRentRoll[[#This Row],[Annual_Rent_EUR]]&lt;&gt;tblRentRoll[[#This Row],[Jahresrente_EUR]], "FALSCH", "")</f>
        <v/>
      </c>
      <c r="K358" s="1">
        <v>44381</v>
      </c>
      <c r="L358" s="1">
        <v>45199</v>
      </c>
      <c r="M358">
        <v>2493.27</v>
      </c>
      <c r="N358">
        <v>1612.55</v>
      </c>
      <c r="O35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8" t="str">
        <f>IF(tblRentRoll[[#This Row],[Area_sqm]]&lt;=0,"Area&lt;=0","")</f>
        <v/>
      </c>
      <c r="Q358" t="str">
        <f>IF(tblRentRoll[[#This Row],[Monthly_Rent_EUR]]&lt;=0,"Rent&lt;=0","")</f>
        <v/>
      </c>
      <c r="R358">
        <f>IF(AND(tblRentRoll[[#This Row],[Status]]="Occupied", tblRentRoll[[#This Row],[Area_sqm]]&gt;0), tblRentRoll[[#This Row],[Annual_Rent_EUR]]/tblRentRoll[[#This Row],[Area_sqm]],"")</f>
        <v>80.894147909967856</v>
      </c>
      <c r="S358">
        <f>tblRentRoll[[#This Row],[Service_Charge_EUR]]+tblRentRoll[[#This Row],[Operating_Cost_EUR]]</f>
        <v>4105.82</v>
      </c>
      <c r="T358">
        <f>IF(tblRentRoll[[#This Row],[Annual_Rent_EUR]]&lt;&gt;0,tblRentRoll[[#This Row],[Annual_Rent_EUR]]-tblRentRoll[[#This Row],[Operating_Cost_EUR]], "")</f>
        <v>73861.69</v>
      </c>
      <c r="U358">
        <f ca="1">IF(AND(tblRentRoll[[#This Row],[Status]]="Occupied",tblRentRoll[[#This Row],[Lease_End]]&gt;=TODAY()),DATEDIF(TODAY(),tblRentRoll[[#This Row],[Lease_End]],"m"), 0)</f>
        <v>0</v>
      </c>
      <c r="V358" t="str">
        <f ca="1">IF(tblRentRoll[[#This Row],[Status]]&lt;&gt;"Occupied","", IF(tblRentRoll[[#This Row],[Month_to_Expiry]]&lt;=3, "0-3 Monaten",  IF(tblRentRoll[[#This Row],[Month_to_Expiry]]&lt;=6, "3-6 Monaten", IF(tblRentRoll[[#This Row],[Month_to_Expiry]]&lt;=12,"6-12 Monaten", IF(tblRentRoll[[#This Row],[Month_to_Expiry]]&gt;=12, "12 M+",)))))</f>
        <v>0-3 Monaten</v>
      </c>
      <c r="W358">
        <f>IF(tblRentRoll[[#This Row],[Status]]="Vacant", tblRentRoll[[#This Row],[Area_sqm]],0)</f>
        <v>0</v>
      </c>
      <c r="X358" s="3">
        <f>IF(tblRentRoll[[#This Row],[Status]]="Occupied", tblRentRoll[[#This Row],[Area_sqm]],0)</f>
        <v>933</v>
      </c>
      <c r="Y358" s="3">
        <f ca="1">tblRentRoll[[#This Row],[Month_to_Expiry]]/12*tblRentRoll[[#This Row],[Annual_Rent_EUR]]</f>
        <v>0</v>
      </c>
      <c r="Z358" s="3"/>
    </row>
    <row r="359" spans="1:26" x14ac:dyDescent="0.35">
      <c r="A359" t="s">
        <v>17</v>
      </c>
      <c r="B359" t="s">
        <v>536</v>
      </c>
      <c r="C359" t="s">
        <v>33</v>
      </c>
      <c r="D359">
        <v>152</v>
      </c>
      <c r="E359" t="s">
        <v>15</v>
      </c>
      <c r="F359" t="s">
        <v>355</v>
      </c>
      <c r="G359">
        <v>2079.2600000000002</v>
      </c>
      <c r="H359">
        <v>24951.119999999999</v>
      </c>
      <c r="I359" s="2">
        <f>tblRentRoll[[#This Row],[Monthly_Rent_EUR]]*12</f>
        <v>24951.120000000003</v>
      </c>
      <c r="J359" s="2" t="str">
        <f>IF(tblRentRoll[[#This Row],[Annual_Rent_EUR]]&lt;&gt;tblRentRoll[[#This Row],[Jahresrente_EUR]], "FALSCH", "")</f>
        <v/>
      </c>
      <c r="K359" s="1">
        <v>44728</v>
      </c>
      <c r="L359" s="1">
        <v>45073</v>
      </c>
      <c r="M359">
        <v>406.43</v>
      </c>
      <c r="N359">
        <v>138.79</v>
      </c>
      <c r="O35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59" t="str">
        <f>IF(tblRentRoll[[#This Row],[Area_sqm]]&lt;=0,"Area&lt;=0","")</f>
        <v/>
      </c>
      <c r="Q359" t="str">
        <f>IF(tblRentRoll[[#This Row],[Monthly_Rent_EUR]]&lt;=0,"Rent&lt;=0","")</f>
        <v/>
      </c>
      <c r="R359">
        <f>IF(AND(tblRentRoll[[#This Row],[Status]]="Occupied", tblRentRoll[[#This Row],[Area_sqm]]&gt;0), tblRentRoll[[#This Row],[Annual_Rent_EUR]]/tblRentRoll[[#This Row],[Area_sqm]],"")</f>
        <v>164.15210526315789</v>
      </c>
      <c r="S359">
        <f>tblRentRoll[[#This Row],[Service_Charge_EUR]]+tblRentRoll[[#This Row],[Operating_Cost_EUR]]</f>
        <v>545.22</v>
      </c>
      <c r="T359">
        <f>IF(tblRentRoll[[#This Row],[Annual_Rent_EUR]]&lt;&gt;0,tblRentRoll[[#This Row],[Annual_Rent_EUR]]-tblRentRoll[[#This Row],[Operating_Cost_EUR]], "")</f>
        <v>24812.329999999998</v>
      </c>
      <c r="U359">
        <f ca="1">IF(AND(tblRentRoll[[#This Row],[Status]]="Occupied",tblRentRoll[[#This Row],[Lease_End]]&gt;=TODAY()),DATEDIF(TODAY(),tblRentRoll[[#This Row],[Lease_End]],"m"), 0)</f>
        <v>0</v>
      </c>
      <c r="V359" t="str">
        <f ca="1">IF(tblRentRoll[[#This Row],[Status]]&lt;&gt;"Occupied","", IF(tblRentRoll[[#This Row],[Month_to_Expiry]]&lt;=3, "0-3 Monaten",  IF(tblRentRoll[[#This Row],[Month_to_Expiry]]&lt;=6, "3-6 Monaten", IF(tblRentRoll[[#This Row],[Month_to_Expiry]]&lt;=12,"6-12 Monaten", IF(tblRentRoll[[#This Row],[Month_to_Expiry]]&gt;=12, "12 M+",)))))</f>
        <v>0-3 Monaten</v>
      </c>
      <c r="W359">
        <f>IF(tblRentRoll[[#This Row],[Status]]="Vacant", tblRentRoll[[#This Row],[Area_sqm]],0)</f>
        <v>0</v>
      </c>
      <c r="X359" s="3">
        <f>IF(tblRentRoll[[#This Row],[Status]]="Occupied", tblRentRoll[[#This Row],[Area_sqm]],0)</f>
        <v>152</v>
      </c>
      <c r="Y359" s="3">
        <f ca="1">tblRentRoll[[#This Row],[Month_to_Expiry]]/12*tblRentRoll[[#This Row],[Annual_Rent_EUR]]</f>
        <v>0</v>
      </c>
      <c r="Z359" s="3"/>
    </row>
    <row r="360" spans="1:26" x14ac:dyDescent="0.35">
      <c r="A360" t="s">
        <v>21</v>
      </c>
      <c r="B360" t="s">
        <v>537</v>
      </c>
      <c r="C360" t="s">
        <v>19</v>
      </c>
      <c r="D360">
        <v>1041</v>
      </c>
      <c r="E360" t="s">
        <v>15</v>
      </c>
      <c r="F360" t="s">
        <v>441</v>
      </c>
      <c r="G360">
        <v>7343.51</v>
      </c>
      <c r="H360">
        <v>88122.12</v>
      </c>
      <c r="I360" s="2">
        <f>tblRentRoll[[#This Row],[Monthly_Rent_EUR]]*12</f>
        <v>88122.12</v>
      </c>
      <c r="J360" s="2" t="str">
        <f>IF(tblRentRoll[[#This Row],[Annual_Rent_EUR]]&lt;&gt;tblRentRoll[[#This Row],[Jahresrente_EUR]], "FALSCH", "")</f>
        <v/>
      </c>
      <c r="K360" s="1">
        <v>44524</v>
      </c>
      <c r="L360" s="1">
        <v>46339</v>
      </c>
      <c r="M360">
        <v>2070.8200000000002</v>
      </c>
      <c r="N360">
        <v>1492.42</v>
      </c>
      <c r="O36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0" t="str">
        <f>IF(tblRentRoll[[#This Row],[Area_sqm]]&lt;=0,"Area&lt;=0","")</f>
        <v/>
      </c>
      <c r="Q360" t="str">
        <f>IF(tblRentRoll[[#This Row],[Monthly_Rent_EUR]]&lt;=0,"Rent&lt;=0","")</f>
        <v/>
      </c>
      <c r="R360">
        <f>IF(AND(tblRentRoll[[#This Row],[Status]]="Occupied", tblRentRoll[[#This Row],[Area_sqm]]&gt;0), tblRentRoll[[#This Row],[Annual_Rent_EUR]]/tblRentRoll[[#This Row],[Area_sqm]],"")</f>
        <v>84.651412103746395</v>
      </c>
      <c r="S360">
        <f>tblRentRoll[[#This Row],[Service_Charge_EUR]]+tblRentRoll[[#This Row],[Operating_Cost_EUR]]</f>
        <v>3563.2400000000002</v>
      </c>
      <c r="T360">
        <f>IF(tblRentRoll[[#This Row],[Annual_Rent_EUR]]&lt;&gt;0,tblRentRoll[[#This Row],[Annual_Rent_EUR]]-tblRentRoll[[#This Row],[Operating_Cost_EUR]], "")</f>
        <v>86629.7</v>
      </c>
      <c r="U360">
        <f ca="1">IF(AND(tblRentRoll[[#This Row],[Status]]="Occupied",tblRentRoll[[#This Row],[Lease_End]]&gt;=TODAY()),DATEDIF(TODAY(),tblRentRoll[[#This Row],[Lease_End]],"m"), 0)</f>
        <v>8</v>
      </c>
      <c r="V360" t="str">
        <f ca="1">IF(tblRentRoll[[#This Row],[Status]]&lt;&gt;"Occupied","", IF(tblRentRoll[[#This Row],[Month_to_Expiry]]&lt;=3, "0-3 Monaten",  IF(tblRentRoll[[#This Row],[Month_to_Expiry]]&lt;=6, "3-6 Monaten", IF(tblRentRoll[[#This Row],[Month_to_Expiry]]&lt;=12,"6-12 Monaten", IF(tblRentRoll[[#This Row],[Month_to_Expiry]]&gt;=12, "12 M+",)))))</f>
        <v>6-12 Monaten</v>
      </c>
      <c r="W360">
        <f>IF(tblRentRoll[[#This Row],[Status]]="Vacant", tblRentRoll[[#This Row],[Area_sqm]],0)</f>
        <v>0</v>
      </c>
      <c r="X360" s="3">
        <f>IF(tblRentRoll[[#This Row],[Status]]="Occupied", tblRentRoll[[#This Row],[Area_sqm]],0)</f>
        <v>1041</v>
      </c>
      <c r="Y360" s="3">
        <f ca="1">tblRentRoll[[#This Row],[Month_to_Expiry]]/12*tblRentRoll[[#This Row],[Annual_Rent_EUR]]</f>
        <v>58748.079999999994</v>
      </c>
      <c r="Z360" s="3"/>
    </row>
    <row r="361" spans="1:26" x14ac:dyDescent="0.35">
      <c r="A361" t="s">
        <v>21</v>
      </c>
      <c r="B361" t="s">
        <v>538</v>
      </c>
      <c r="C361" t="s">
        <v>19</v>
      </c>
      <c r="D361">
        <v>978</v>
      </c>
      <c r="E361" t="s">
        <v>20</v>
      </c>
      <c r="G361">
        <v>0</v>
      </c>
      <c r="H361">
        <v>0</v>
      </c>
      <c r="I361" s="2">
        <f>tblRentRoll[[#This Row],[Monthly_Rent_EUR]]*12</f>
        <v>0</v>
      </c>
      <c r="J361" s="2" t="str">
        <f>IF(tblRentRoll[[#This Row],[Annual_Rent_EUR]]&lt;&gt;tblRentRoll[[#This Row],[Jahresrente_EUR]], "FALSCH", "")</f>
        <v/>
      </c>
      <c r="M361">
        <v>2467.21</v>
      </c>
      <c r="N361">
        <v>1476.81</v>
      </c>
      <c r="O36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1" t="str">
        <f>IF(tblRentRoll[[#This Row],[Area_sqm]]&lt;=0,"Area&lt;=0","")</f>
        <v/>
      </c>
      <c r="Q361" t="str">
        <f>IF(tblRentRoll[[#This Row],[Monthly_Rent_EUR]]&lt;=0,"Rent&lt;=0","")</f>
        <v>Rent&lt;=0</v>
      </c>
      <c r="R361" t="str">
        <f>IF(AND(tblRentRoll[[#This Row],[Status]]="Occupied", tblRentRoll[[#This Row],[Area_sqm]]&gt;0), tblRentRoll[[#This Row],[Annual_Rent_EUR]]/tblRentRoll[[#This Row],[Area_sqm]],"")</f>
        <v/>
      </c>
      <c r="S361">
        <f>tblRentRoll[[#This Row],[Service_Charge_EUR]]+tblRentRoll[[#This Row],[Operating_Cost_EUR]]</f>
        <v>3944.02</v>
      </c>
      <c r="T361" t="str">
        <f>IF(tblRentRoll[[#This Row],[Annual_Rent_EUR]]&lt;&gt;0,tblRentRoll[[#This Row],[Annual_Rent_EUR]]-tblRentRoll[[#This Row],[Operating_Cost_EUR]], "")</f>
        <v/>
      </c>
      <c r="U361">
        <f ca="1">IF(AND(tblRentRoll[[#This Row],[Status]]="Occupied",tblRentRoll[[#This Row],[Lease_End]]&gt;=TODAY()),DATEDIF(TODAY(),tblRentRoll[[#This Row],[Lease_End]],"m"), 0)</f>
        <v>0</v>
      </c>
      <c r="V361" t="str">
        <f>IF(tblRentRoll[[#This Row],[Status]]&lt;&gt;"Occupied","", IF(tblRentRoll[[#This Row],[Month_to_Expiry]]&lt;=3, "0-3 Monaten",  IF(tblRentRoll[[#This Row],[Month_to_Expiry]]&lt;=6, "3-6 Monaten", IF(tblRentRoll[[#This Row],[Month_to_Expiry]]&lt;=12,"6-12 Monaten", IF(tblRentRoll[[#This Row],[Month_to_Expiry]]&gt;=12, "12 M+",)))))</f>
        <v/>
      </c>
      <c r="W361">
        <f>IF(tblRentRoll[[#This Row],[Status]]="Vacant", tblRentRoll[[#This Row],[Area_sqm]],0)</f>
        <v>978</v>
      </c>
      <c r="X361" s="3">
        <f>IF(tblRentRoll[[#This Row],[Status]]="Occupied", tblRentRoll[[#This Row],[Area_sqm]],0)</f>
        <v>0</v>
      </c>
      <c r="Y361" s="3">
        <f ca="1">tblRentRoll[[#This Row],[Month_to_Expiry]]/12*tblRentRoll[[#This Row],[Annual_Rent_EUR]]</f>
        <v>0</v>
      </c>
      <c r="Z361" s="3"/>
    </row>
    <row r="362" spans="1:26" x14ac:dyDescent="0.35">
      <c r="A362" t="s">
        <v>44</v>
      </c>
      <c r="B362" t="s">
        <v>539</v>
      </c>
      <c r="C362" t="s">
        <v>29</v>
      </c>
      <c r="D362">
        <v>1024</v>
      </c>
      <c r="E362" t="s">
        <v>15</v>
      </c>
      <c r="F362" t="s">
        <v>374</v>
      </c>
      <c r="G362">
        <v>8543.24</v>
      </c>
      <c r="H362">
        <v>102518.88</v>
      </c>
      <c r="I362" s="2">
        <f>tblRentRoll[[#This Row],[Monthly_Rent_EUR]]*12</f>
        <v>102518.88</v>
      </c>
      <c r="J362" s="2" t="str">
        <f>IF(tblRentRoll[[#This Row],[Annual_Rent_EUR]]&lt;&gt;tblRentRoll[[#This Row],[Jahresrente_EUR]], "FALSCH", "")</f>
        <v/>
      </c>
      <c r="K362" s="1">
        <v>44607</v>
      </c>
      <c r="L362" s="1">
        <v>44930</v>
      </c>
      <c r="M362">
        <v>2448.21</v>
      </c>
      <c r="N362">
        <v>1317.98</v>
      </c>
      <c r="O36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2" t="str">
        <f>IF(tblRentRoll[[#This Row],[Area_sqm]]&lt;=0,"Area&lt;=0","")</f>
        <v/>
      </c>
      <c r="Q362" t="str">
        <f>IF(tblRentRoll[[#This Row],[Monthly_Rent_EUR]]&lt;=0,"Rent&lt;=0","")</f>
        <v/>
      </c>
      <c r="R362">
        <f>IF(AND(tblRentRoll[[#This Row],[Status]]="Occupied", tblRentRoll[[#This Row],[Area_sqm]]&gt;0), tblRentRoll[[#This Row],[Annual_Rent_EUR]]/tblRentRoll[[#This Row],[Area_sqm]],"")</f>
        <v>100.11609375</v>
      </c>
      <c r="S362">
        <f>tblRentRoll[[#This Row],[Service_Charge_EUR]]+tblRentRoll[[#This Row],[Operating_Cost_EUR]]</f>
        <v>3766.19</v>
      </c>
      <c r="T362">
        <f>IF(tblRentRoll[[#This Row],[Annual_Rent_EUR]]&lt;&gt;0,tblRentRoll[[#This Row],[Annual_Rent_EUR]]-tblRentRoll[[#This Row],[Operating_Cost_EUR]], "")</f>
        <v>101200.90000000001</v>
      </c>
      <c r="U362">
        <f ca="1">IF(AND(tblRentRoll[[#This Row],[Status]]="Occupied",tblRentRoll[[#This Row],[Lease_End]]&gt;=TODAY()),DATEDIF(TODAY(),tblRentRoll[[#This Row],[Lease_End]],"m"), 0)</f>
        <v>0</v>
      </c>
      <c r="V362" t="str">
        <f ca="1">IF(tblRentRoll[[#This Row],[Status]]&lt;&gt;"Occupied","", IF(tblRentRoll[[#This Row],[Month_to_Expiry]]&lt;=3, "0-3 Monaten",  IF(tblRentRoll[[#This Row],[Month_to_Expiry]]&lt;=6, "3-6 Monaten", IF(tblRentRoll[[#This Row],[Month_to_Expiry]]&lt;=12,"6-12 Monaten", IF(tblRentRoll[[#This Row],[Month_to_Expiry]]&gt;=12, "12 M+",)))))</f>
        <v>0-3 Monaten</v>
      </c>
      <c r="W362">
        <f>IF(tblRentRoll[[#This Row],[Status]]="Vacant", tblRentRoll[[#This Row],[Area_sqm]],0)</f>
        <v>0</v>
      </c>
      <c r="X362" s="3">
        <f>IF(tblRentRoll[[#This Row],[Status]]="Occupied", tblRentRoll[[#This Row],[Area_sqm]],0)</f>
        <v>1024</v>
      </c>
      <c r="Y362" s="3">
        <f ca="1">tblRentRoll[[#This Row],[Month_to_Expiry]]/12*tblRentRoll[[#This Row],[Annual_Rent_EUR]]</f>
        <v>0</v>
      </c>
      <c r="Z362" s="3"/>
    </row>
    <row r="363" spans="1:26" x14ac:dyDescent="0.35">
      <c r="A363" t="s">
        <v>56</v>
      </c>
      <c r="B363" t="s">
        <v>540</v>
      </c>
      <c r="C363" t="s">
        <v>19</v>
      </c>
      <c r="D363">
        <v>319</v>
      </c>
      <c r="E363" t="s">
        <v>15</v>
      </c>
      <c r="F363" t="s">
        <v>139</v>
      </c>
      <c r="G363">
        <v>3246.09</v>
      </c>
      <c r="H363">
        <v>38953.08</v>
      </c>
      <c r="I363" s="2">
        <f>tblRentRoll[[#This Row],[Monthly_Rent_EUR]]*12</f>
        <v>38953.08</v>
      </c>
      <c r="J363" s="2" t="str">
        <f>IF(tblRentRoll[[#This Row],[Annual_Rent_EUR]]&lt;&gt;tblRentRoll[[#This Row],[Jahresrente_EUR]], "FALSCH", "")</f>
        <v/>
      </c>
      <c r="K363" s="1">
        <v>44868</v>
      </c>
      <c r="L363" s="1">
        <v>45239</v>
      </c>
      <c r="M363">
        <v>955.23</v>
      </c>
      <c r="N363">
        <v>174.29</v>
      </c>
      <c r="O36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3" t="str">
        <f>IF(tblRentRoll[[#This Row],[Area_sqm]]&lt;=0,"Area&lt;=0","")</f>
        <v/>
      </c>
      <c r="Q363" t="str">
        <f>IF(tblRentRoll[[#This Row],[Monthly_Rent_EUR]]&lt;=0,"Rent&lt;=0","")</f>
        <v/>
      </c>
      <c r="R363">
        <f>IF(AND(tblRentRoll[[#This Row],[Status]]="Occupied", tblRentRoll[[#This Row],[Area_sqm]]&gt;0), tblRentRoll[[#This Row],[Annual_Rent_EUR]]/tblRentRoll[[#This Row],[Area_sqm]],"")</f>
        <v>122.10996865203762</v>
      </c>
      <c r="S363">
        <f>tblRentRoll[[#This Row],[Service_Charge_EUR]]+tblRentRoll[[#This Row],[Operating_Cost_EUR]]</f>
        <v>1129.52</v>
      </c>
      <c r="T363">
        <f>IF(tblRentRoll[[#This Row],[Annual_Rent_EUR]]&lt;&gt;0,tblRentRoll[[#This Row],[Annual_Rent_EUR]]-tblRentRoll[[#This Row],[Operating_Cost_EUR]], "")</f>
        <v>38778.79</v>
      </c>
      <c r="U363">
        <f ca="1">IF(AND(tblRentRoll[[#This Row],[Status]]="Occupied",tblRentRoll[[#This Row],[Lease_End]]&gt;=TODAY()),DATEDIF(TODAY(),tblRentRoll[[#This Row],[Lease_End]],"m"), 0)</f>
        <v>0</v>
      </c>
      <c r="V363" t="str">
        <f ca="1">IF(tblRentRoll[[#This Row],[Status]]&lt;&gt;"Occupied","", IF(tblRentRoll[[#This Row],[Month_to_Expiry]]&lt;=3, "0-3 Monaten",  IF(tblRentRoll[[#This Row],[Month_to_Expiry]]&lt;=6, "3-6 Monaten", IF(tblRentRoll[[#This Row],[Month_to_Expiry]]&lt;=12,"6-12 Monaten", IF(tblRentRoll[[#This Row],[Month_to_Expiry]]&gt;=12, "12 M+",)))))</f>
        <v>0-3 Monaten</v>
      </c>
      <c r="W363">
        <f>IF(tblRentRoll[[#This Row],[Status]]="Vacant", tblRentRoll[[#This Row],[Area_sqm]],0)</f>
        <v>0</v>
      </c>
      <c r="X363" s="3">
        <f>IF(tblRentRoll[[#This Row],[Status]]="Occupied", tblRentRoll[[#This Row],[Area_sqm]],0)</f>
        <v>319</v>
      </c>
      <c r="Y363" s="3">
        <f ca="1">tblRentRoll[[#This Row],[Month_to_Expiry]]/12*tblRentRoll[[#This Row],[Annual_Rent_EUR]]</f>
        <v>0</v>
      </c>
      <c r="Z363" s="3"/>
    </row>
    <row r="364" spans="1:26" x14ac:dyDescent="0.35">
      <c r="A364" t="s">
        <v>24</v>
      </c>
      <c r="B364" t="s">
        <v>541</v>
      </c>
      <c r="C364" t="s">
        <v>29</v>
      </c>
      <c r="D364">
        <v>1143</v>
      </c>
      <c r="E364" t="s">
        <v>15</v>
      </c>
      <c r="F364" t="s">
        <v>134</v>
      </c>
      <c r="G364">
        <v>11047.86</v>
      </c>
      <c r="H364">
        <v>132574.32</v>
      </c>
      <c r="I364" s="2">
        <f>tblRentRoll[[#This Row],[Monthly_Rent_EUR]]*12</f>
        <v>132574.32</v>
      </c>
      <c r="J364" s="2" t="str">
        <f>IF(tblRentRoll[[#This Row],[Annual_Rent_EUR]]&lt;&gt;tblRentRoll[[#This Row],[Jahresrente_EUR]], "FALSCH", "")</f>
        <v/>
      </c>
      <c r="K364" s="1">
        <v>44922</v>
      </c>
      <c r="L364" s="1">
        <v>46486</v>
      </c>
      <c r="M364">
        <v>3122.53</v>
      </c>
      <c r="N364">
        <v>847.72</v>
      </c>
      <c r="O36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4" t="str">
        <f>IF(tblRentRoll[[#This Row],[Area_sqm]]&lt;=0,"Area&lt;=0","")</f>
        <v/>
      </c>
      <c r="Q364" t="str">
        <f>IF(tblRentRoll[[#This Row],[Monthly_Rent_EUR]]&lt;=0,"Rent&lt;=0","")</f>
        <v/>
      </c>
      <c r="R364">
        <f>IF(AND(tblRentRoll[[#This Row],[Status]]="Occupied", tblRentRoll[[#This Row],[Area_sqm]]&gt;0), tblRentRoll[[#This Row],[Annual_Rent_EUR]]/tblRentRoll[[#This Row],[Area_sqm]],"")</f>
        <v>115.988031496063</v>
      </c>
      <c r="S364">
        <f>tblRentRoll[[#This Row],[Service_Charge_EUR]]+tblRentRoll[[#This Row],[Operating_Cost_EUR]]</f>
        <v>3970.25</v>
      </c>
      <c r="T364">
        <f>IF(tblRentRoll[[#This Row],[Annual_Rent_EUR]]&lt;&gt;0,tblRentRoll[[#This Row],[Annual_Rent_EUR]]-tblRentRoll[[#This Row],[Operating_Cost_EUR]], "")</f>
        <v>131726.6</v>
      </c>
      <c r="U364">
        <f ca="1">IF(AND(tblRentRoll[[#This Row],[Status]]="Occupied",tblRentRoll[[#This Row],[Lease_End]]&gt;=TODAY()),DATEDIF(TODAY(),tblRentRoll[[#This Row],[Lease_End]],"m"), 0)</f>
        <v>12</v>
      </c>
      <c r="V364" t="str">
        <f ca="1">IF(tblRentRoll[[#This Row],[Status]]&lt;&gt;"Occupied","", IF(tblRentRoll[[#This Row],[Month_to_Expiry]]&lt;=3, "0-3 Monaten",  IF(tblRentRoll[[#This Row],[Month_to_Expiry]]&lt;=6, "3-6 Monaten", IF(tblRentRoll[[#This Row],[Month_to_Expiry]]&lt;=12,"6-12 Monaten", IF(tblRentRoll[[#This Row],[Month_to_Expiry]]&gt;=12, "12 M+",)))))</f>
        <v>6-12 Monaten</v>
      </c>
      <c r="W364">
        <f>IF(tblRentRoll[[#This Row],[Status]]="Vacant", tblRentRoll[[#This Row],[Area_sqm]],0)</f>
        <v>0</v>
      </c>
      <c r="X364" s="3">
        <f>IF(tblRentRoll[[#This Row],[Status]]="Occupied", tblRentRoll[[#This Row],[Area_sqm]],0)</f>
        <v>1143</v>
      </c>
      <c r="Y364" s="3">
        <f ca="1">tblRentRoll[[#This Row],[Month_to_Expiry]]/12*tblRentRoll[[#This Row],[Annual_Rent_EUR]]</f>
        <v>132574.32</v>
      </c>
      <c r="Z364" s="3"/>
    </row>
    <row r="365" spans="1:26" x14ac:dyDescent="0.35">
      <c r="A365" t="s">
        <v>21</v>
      </c>
      <c r="B365" t="s">
        <v>542</v>
      </c>
      <c r="C365" t="s">
        <v>29</v>
      </c>
      <c r="D365">
        <v>1250</v>
      </c>
      <c r="E365" t="s">
        <v>15</v>
      </c>
      <c r="F365" t="s">
        <v>164</v>
      </c>
      <c r="G365">
        <v>12868.99</v>
      </c>
      <c r="H365">
        <v>154427.88</v>
      </c>
      <c r="I365" s="2">
        <f>tblRentRoll[[#This Row],[Monthly_Rent_EUR]]*12</f>
        <v>154427.88</v>
      </c>
      <c r="J365" s="2" t="str">
        <f>IF(tblRentRoll[[#This Row],[Annual_Rent_EUR]]&lt;&gt;tblRentRoll[[#This Row],[Jahresrente_EUR]], "FALSCH", "")</f>
        <v/>
      </c>
      <c r="K365" s="1">
        <v>44298</v>
      </c>
      <c r="L365" s="1">
        <v>45530</v>
      </c>
      <c r="M365">
        <v>3288.02</v>
      </c>
      <c r="N365">
        <v>1583.73</v>
      </c>
      <c r="O36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5" t="str">
        <f>IF(tblRentRoll[[#This Row],[Area_sqm]]&lt;=0,"Area&lt;=0","")</f>
        <v/>
      </c>
      <c r="Q365" t="str">
        <f>IF(tblRentRoll[[#This Row],[Monthly_Rent_EUR]]&lt;=0,"Rent&lt;=0","")</f>
        <v/>
      </c>
      <c r="R365">
        <f>IF(AND(tblRentRoll[[#This Row],[Status]]="Occupied", tblRentRoll[[#This Row],[Area_sqm]]&gt;0), tblRentRoll[[#This Row],[Annual_Rent_EUR]]/tblRentRoll[[#This Row],[Area_sqm]],"")</f>
        <v>123.542304</v>
      </c>
      <c r="S365">
        <f>tblRentRoll[[#This Row],[Service_Charge_EUR]]+tblRentRoll[[#This Row],[Operating_Cost_EUR]]</f>
        <v>4871.75</v>
      </c>
      <c r="T365">
        <f>IF(tblRentRoll[[#This Row],[Annual_Rent_EUR]]&lt;&gt;0,tblRentRoll[[#This Row],[Annual_Rent_EUR]]-tblRentRoll[[#This Row],[Operating_Cost_EUR]], "")</f>
        <v>152844.15</v>
      </c>
      <c r="U365">
        <f ca="1">IF(AND(tblRentRoll[[#This Row],[Status]]="Occupied",tblRentRoll[[#This Row],[Lease_End]]&gt;=TODAY()),DATEDIF(TODAY(),tblRentRoll[[#This Row],[Lease_End]],"m"), 0)</f>
        <v>0</v>
      </c>
      <c r="V365" t="str">
        <f ca="1">IF(tblRentRoll[[#This Row],[Status]]&lt;&gt;"Occupied","", IF(tblRentRoll[[#This Row],[Month_to_Expiry]]&lt;=3, "0-3 Monaten",  IF(tblRentRoll[[#This Row],[Month_to_Expiry]]&lt;=6, "3-6 Monaten", IF(tblRentRoll[[#This Row],[Month_to_Expiry]]&lt;=12,"6-12 Monaten", IF(tblRentRoll[[#This Row],[Month_to_Expiry]]&gt;=12, "12 M+",)))))</f>
        <v>0-3 Monaten</v>
      </c>
      <c r="W365">
        <f>IF(tblRentRoll[[#This Row],[Status]]="Vacant", tblRentRoll[[#This Row],[Area_sqm]],0)</f>
        <v>0</v>
      </c>
      <c r="X365" s="3">
        <f>IF(tblRentRoll[[#This Row],[Status]]="Occupied", tblRentRoll[[#This Row],[Area_sqm]],0)</f>
        <v>1250</v>
      </c>
      <c r="Y365" s="3">
        <f ca="1">tblRentRoll[[#This Row],[Month_to_Expiry]]/12*tblRentRoll[[#This Row],[Annual_Rent_EUR]]</f>
        <v>0</v>
      </c>
      <c r="Z365" s="3"/>
    </row>
    <row r="366" spans="1:26" x14ac:dyDescent="0.35">
      <c r="A366" t="s">
        <v>56</v>
      </c>
      <c r="B366" t="s">
        <v>543</v>
      </c>
      <c r="C366" t="s">
        <v>29</v>
      </c>
      <c r="D366">
        <v>1227</v>
      </c>
      <c r="E366" t="s">
        <v>15</v>
      </c>
      <c r="F366" t="s">
        <v>126</v>
      </c>
      <c r="G366">
        <v>16448.259999999998</v>
      </c>
      <c r="H366">
        <v>197379.12</v>
      </c>
      <c r="I366" s="2">
        <f>tblRentRoll[[#This Row],[Monthly_Rent_EUR]]*12</f>
        <v>197379.12</v>
      </c>
      <c r="J366" s="2" t="str">
        <f>IF(tblRentRoll[[#This Row],[Annual_Rent_EUR]]&lt;&gt;tblRentRoll[[#This Row],[Jahresrente_EUR]], "FALSCH", "")</f>
        <v/>
      </c>
      <c r="K366" s="1">
        <v>44834</v>
      </c>
      <c r="L366" s="1">
        <v>45099</v>
      </c>
      <c r="M366">
        <v>2042.61</v>
      </c>
      <c r="N366">
        <v>2948.07</v>
      </c>
      <c r="O36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6" t="str">
        <f>IF(tblRentRoll[[#This Row],[Area_sqm]]&lt;=0,"Area&lt;=0","")</f>
        <v/>
      </c>
      <c r="Q366" t="str">
        <f>IF(tblRentRoll[[#This Row],[Monthly_Rent_EUR]]&lt;=0,"Rent&lt;=0","")</f>
        <v/>
      </c>
      <c r="R366">
        <f>IF(AND(tblRentRoll[[#This Row],[Status]]="Occupied", tblRentRoll[[#This Row],[Area_sqm]]&gt;0), tblRentRoll[[#This Row],[Annual_Rent_EUR]]/tblRentRoll[[#This Row],[Area_sqm]],"")</f>
        <v>160.86317848410758</v>
      </c>
      <c r="S366">
        <f>tblRentRoll[[#This Row],[Service_Charge_EUR]]+tblRentRoll[[#This Row],[Operating_Cost_EUR]]</f>
        <v>4990.68</v>
      </c>
      <c r="T366">
        <f>IF(tblRentRoll[[#This Row],[Annual_Rent_EUR]]&lt;&gt;0,tblRentRoll[[#This Row],[Annual_Rent_EUR]]-tblRentRoll[[#This Row],[Operating_Cost_EUR]], "")</f>
        <v>194431.05</v>
      </c>
      <c r="U366">
        <f ca="1">IF(AND(tblRentRoll[[#This Row],[Status]]="Occupied",tblRentRoll[[#This Row],[Lease_End]]&gt;=TODAY()),DATEDIF(TODAY(),tblRentRoll[[#This Row],[Lease_End]],"m"), 0)</f>
        <v>0</v>
      </c>
      <c r="V366" t="str">
        <f ca="1">IF(tblRentRoll[[#This Row],[Status]]&lt;&gt;"Occupied","", IF(tblRentRoll[[#This Row],[Month_to_Expiry]]&lt;=3, "0-3 Monaten",  IF(tblRentRoll[[#This Row],[Month_to_Expiry]]&lt;=6, "3-6 Monaten", IF(tblRentRoll[[#This Row],[Month_to_Expiry]]&lt;=12,"6-12 Monaten", IF(tblRentRoll[[#This Row],[Month_to_Expiry]]&gt;=12, "12 M+",)))))</f>
        <v>0-3 Monaten</v>
      </c>
      <c r="W366">
        <f>IF(tblRentRoll[[#This Row],[Status]]="Vacant", tblRentRoll[[#This Row],[Area_sqm]],0)</f>
        <v>0</v>
      </c>
      <c r="X366" s="3">
        <f>IF(tblRentRoll[[#This Row],[Status]]="Occupied", tblRentRoll[[#This Row],[Area_sqm]],0)</f>
        <v>1227</v>
      </c>
      <c r="Y366" s="3">
        <f ca="1">tblRentRoll[[#This Row],[Month_to_Expiry]]/12*tblRentRoll[[#This Row],[Annual_Rent_EUR]]</f>
        <v>0</v>
      </c>
      <c r="Z366" s="3"/>
    </row>
    <row r="367" spans="1:26" x14ac:dyDescent="0.35">
      <c r="A367" t="s">
        <v>27</v>
      </c>
      <c r="B367" t="s">
        <v>544</v>
      </c>
      <c r="C367" t="s">
        <v>33</v>
      </c>
      <c r="D367">
        <v>832</v>
      </c>
      <c r="E367" t="s">
        <v>15</v>
      </c>
      <c r="F367" t="s">
        <v>545</v>
      </c>
      <c r="G367">
        <v>12415.12</v>
      </c>
      <c r="H367">
        <v>148981.44</v>
      </c>
      <c r="I367" s="2">
        <f>tblRentRoll[[#This Row],[Monthly_Rent_EUR]]*12</f>
        <v>148981.44</v>
      </c>
      <c r="J367" s="2" t="str">
        <f>IF(tblRentRoll[[#This Row],[Annual_Rent_EUR]]&lt;&gt;tblRentRoll[[#This Row],[Jahresrente_EUR]], "FALSCH", "")</f>
        <v/>
      </c>
      <c r="K367" s="1">
        <v>44548</v>
      </c>
      <c r="L367" s="1">
        <v>46094</v>
      </c>
      <c r="M367">
        <v>1916.39</v>
      </c>
      <c r="N367">
        <v>1262.4100000000001</v>
      </c>
      <c r="O36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7" t="str">
        <f>IF(tblRentRoll[[#This Row],[Area_sqm]]&lt;=0,"Area&lt;=0","")</f>
        <v/>
      </c>
      <c r="Q367" t="str">
        <f>IF(tblRentRoll[[#This Row],[Monthly_Rent_EUR]]&lt;=0,"Rent&lt;=0","")</f>
        <v/>
      </c>
      <c r="R367">
        <f>IF(AND(tblRentRoll[[#This Row],[Status]]="Occupied", tblRentRoll[[#This Row],[Area_sqm]]&gt;0), tblRentRoll[[#This Row],[Annual_Rent_EUR]]/tblRentRoll[[#This Row],[Area_sqm]],"")</f>
        <v>179.06423076923076</v>
      </c>
      <c r="S367">
        <f>tblRentRoll[[#This Row],[Service_Charge_EUR]]+tblRentRoll[[#This Row],[Operating_Cost_EUR]]</f>
        <v>3178.8</v>
      </c>
      <c r="T367">
        <f>IF(tblRentRoll[[#This Row],[Annual_Rent_EUR]]&lt;&gt;0,tblRentRoll[[#This Row],[Annual_Rent_EUR]]-tblRentRoll[[#This Row],[Operating_Cost_EUR]], "")</f>
        <v>147719.03</v>
      </c>
      <c r="U367">
        <f ca="1">IF(AND(tblRentRoll[[#This Row],[Status]]="Occupied",tblRentRoll[[#This Row],[Lease_End]]&gt;=TODAY()),DATEDIF(TODAY(),tblRentRoll[[#This Row],[Lease_End]],"m"), 0)</f>
        <v>0</v>
      </c>
      <c r="V367" t="str">
        <f ca="1">IF(tblRentRoll[[#This Row],[Status]]&lt;&gt;"Occupied","", IF(tblRentRoll[[#This Row],[Month_to_Expiry]]&lt;=3, "0-3 Monaten",  IF(tblRentRoll[[#This Row],[Month_to_Expiry]]&lt;=6, "3-6 Monaten", IF(tblRentRoll[[#This Row],[Month_to_Expiry]]&lt;=12,"6-12 Monaten", IF(tblRentRoll[[#This Row],[Month_to_Expiry]]&gt;=12, "12 M+",)))))</f>
        <v>0-3 Monaten</v>
      </c>
      <c r="W367">
        <f>IF(tblRentRoll[[#This Row],[Status]]="Vacant", tblRentRoll[[#This Row],[Area_sqm]],0)</f>
        <v>0</v>
      </c>
      <c r="X367" s="3">
        <f>IF(tblRentRoll[[#This Row],[Status]]="Occupied", tblRentRoll[[#This Row],[Area_sqm]],0)</f>
        <v>832</v>
      </c>
      <c r="Y367" s="3">
        <f ca="1">tblRentRoll[[#This Row],[Month_to_Expiry]]/12*tblRentRoll[[#This Row],[Annual_Rent_EUR]]</f>
        <v>0</v>
      </c>
      <c r="Z367" s="3"/>
    </row>
    <row r="368" spans="1:26" x14ac:dyDescent="0.35">
      <c r="A368" t="s">
        <v>17</v>
      </c>
      <c r="B368" t="s">
        <v>546</v>
      </c>
      <c r="C368" t="s">
        <v>33</v>
      </c>
      <c r="D368">
        <v>1219</v>
      </c>
      <c r="E368" t="s">
        <v>15</v>
      </c>
      <c r="F368" t="s">
        <v>221</v>
      </c>
      <c r="G368">
        <v>9797.17</v>
      </c>
      <c r="H368">
        <v>117566.04</v>
      </c>
      <c r="I368" s="2">
        <f>tblRentRoll[[#This Row],[Monthly_Rent_EUR]]*12</f>
        <v>117566.04000000001</v>
      </c>
      <c r="J368" s="2" t="str">
        <f>IF(tblRentRoll[[#This Row],[Annual_Rent_EUR]]&lt;&gt;tblRentRoll[[#This Row],[Jahresrente_EUR]], "FALSCH", "")</f>
        <v/>
      </c>
      <c r="K368" s="1">
        <v>45176</v>
      </c>
      <c r="L368" s="1">
        <v>46708</v>
      </c>
      <c r="M368">
        <v>1507.86</v>
      </c>
      <c r="N368">
        <v>834.32</v>
      </c>
      <c r="O36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8" t="str">
        <f>IF(tblRentRoll[[#This Row],[Area_sqm]]&lt;=0,"Area&lt;=0","")</f>
        <v/>
      </c>
      <c r="Q368" t="str">
        <f>IF(tblRentRoll[[#This Row],[Monthly_Rent_EUR]]&lt;=0,"Rent&lt;=0","")</f>
        <v/>
      </c>
      <c r="R368">
        <f>IF(AND(tblRentRoll[[#This Row],[Status]]="Occupied", tblRentRoll[[#This Row],[Area_sqm]]&gt;0), tblRentRoll[[#This Row],[Annual_Rent_EUR]]/tblRentRoll[[#This Row],[Area_sqm]],"")</f>
        <v>96.444659557013935</v>
      </c>
      <c r="S368">
        <f>tblRentRoll[[#This Row],[Service_Charge_EUR]]+tblRentRoll[[#This Row],[Operating_Cost_EUR]]</f>
        <v>2342.1799999999998</v>
      </c>
      <c r="T368">
        <f>IF(tblRentRoll[[#This Row],[Annual_Rent_EUR]]&lt;&gt;0,tblRentRoll[[#This Row],[Annual_Rent_EUR]]-tblRentRoll[[#This Row],[Operating_Cost_EUR]], "")</f>
        <v>116731.71999999999</v>
      </c>
      <c r="U368">
        <f ca="1">IF(AND(tblRentRoll[[#This Row],[Status]]="Occupied",tblRentRoll[[#This Row],[Lease_End]]&gt;=TODAY()),DATEDIF(TODAY(),tblRentRoll[[#This Row],[Lease_End]],"m"), 0)</f>
        <v>20</v>
      </c>
      <c r="V368" t="str">
        <f ca="1">IF(tblRentRoll[[#This Row],[Status]]&lt;&gt;"Occupied","", IF(tblRentRoll[[#This Row],[Month_to_Expiry]]&lt;=3, "0-3 Monaten",  IF(tblRentRoll[[#This Row],[Month_to_Expiry]]&lt;=6, "3-6 Monaten", IF(tblRentRoll[[#This Row],[Month_to_Expiry]]&lt;=12,"6-12 Monaten", IF(tblRentRoll[[#This Row],[Month_to_Expiry]]&gt;=12, "12 M+",)))))</f>
        <v>12 M+</v>
      </c>
      <c r="W368">
        <f>IF(tblRentRoll[[#This Row],[Status]]="Vacant", tblRentRoll[[#This Row],[Area_sqm]],0)</f>
        <v>0</v>
      </c>
      <c r="X368" s="3">
        <f>IF(tblRentRoll[[#This Row],[Status]]="Occupied", tblRentRoll[[#This Row],[Area_sqm]],0)</f>
        <v>1219</v>
      </c>
      <c r="Y368" s="3">
        <f ca="1">tblRentRoll[[#This Row],[Month_to_Expiry]]/12*tblRentRoll[[#This Row],[Annual_Rent_EUR]]</f>
        <v>195943.4</v>
      </c>
      <c r="Z368" s="3"/>
    </row>
    <row r="369" spans="1:26" x14ac:dyDescent="0.35">
      <c r="A369" t="s">
        <v>12</v>
      </c>
      <c r="B369" t="s">
        <v>547</v>
      </c>
      <c r="C369" t="s">
        <v>14</v>
      </c>
      <c r="D369">
        <v>461</v>
      </c>
      <c r="E369" t="s">
        <v>15</v>
      </c>
      <c r="F369" t="s">
        <v>162</v>
      </c>
      <c r="G369">
        <v>4177.8100000000004</v>
      </c>
      <c r="H369">
        <v>50133.72</v>
      </c>
      <c r="I369" s="2">
        <f>tblRentRoll[[#This Row],[Monthly_Rent_EUR]]*12</f>
        <v>50133.72</v>
      </c>
      <c r="J369" s="2" t="str">
        <f>IF(tblRentRoll[[#This Row],[Annual_Rent_EUR]]&lt;&gt;tblRentRoll[[#This Row],[Jahresrente_EUR]], "FALSCH", "")</f>
        <v/>
      </c>
      <c r="K369" s="1">
        <v>44895</v>
      </c>
      <c r="L369" s="1">
        <v>45250</v>
      </c>
      <c r="M369">
        <v>672.99</v>
      </c>
      <c r="N369">
        <v>503.8</v>
      </c>
      <c r="O36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69" t="str">
        <f>IF(tblRentRoll[[#This Row],[Area_sqm]]&lt;=0,"Area&lt;=0","")</f>
        <v/>
      </c>
      <c r="Q369" t="str">
        <f>IF(tblRentRoll[[#This Row],[Monthly_Rent_EUR]]&lt;=0,"Rent&lt;=0","")</f>
        <v/>
      </c>
      <c r="R369">
        <f>IF(AND(tblRentRoll[[#This Row],[Status]]="Occupied", tblRentRoll[[#This Row],[Area_sqm]]&gt;0), tblRentRoll[[#This Row],[Annual_Rent_EUR]]/tblRentRoll[[#This Row],[Area_sqm]],"")</f>
        <v>108.74993492407809</v>
      </c>
      <c r="S369">
        <f>tblRentRoll[[#This Row],[Service_Charge_EUR]]+tblRentRoll[[#This Row],[Operating_Cost_EUR]]</f>
        <v>1176.79</v>
      </c>
      <c r="T369">
        <f>IF(tblRentRoll[[#This Row],[Annual_Rent_EUR]]&lt;&gt;0,tblRentRoll[[#This Row],[Annual_Rent_EUR]]-tblRentRoll[[#This Row],[Operating_Cost_EUR]], "")</f>
        <v>49629.919999999998</v>
      </c>
      <c r="U369">
        <f ca="1">IF(AND(tblRentRoll[[#This Row],[Status]]="Occupied",tblRentRoll[[#This Row],[Lease_End]]&gt;=TODAY()),DATEDIF(TODAY(),tblRentRoll[[#This Row],[Lease_End]],"m"), 0)</f>
        <v>0</v>
      </c>
      <c r="V369" t="str">
        <f ca="1">IF(tblRentRoll[[#This Row],[Status]]&lt;&gt;"Occupied","", IF(tblRentRoll[[#This Row],[Month_to_Expiry]]&lt;=3, "0-3 Monaten",  IF(tblRentRoll[[#This Row],[Month_to_Expiry]]&lt;=6, "3-6 Monaten", IF(tblRentRoll[[#This Row],[Month_to_Expiry]]&lt;=12,"6-12 Monaten", IF(tblRentRoll[[#This Row],[Month_to_Expiry]]&gt;=12, "12 M+",)))))</f>
        <v>0-3 Monaten</v>
      </c>
      <c r="W369">
        <f>IF(tblRentRoll[[#This Row],[Status]]="Vacant", tblRentRoll[[#This Row],[Area_sqm]],0)</f>
        <v>0</v>
      </c>
      <c r="X369" s="3">
        <f>IF(tblRentRoll[[#This Row],[Status]]="Occupied", tblRentRoll[[#This Row],[Area_sqm]],0)</f>
        <v>461</v>
      </c>
      <c r="Y369" s="3">
        <f ca="1">tblRentRoll[[#This Row],[Month_to_Expiry]]/12*tblRentRoll[[#This Row],[Annual_Rent_EUR]]</f>
        <v>0</v>
      </c>
      <c r="Z369" s="3"/>
    </row>
    <row r="370" spans="1:26" x14ac:dyDescent="0.35">
      <c r="A370" t="s">
        <v>12</v>
      </c>
      <c r="B370" t="s">
        <v>548</v>
      </c>
      <c r="C370" t="s">
        <v>29</v>
      </c>
      <c r="D370">
        <v>616</v>
      </c>
      <c r="E370" t="s">
        <v>15</v>
      </c>
      <c r="F370" t="s">
        <v>458</v>
      </c>
      <c r="G370">
        <v>10892.84</v>
      </c>
      <c r="H370">
        <v>130714.08</v>
      </c>
      <c r="I370" s="2">
        <f>tblRentRoll[[#This Row],[Monthly_Rent_EUR]]*12</f>
        <v>130714.08</v>
      </c>
      <c r="J370" s="2" t="str">
        <f>IF(tblRentRoll[[#This Row],[Annual_Rent_EUR]]&lt;&gt;tblRentRoll[[#This Row],[Jahresrente_EUR]], "FALSCH", "")</f>
        <v/>
      </c>
      <c r="K370" s="1">
        <v>44300</v>
      </c>
      <c r="L370" s="1">
        <v>45208</v>
      </c>
      <c r="M370">
        <v>1699.62</v>
      </c>
      <c r="N370">
        <v>546.44000000000005</v>
      </c>
      <c r="O37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0" t="str">
        <f>IF(tblRentRoll[[#This Row],[Area_sqm]]&lt;=0,"Area&lt;=0","")</f>
        <v/>
      </c>
      <c r="Q370" t="str">
        <f>IF(tblRentRoll[[#This Row],[Monthly_Rent_EUR]]&lt;=0,"Rent&lt;=0","")</f>
        <v/>
      </c>
      <c r="R370">
        <f>IF(AND(tblRentRoll[[#This Row],[Status]]="Occupied", tblRentRoll[[#This Row],[Area_sqm]]&gt;0), tblRentRoll[[#This Row],[Annual_Rent_EUR]]/tblRentRoll[[#This Row],[Area_sqm]],"")</f>
        <v>212.19818181818181</v>
      </c>
      <c r="S370">
        <f>tblRentRoll[[#This Row],[Service_Charge_EUR]]+tblRentRoll[[#This Row],[Operating_Cost_EUR]]</f>
        <v>2246.06</v>
      </c>
      <c r="T370">
        <f>IF(tblRentRoll[[#This Row],[Annual_Rent_EUR]]&lt;&gt;0,tblRentRoll[[#This Row],[Annual_Rent_EUR]]-tblRentRoll[[#This Row],[Operating_Cost_EUR]], "")</f>
        <v>130167.64</v>
      </c>
      <c r="U370">
        <f ca="1">IF(AND(tblRentRoll[[#This Row],[Status]]="Occupied",tblRentRoll[[#This Row],[Lease_End]]&gt;=TODAY()),DATEDIF(TODAY(),tblRentRoll[[#This Row],[Lease_End]],"m"), 0)</f>
        <v>0</v>
      </c>
      <c r="V370" t="str">
        <f ca="1">IF(tblRentRoll[[#This Row],[Status]]&lt;&gt;"Occupied","", IF(tblRentRoll[[#This Row],[Month_to_Expiry]]&lt;=3, "0-3 Monaten",  IF(tblRentRoll[[#This Row],[Month_to_Expiry]]&lt;=6, "3-6 Monaten", IF(tblRentRoll[[#This Row],[Month_to_Expiry]]&lt;=12,"6-12 Monaten", IF(tblRentRoll[[#This Row],[Month_to_Expiry]]&gt;=12, "12 M+",)))))</f>
        <v>0-3 Monaten</v>
      </c>
      <c r="W370">
        <f>IF(tblRentRoll[[#This Row],[Status]]="Vacant", tblRentRoll[[#This Row],[Area_sqm]],0)</f>
        <v>0</v>
      </c>
      <c r="X370" s="3">
        <f>IF(tblRentRoll[[#This Row],[Status]]="Occupied", tblRentRoll[[#This Row],[Area_sqm]],0)</f>
        <v>616</v>
      </c>
      <c r="Y370" s="3">
        <f ca="1">tblRentRoll[[#This Row],[Month_to_Expiry]]/12*tblRentRoll[[#This Row],[Annual_Rent_EUR]]</f>
        <v>0</v>
      </c>
      <c r="Z370" s="3"/>
    </row>
    <row r="371" spans="1:26" x14ac:dyDescent="0.35">
      <c r="A371" t="s">
        <v>24</v>
      </c>
      <c r="B371" t="s">
        <v>549</v>
      </c>
      <c r="C371" t="s">
        <v>19</v>
      </c>
      <c r="D371">
        <v>1261</v>
      </c>
      <c r="E371" t="s">
        <v>15</v>
      </c>
      <c r="F371" t="s">
        <v>114</v>
      </c>
      <c r="G371">
        <v>21633.43</v>
      </c>
      <c r="H371">
        <v>259601.16</v>
      </c>
      <c r="I371" s="2">
        <f>tblRentRoll[[#This Row],[Monthly_Rent_EUR]]*12</f>
        <v>259601.16</v>
      </c>
      <c r="J371" s="2" t="str">
        <f>IF(tblRentRoll[[#This Row],[Annual_Rent_EUR]]&lt;&gt;tblRentRoll[[#This Row],[Jahresrente_EUR]], "FALSCH", "")</f>
        <v/>
      </c>
      <c r="K371" s="1">
        <v>44313</v>
      </c>
      <c r="L371" s="1">
        <v>44756</v>
      </c>
      <c r="M371">
        <v>3081.01</v>
      </c>
      <c r="N371">
        <v>1098.1300000000001</v>
      </c>
      <c r="O37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1" t="str">
        <f>IF(tblRentRoll[[#This Row],[Area_sqm]]&lt;=0,"Area&lt;=0","")</f>
        <v/>
      </c>
      <c r="Q371" t="str">
        <f>IF(tblRentRoll[[#This Row],[Monthly_Rent_EUR]]&lt;=0,"Rent&lt;=0","")</f>
        <v/>
      </c>
      <c r="R371">
        <f>IF(AND(tblRentRoll[[#This Row],[Status]]="Occupied", tblRentRoll[[#This Row],[Area_sqm]]&gt;0), tblRentRoll[[#This Row],[Annual_Rent_EUR]]/tblRentRoll[[#This Row],[Area_sqm]],"")</f>
        <v>205.86927835051546</v>
      </c>
      <c r="S371">
        <f>tblRentRoll[[#This Row],[Service_Charge_EUR]]+tblRentRoll[[#This Row],[Operating_Cost_EUR]]</f>
        <v>4179.1400000000003</v>
      </c>
      <c r="T371">
        <f>IF(tblRentRoll[[#This Row],[Annual_Rent_EUR]]&lt;&gt;0,tblRentRoll[[#This Row],[Annual_Rent_EUR]]-tblRentRoll[[#This Row],[Operating_Cost_EUR]], "")</f>
        <v>258503.03</v>
      </c>
      <c r="U371">
        <f ca="1">IF(AND(tblRentRoll[[#This Row],[Status]]="Occupied",tblRentRoll[[#This Row],[Lease_End]]&gt;=TODAY()),DATEDIF(TODAY(),tblRentRoll[[#This Row],[Lease_End]],"m"), 0)</f>
        <v>0</v>
      </c>
      <c r="V371" t="str">
        <f ca="1">IF(tblRentRoll[[#This Row],[Status]]&lt;&gt;"Occupied","", IF(tblRentRoll[[#This Row],[Month_to_Expiry]]&lt;=3, "0-3 Monaten",  IF(tblRentRoll[[#This Row],[Month_to_Expiry]]&lt;=6, "3-6 Monaten", IF(tblRentRoll[[#This Row],[Month_to_Expiry]]&lt;=12,"6-12 Monaten", IF(tblRentRoll[[#This Row],[Month_to_Expiry]]&gt;=12, "12 M+",)))))</f>
        <v>0-3 Monaten</v>
      </c>
      <c r="W371">
        <f>IF(tblRentRoll[[#This Row],[Status]]="Vacant", tblRentRoll[[#This Row],[Area_sqm]],0)</f>
        <v>0</v>
      </c>
      <c r="X371" s="3">
        <f>IF(tblRentRoll[[#This Row],[Status]]="Occupied", tblRentRoll[[#This Row],[Area_sqm]],0)</f>
        <v>1261</v>
      </c>
      <c r="Y371" s="3">
        <f ca="1">tblRentRoll[[#This Row],[Month_to_Expiry]]/12*tblRentRoll[[#This Row],[Annual_Rent_EUR]]</f>
        <v>0</v>
      </c>
      <c r="Z371" s="3"/>
    </row>
    <row r="372" spans="1:26" x14ac:dyDescent="0.35">
      <c r="A372" t="s">
        <v>44</v>
      </c>
      <c r="B372" t="s">
        <v>550</v>
      </c>
      <c r="C372" t="s">
        <v>19</v>
      </c>
      <c r="D372">
        <v>363</v>
      </c>
      <c r="E372" t="s">
        <v>15</v>
      </c>
      <c r="F372" t="s">
        <v>260</v>
      </c>
      <c r="G372">
        <v>3714.86</v>
      </c>
      <c r="H372">
        <v>44578.32</v>
      </c>
      <c r="I372" s="2">
        <f>tblRentRoll[[#This Row],[Monthly_Rent_EUR]]*12</f>
        <v>44578.32</v>
      </c>
      <c r="J372" s="2" t="str">
        <f>IF(tblRentRoll[[#This Row],[Annual_Rent_EUR]]&lt;&gt;tblRentRoll[[#This Row],[Jahresrente_EUR]], "FALSCH", "")</f>
        <v/>
      </c>
      <c r="K372" s="1">
        <v>44721</v>
      </c>
      <c r="L372" s="1">
        <v>46264</v>
      </c>
      <c r="M372">
        <v>640.04</v>
      </c>
      <c r="N372">
        <v>542.4</v>
      </c>
      <c r="O37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2" t="str">
        <f>IF(tblRentRoll[[#This Row],[Area_sqm]]&lt;=0,"Area&lt;=0","")</f>
        <v/>
      </c>
      <c r="Q372" t="str">
        <f>IF(tblRentRoll[[#This Row],[Monthly_Rent_EUR]]&lt;=0,"Rent&lt;=0","")</f>
        <v/>
      </c>
      <c r="R372">
        <f>IF(AND(tblRentRoll[[#This Row],[Status]]="Occupied", tblRentRoll[[#This Row],[Area_sqm]]&gt;0), tblRentRoll[[#This Row],[Annual_Rent_EUR]]/tblRentRoll[[#This Row],[Area_sqm]],"")</f>
        <v>122.80528925619835</v>
      </c>
      <c r="S372">
        <f>tblRentRoll[[#This Row],[Service_Charge_EUR]]+tblRentRoll[[#This Row],[Operating_Cost_EUR]]</f>
        <v>1182.44</v>
      </c>
      <c r="T372">
        <f>IF(tblRentRoll[[#This Row],[Annual_Rent_EUR]]&lt;&gt;0,tblRentRoll[[#This Row],[Annual_Rent_EUR]]-tblRentRoll[[#This Row],[Operating_Cost_EUR]], "")</f>
        <v>44035.92</v>
      </c>
      <c r="U372">
        <f ca="1">IF(AND(tblRentRoll[[#This Row],[Status]]="Occupied",tblRentRoll[[#This Row],[Lease_End]]&gt;=TODAY()),DATEDIF(TODAY(),tblRentRoll[[#This Row],[Lease_End]],"m"), 0)</f>
        <v>5</v>
      </c>
      <c r="V372" t="str">
        <f ca="1">IF(tblRentRoll[[#This Row],[Status]]&lt;&gt;"Occupied","", IF(tblRentRoll[[#This Row],[Month_to_Expiry]]&lt;=3, "0-3 Monaten",  IF(tblRentRoll[[#This Row],[Month_to_Expiry]]&lt;=6, "3-6 Monaten", IF(tblRentRoll[[#This Row],[Month_to_Expiry]]&lt;=12,"6-12 Monaten", IF(tblRentRoll[[#This Row],[Month_to_Expiry]]&gt;=12, "12 M+",)))))</f>
        <v>3-6 Monaten</v>
      </c>
      <c r="W372">
        <f>IF(tblRentRoll[[#This Row],[Status]]="Vacant", tblRentRoll[[#This Row],[Area_sqm]],0)</f>
        <v>0</v>
      </c>
      <c r="X372" s="3">
        <f>IF(tblRentRoll[[#This Row],[Status]]="Occupied", tblRentRoll[[#This Row],[Area_sqm]],0)</f>
        <v>363</v>
      </c>
      <c r="Y372" s="3">
        <f ca="1">tblRentRoll[[#This Row],[Month_to_Expiry]]/12*tblRentRoll[[#This Row],[Annual_Rent_EUR]]</f>
        <v>18574.3</v>
      </c>
      <c r="Z372" s="3"/>
    </row>
    <row r="373" spans="1:26" x14ac:dyDescent="0.35">
      <c r="A373" t="s">
        <v>31</v>
      </c>
      <c r="B373" t="s">
        <v>551</v>
      </c>
      <c r="C373" t="s">
        <v>14</v>
      </c>
      <c r="D373">
        <v>349</v>
      </c>
      <c r="E373" t="s">
        <v>20</v>
      </c>
      <c r="G373">
        <v>0</v>
      </c>
      <c r="H373">
        <v>0</v>
      </c>
      <c r="I373" s="2">
        <f>tblRentRoll[[#This Row],[Monthly_Rent_EUR]]*12</f>
        <v>0</v>
      </c>
      <c r="J373" s="2" t="str">
        <f>IF(tblRentRoll[[#This Row],[Annual_Rent_EUR]]&lt;&gt;tblRentRoll[[#This Row],[Jahresrente_EUR]], "FALSCH", "")</f>
        <v/>
      </c>
      <c r="M373">
        <v>875.42</v>
      </c>
      <c r="N373">
        <v>778.91</v>
      </c>
      <c r="O37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3" t="str">
        <f>IF(tblRentRoll[[#This Row],[Area_sqm]]&lt;=0,"Area&lt;=0","")</f>
        <v/>
      </c>
      <c r="Q373" t="str">
        <f>IF(tblRentRoll[[#This Row],[Monthly_Rent_EUR]]&lt;=0,"Rent&lt;=0","")</f>
        <v>Rent&lt;=0</v>
      </c>
      <c r="R373" t="str">
        <f>IF(AND(tblRentRoll[[#This Row],[Status]]="Occupied", tblRentRoll[[#This Row],[Area_sqm]]&gt;0), tblRentRoll[[#This Row],[Annual_Rent_EUR]]/tblRentRoll[[#This Row],[Area_sqm]],"")</f>
        <v/>
      </c>
      <c r="S373">
        <f>tblRentRoll[[#This Row],[Service_Charge_EUR]]+tblRentRoll[[#This Row],[Operating_Cost_EUR]]</f>
        <v>1654.33</v>
      </c>
      <c r="T373" t="str">
        <f>IF(tblRentRoll[[#This Row],[Annual_Rent_EUR]]&lt;&gt;0,tblRentRoll[[#This Row],[Annual_Rent_EUR]]-tblRentRoll[[#This Row],[Operating_Cost_EUR]], "")</f>
        <v/>
      </c>
      <c r="U373">
        <f ca="1">IF(AND(tblRentRoll[[#This Row],[Status]]="Occupied",tblRentRoll[[#This Row],[Lease_End]]&gt;=TODAY()),DATEDIF(TODAY(),tblRentRoll[[#This Row],[Lease_End]],"m"), 0)</f>
        <v>0</v>
      </c>
      <c r="V373" t="str">
        <f>IF(tblRentRoll[[#This Row],[Status]]&lt;&gt;"Occupied","", IF(tblRentRoll[[#This Row],[Month_to_Expiry]]&lt;=3, "0-3 Monaten",  IF(tblRentRoll[[#This Row],[Month_to_Expiry]]&lt;=6, "3-6 Monaten", IF(tblRentRoll[[#This Row],[Month_to_Expiry]]&lt;=12,"6-12 Monaten", IF(tblRentRoll[[#This Row],[Month_to_Expiry]]&gt;=12, "12 M+",)))))</f>
        <v/>
      </c>
      <c r="W373">
        <f>IF(tblRentRoll[[#This Row],[Status]]="Vacant", tblRentRoll[[#This Row],[Area_sqm]],0)</f>
        <v>349</v>
      </c>
      <c r="X373" s="3">
        <f>IF(tblRentRoll[[#This Row],[Status]]="Occupied", tblRentRoll[[#This Row],[Area_sqm]],0)</f>
        <v>0</v>
      </c>
      <c r="Y373" s="3">
        <f ca="1">tblRentRoll[[#This Row],[Month_to_Expiry]]/12*tblRentRoll[[#This Row],[Annual_Rent_EUR]]</f>
        <v>0</v>
      </c>
      <c r="Z373" s="3"/>
    </row>
    <row r="374" spans="1:26" x14ac:dyDescent="0.35">
      <c r="A374" t="s">
        <v>27</v>
      </c>
      <c r="B374" t="s">
        <v>552</v>
      </c>
      <c r="C374" t="s">
        <v>33</v>
      </c>
      <c r="D374">
        <v>1117</v>
      </c>
      <c r="E374" t="s">
        <v>15</v>
      </c>
      <c r="F374" t="s">
        <v>241</v>
      </c>
      <c r="G374">
        <v>15252.13</v>
      </c>
      <c r="H374">
        <v>183025.56</v>
      </c>
      <c r="I374" s="2">
        <f>tblRentRoll[[#This Row],[Monthly_Rent_EUR]]*12</f>
        <v>183025.56</v>
      </c>
      <c r="J374" s="2" t="str">
        <f>IF(tblRentRoll[[#This Row],[Annual_Rent_EUR]]&lt;&gt;tblRentRoll[[#This Row],[Jahresrente_EUR]], "FALSCH", "")</f>
        <v/>
      </c>
      <c r="K374" s="1">
        <v>44692</v>
      </c>
      <c r="L374" s="1">
        <v>45360</v>
      </c>
      <c r="M374">
        <v>1769.91</v>
      </c>
      <c r="N374">
        <v>2306.02</v>
      </c>
      <c r="O37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4" t="str">
        <f>IF(tblRentRoll[[#This Row],[Area_sqm]]&lt;=0,"Area&lt;=0","")</f>
        <v/>
      </c>
      <c r="Q374" t="str">
        <f>IF(tblRentRoll[[#This Row],[Monthly_Rent_EUR]]&lt;=0,"Rent&lt;=0","")</f>
        <v/>
      </c>
      <c r="R374">
        <f>IF(AND(tblRentRoll[[#This Row],[Status]]="Occupied", tblRentRoll[[#This Row],[Area_sqm]]&gt;0), tblRentRoll[[#This Row],[Annual_Rent_EUR]]/tblRentRoll[[#This Row],[Area_sqm]],"")</f>
        <v>163.85457475380483</v>
      </c>
      <c r="S374">
        <f>tblRentRoll[[#This Row],[Service_Charge_EUR]]+tblRentRoll[[#This Row],[Operating_Cost_EUR]]</f>
        <v>4075.9300000000003</v>
      </c>
      <c r="T374">
        <f>IF(tblRentRoll[[#This Row],[Annual_Rent_EUR]]&lt;&gt;0,tblRentRoll[[#This Row],[Annual_Rent_EUR]]-tblRentRoll[[#This Row],[Operating_Cost_EUR]], "")</f>
        <v>180719.54</v>
      </c>
      <c r="U374">
        <f ca="1">IF(AND(tblRentRoll[[#This Row],[Status]]="Occupied",tblRentRoll[[#This Row],[Lease_End]]&gt;=TODAY()),DATEDIF(TODAY(),tblRentRoll[[#This Row],[Lease_End]],"m"), 0)</f>
        <v>0</v>
      </c>
      <c r="V374" t="str">
        <f ca="1">IF(tblRentRoll[[#This Row],[Status]]&lt;&gt;"Occupied","", IF(tblRentRoll[[#This Row],[Month_to_Expiry]]&lt;=3, "0-3 Monaten",  IF(tblRentRoll[[#This Row],[Month_to_Expiry]]&lt;=6, "3-6 Monaten", IF(tblRentRoll[[#This Row],[Month_to_Expiry]]&lt;=12,"6-12 Monaten", IF(tblRentRoll[[#This Row],[Month_to_Expiry]]&gt;=12, "12 M+",)))))</f>
        <v>0-3 Monaten</v>
      </c>
      <c r="W374">
        <f>IF(tblRentRoll[[#This Row],[Status]]="Vacant", tblRentRoll[[#This Row],[Area_sqm]],0)</f>
        <v>0</v>
      </c>
      <c r="X374" s="3">
        <f>IF(tblRentRoll[[#This Row],[Status]]="Occupied", tblRentRoll[[#This Row],[Area_sqm]],0)</f>
        <v>1117</v>
      </c>
      <c r="Y374" s="3">
        <f ca="1">tblRentRoll[[#This Row],[Month_to_Expiry]]/12*tblRentRoll[[#This Row],[Annual_Rent_EUR]]</f>
        <v>0</v>
      </c>
      <c r="Z374" s="3"/>
    </row>
    <row r="375" spans="1:26" x14ac:dyDescent="0.35">
      <c r="A375" t="s">
        <v>12</v>
      </c>
      <c r="B375" t="s">
        <v>553</v>
      </c>
      <c r="C375" t="s">
        <v>19</v>
      </c>
      <c r="D375">
        <v>979</v>
      </c>
      <c r="E375" t="s">
        <v>15</v>
      </c>
      <c r="F375" t="s">
        <v>554</v>
      </c>
      <c r="G375">
        <v>7258.29</v>
      </c>
      <c r="H375">
        <v>87099.48</v>
      </c>
      <c r="I375" s="2">
        <f>tblRentRoll[[#This Row],[Monthly_Rent_EUR]]*12</f>
        <v>87099.48</v>
      </c>
      <c r="J375" s="2" t="str">
        <f>IF(tblRentRoll[[#This Row],[Annual_Rent_EUR]]&lt;&gt;tblRentRoll[[#This Row],[Jahresrente_EUR]], "FALSCH", "")</f>
        <v/>
      </c>
      <c r="K375" s="1">
        <v>44918</v>
      </c>
      <c r="L375" s="1">
        <v>45249</v>
      </c>
      <c r="M375">
        <v>2053.69</v>
      </c>
      <c r="N375">
        <v>1646.9</v>
      </c>
      <c r="O37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5" t="str">
        <f>IF(tblRentRoll[[#This Row],[Area_sqm]]&lt;=0,"Area&lt;=0","")</f>
        <v/>
      </c>
      <c r="Q375" t="str">
        <f>IF(tblRentRoll[[#This Row],[Monthly_Rent_EUR]]&lt;=0,"Rent&lt;=0","")</f>
        <v/>
      </c>
      <c r="R375">
        <f>IF(AND(tblRentRoll[[#This Row],[Status]]="Occupied", tblRentRoll[[#This Row],[Area_sqm]]&gt;0), tblRentRoll[[#This Row],[Annual_Rent_EUR]]/tblRentRoll[[#This Row],[Area_sqm]],"")</f>
        <v>88.967803881511742</v>
      </c>
      <c r="S375">
        <f>tblRentRoll[[#This Row],[Service_Charge_EUR]]+tblRentRoll[[#This Row],[Operating_Cost_EUR]]</f>
        <v>3700.59</v>
      </c>
      <c r="T375">
        <f>IF(tblRentRoll[[#This Row],[Annual_Rent_EUR]]&lt;&gt;0,tblRentRoll[[#This Row],[Annual_Rent_EUR]]-tblRentRoll[[#This Row],[Operating_Cost_EUR]], "")</f>
        <v>85452.58</v>
      </c>
      <c r="U375">
        <f ca="1">IF(AND(tblRentRoll[[#This Row],[Status]]="Occupied",tblRentRoll[[#This Row],[Lease_End]]&gt;=TODAY()),DATEDIF(TODAY(),tblRentRoll[[#This Row],[Lease_End]],"m"), 0)</f>
        <v>0</v>
      </c>
      <c r="V375" t="str">
        <f ca="1">IF(tblRentRoll[[#This Row],[Status]]&lt;&gt;"Occupied","", IF(tblRentRoll[[#This Row],[Month_to_Expiry]]&lt;=3, "0-3 Monaten",  IF(tblRentRoll[[#This Row],[Month_to_Expiry]]&lt;=6, "3-6 Monaten", IF(tblRentRoll[[#This Row],[Month_to_Expiry]]&lt;=12,"6-12 Monaten", IF(tblRentRoll[[#This Row],[Month_to_Expiry]]&gt;=12, "12 M+",)))))</f>
        <v>0-3 Monaten</v>
      </c>
      <c r="W375">
        <f>IF(tblRentRoll[[#This Row],[Status]]="Vacant", tblRentRoll[[#This Row],[Area_sqm]],0)</f>
        <v>0</v>
      </c>
      <c r="X375" s="3">
        <f>IF(tblRentRoll[[#This Row],[Status]]="Occupied", tblRentRoll[[#This Row],[Area_sqm]],0)</f>
        <v>979</v>
      </c>
      <c r="Y375" s="3">
        <f ca="1">tblRentRoll[[#This Row],[Month_to_Expiry]]/12*tblRentRoll[[#This Row],[Annual_Rent_EUR]]</f>
        <v>0</v>
      </c>
      <c r="Z375" s="3"/>
    </row>
    <row r="376" spans="1:26" x14ac:dyDescent="0.35">
      <c r="A376" t="s">
        <v>12</v>
      </c>
      <c r="B376" t="s">
        <v>555</v>
      </c>
      <c r="C376" t="s">
        <v>33</v>
      </c>
      <c r="D376">
        <v>275</v>
      </c>
      <c r="E376" t="s">
        <v>15</v>
      </c>
      <c r="F376" t="s">
        <v>556</v>
      </c>
      <c r="G376">
        <v>2509.3200000000002</v>
      </c>
      <c r="H376">
        <v>30111.84</v>
      </c>
      <c r="I376" s="2">
        <f>tblRentRoll[[#This Row],[Monthly_Rent_EUR]]*12</f>
        <v>30111.840000000004</v>
      </c>
      <c r="J376" s="2" t="str">
        <f>IF(tblRentRoll[[#This Row],[Annual_Rent_EUR]]&lt;&gt;tblRentRoll[[#This Row],[Jahresrente_EUR]], "FALSCH", "")</f>
        <v/>
      </c>
      <c r="K376" s="1">
        <v>45001</v>
      </c>
      <c r="L376" s="1">
        <v>45469</v>
      </c>
      <c r="M376">
        <v>352.8</v>
      </c>
      <c r="N376">
        <v>152.69999999999999</v>
      </c>
      <c r="O37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6" t="str">
        <f>IF(tblRentRoll[[#This Row],[Area_sqm]]&lt;=0,"Area&lt;=0","")</f>
        <v/>
      </c>
      <c r="Q376" t="str">
        <f>IF(tblRentRoll[[#This Row],[Monthly_Rent_EUR]]&lt;=0,"Rent&lt;=0","")</f>
        <v/>
      </c>
      <c r="R376">
        <f>IF(AND(tblRentRoll[[#This Row],[Status]]="Occupied", tblRentRoll[[#This Row],[Area_sqm]]&gt;0), tblRentRoll[[#This Row],[Annual_Rent_EUR]]/tblRentRoll[[#This Row],[Area_sqm]],"")</f>
        <v>109.49760000000001</v>
      </c>
      <c r="S376">
        <f>tblRentRoll[[#This Row],[Service_Charge_EUR]]+tblRentRoll[[#This Row],[Operating_Cost_EUR]]</f>
        <v>505.5</v>
      </c>
      <c r="T376">
        <f>IF(tblRentRoll[[#This Row],[Annual_Rent_EUR]]&lt;&gt;0,tblRentRoll[[#This Row],[Annual_Rent_EUR]]-tblRentRoll[[#This Row],[Operating_Cost_EUR]], "")</f>
        <v>29959.14</v>
      </c>
      <c r="U376">
        <f ca="1">IF(AND(tblRentRoll[[#This Row],[Status]]="Occupied",tblRentRoll[[#This Row],[Lease_End]]&gt;=TODAY()),DATEDIF(TODAY(),tblRentRoll[[#This Row],[Lease_End]],"m"), 0)</f>
        <v>0</v>
      </c>
      <c r="V376" t="str">
        <f ca="1">IF(tblRentRoll[[#This Row],[Status]]&lt;&gt;"Occupied","", IF(tblRentRoll[[#This Row],[Month_to_Expiry]]&lt;=3, "0-3 Monaten",  IF(tblRentRoll[[#This Row],[Month_to_Expiry]]&lt;=6, "3-6 Monaten", IF(tblRentRoll[[#This Row],[Month_to_Expiry]]&lt;=12,"6-12 Monaten", IF(tblRentRoll[[#This Row],[Month_to_Expiry]]&gt;=12, "12 M+",)))))</f>
        <v>0-3 Monaten</v>
      </c>
      <c r="W376">
        <f>IF(tblRentRoll[[#This Row],[Status]]="Vacant", tblRentRoll[[#This Row],[Area_sqm]],0)</f>
        <v>0</v>
      </c>
      <c r="X376" s="3">
        <f>IF(tblRentRoll[[#This Row],[Status]]="Occupied", tblRentRoll[[#This Row],[Area_sqm]],0)</f>
        <v>275</v>
      </c>
      <c r="Y376" s="3">
        <f ca="1">tblRentRoll[[#This Row],[Month_to_Expiry]]/12*tblRentRoll[[#This Row],[Annual_Rent_EUR]]</f>
        <v>0</v>
      </c>
      <c r="Z376" s="3"/>
    </row>
    <row r="377" spans="1:26" x14ac:dyDescent="0.35">
      <c r="A377" t="s">
        <v>56</v>
      </c>
      <c r="B377" t="s">
        <v>557</v>
      </c>
      <c r="C377" t="s">
        <v>29</v>
      </c>
      <c r="D377">
        <v>1423</v>
      </c>
      <c r="E377" t="s">
        <v>20</v>
      </c>
      <c r="G377">
        <v>0</v>
      </c>
      <c r="H377">
        <v>0</v>
      </c>
      <c r="I377" s="2">
        <f>tblRentRoll[[#This Row],[Monthly_Rent_EUR]]*12</f>
        <v>0</v>
      </c>
      <c r="J377" s="2" t="str">
        <f>IF(tblRentRoll[[#This Row],[Annual_Rent_EUR]]&lt;&gt;tblRentRoll[[#This Row],[Jahresrente_EUR]], "FALSCH", "")</f>
        <v/>
      </c>
      <c r="M377">
        <v>2184.6</v>
      </c>
      <c r="N377">
        <v>1100.49</v>
      </c>
      <c r="O37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7" t="str">
        <f>IF(tblRentRoll[[#This Row],[Area_sqm]]&lt;=0,"Area&lt;=0","")</f>
        <v/>
      </c>
      <c r="Q377" t="str">
        <f>IF(tblRentRoll[[#This Row],[Monthly_Rent_EUR]]&lt;=0,"Rent&lt;=0","")</f>
        <v>Rent&lt;=0</v>
      </c>
      <c r="R377" t="str">
        <f>IF(AND(tblRentRoll[[#This Row],[Status]]="Occupied", tblRentRoll[[#This Row],[Area_sqm]]&gt;0), tblRentRoll[[#This Row],[Annual_Rent_EUR]]/tblRentRoll[[#This Row],[Area_sqm]],"")</f>
        <v/>
      </c>
      <c r="S377">
        <f>tblRentRoll[[#This Row],[Service_Charge_EUR]]+tblRentRoll[[#This Row],[Operating_Cost_EUR]]</f>
        <v>3285.09</v>
      </c>
      <c r="T377" t="str">
        <f>IF(tblRentRoll[[#This Row],[Annual_Rent_EUR]]&lt;&gt;0,tblRentRoll[[#This Row],[Annual_Rent_EUR]]-tblRentRoll[[#This Row],[Operating_Cost_EUR]], "")</f>
        <v/>
      </c>
      <c r="U377">
        <f ca="1">IF(AND(tblRentRoll[[#This Row],[Status]]="Occupied",tblRentRoll[[#This Row],[Lease_End]]&gt;=TODAY()),DATEDIF(TODAY(),tblRentRoll[[#This Row],[Lease_End]],"m"), 0)</f>
        <v>0</v>
      </c>
      <c r="V377" t="str">
        <f>IF(tblRentRoll[[#This Row],[Status]]&lt;&gt;"Occupied","", IF(tblRentRoll[[#This Row],[Month_to_Expiry]]&lt;=3, "0-3 Monaten",  IF(tblRentRoll[[#This Row],[Month_to_Expiry]]&lt;=6, "3-6 Monaten", IF(tblRentRoll[[#This Row],[Month_to_Expiry]]&lt;=12,"6-12 Monaten", IF(tblRentRoll[[#This Row],[Month_to_Expiry]]&gt;=12, "12 M+",)))))</f>
        <v/>
      </c>
      <c r="W377">
        <f>IF(tblRentRoll[[#This Row],[Status]]="Vacant", tblRentRoll[[#This Row],[Area_sqm]],0)</f>
        <v>1423</v>
      </c>
      <c r="X377" s="3">
        <f>IF(tblRentRoll[[#This Row],[Status]]="Occupied", tblRentRoll[[#This Row],[Area_sqm]],0)</f>
        <v>0</v>
      </c>
      <c r="Y377" s="3">
        <f ca="1">tblRentRoll[[#This Row],[Month_to_Expiry]]/12*tblRentRoll[[#This Row],[Annual_Rent_EUR]]</f>
        <v>0</v>
      </c>
      <c r="Z377" s="3"/>
    </row>
    <row r="378" spans="1:26" x14ac:dyDescent="0.35">
      <c r="A378" t="s">
        <v>27</v>
      </c>
      <c r="B378" t="s">
        <v>558</v>
      </c>
      <c r="C378" t="s">
        <v>19</v>
      </c>
      <c r="D378">
        <v>648</v>
      </c>
      <c r="E378" t="s">
        <v>15</v>
      </c>
      <c r="F378" t="s">
        <v>173</v>
      </c>
      <c r="G378">
        <v>6723.92</v>
      </c>
      <c r="H378">
        <v>80687.039999999994</v>
      </c>
      <c r="I378" s="2">
        <f>tblRentRoll[[#This Row],[Monthly_Rent_EUR]]*12</f>
        <v>80687.040000000008</v>
      </c>
      <c r="J378" s="2" t="str">
        <f>IF(tblRentRoll[[#This Row],[Annual_Rent_EUR]]&lt;&gt;tblRentRoll[[#This Row],[Jahresrente_EUR]], "FALSCH", "")</f>
        <v/>
      </c>
      <c r="K378" s="1">
        <v>44399</v>
      </c>
      <c r="L378" s="1">
        <v>44702</v>
      </c>
      <c r="M378">
        <v>1477.33</v>
      </c>
      <c r="N378">
        <v>712.95</v>
      </c>
      <c r="O37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8" t="str">
        <f>IF(tblRentRoll[[#This Row],[Area_sqm]]&lt;=0,"Area&lt;=0","")</f>
        <v/>
      </c>
      <c r="Q378" t="str">
        <f>IF(tblRentRoll[[#This Row],[Monthly_Rent_EUR]]&lt;=0,"Rent&lt;=0","")</f>
        <v/>
      </c>
      <c r="R378">
        <f>IF(AND(tblRentRoll[[#This Row],[Status]]="Occupied", tblRentRoll[[#This Row],[Area_sqm]]&gt;0), tblRentRoll[[#This Row],[Annual_Rent_EUR]]/tblRentRoll[[#This Row],[Area_sqm]],"")</f>
        <v>124.51703703703703</v>
      </c>
      <c r="S378">
        <f>tblRentRoll[[#This Row],[Service_Charge_EUR]]+tblRentRoll[[#This Row],[Operating_Cost_EUR]]</f>
        <v>2190.2799999999997</v>
      </c>
      <c r="T378">
        <f>IF(tblRentRoll[[#This Row],[Annual_Rent_EUR]]&lt;&gt;0,tblRentRoll[[#This Row],[Annual_Rent_EUR]]-tblRentRoll[[#This Row],[Operating_Cost_EUR]], "")</f>
        <v>79974.09</v>
      </c>
      <c r="U378">
        <f ca="1">IF(AND(tblRentRoll[[#This Row],[Status]]="Occupied",tblRentRoll[[#This Row],[Lease_End]]&gt;=TODAY()),DATEDIF(TODAY(),tblRentRoll[[#This Row],[Lease_End]],"m"), 0)</f>
        <v>0</v>
      </c>
      <c r="V378" t="str">
        <f ca="1">IF(tblRentRoll[[#This Row],[Status]]&lt;&gt;"Occupied","", IF(tblRentRoll[[#This Row],[Month_to_Expiry]]&lt;=3, "0-3 Monaten",  IF(tblRentRoll[[#This Row],[Month_to_Expiry]]&lt;=6, "3-6 Monaten", IF(tblRentRoll[[#This Row],[Month_to_Expiry]]&lt;=12,"6-12 Monaten", IF(tblRentRoll[[#This Row],[Month_to_Expiry]]&gt;=12, "12 M+",)))))</f>
        <v>0-3 Monaten</v>
      </c>
      <c r="W378">
        <f>IF(tblRentRoll[[#This Row],[Status]]="Vacant", tblRentRoll[[#This Row],[Area_sqm]],0)</f>
        <v>0</v>
      </c>
      <c r="X378" s="3">
        <f>IF(tblRentRoll[[#This Row],[Status]]="Occupied", tblRentRoll[[#This Row],[Area_sqm]],0)</f>
        <v>648</v>
      </c>
      <c r="Y378" s="3">
        <f ca="1">tblRentRoll[[#This Row],[Month_to_Expiry]]/12*tblRentRoll[[#This Row],[Annual_Rent_EUR]]</f>
        <v>0</v>
      </c>
      <c r="Z378" s="3"/>
    </row>
    <row r="379" spans="1:26" x14ac:dyDescent="0.35">
      <c r="A379" t="s">
        <v>31</v>
      </c>
      <c r="B379" t="s">
        <v>559</v>
      </c>
      <c r="C379" t="s">
        <v>19</v>
      </c>
      <c r="D379">
        <v>991</v>
      </c>
      <c r="E379" t="s">
        <v>15</v>
      </c>
      <c r="F379" t="s">
        <v>106</v>
      </c>
      <c r="G379">
        <v>11378.92</v>
      </c>
      <c r="H379">
        <v>136547.04</v>
      </c>
      <c r="I379" s="2">
        <f>tblRentRoll[[#This Row],[Monthly_Rent_EUR]]*12</f>
        <v>136547.04</v>
      </c>
      <c r="J379" s="2" t="str">
        <f>IF(tblRentRoll[[#This Row],[Annual_Rent_EUR]]&lt;&gt;tblRentRoll[[#This Row],[Jahresrente_EUR]], "FALSCH", "")</f>
        <v/>
      </c>
      <c r="K379" s="1">
        <v>45050</v>
      </c>
      <c r="L379" s="1">
        <v>46826</v>
      </c>
      <c r="M379">
        <v>2623.38</v>
      </c>
      <c r="N379">
        <v>729.16</v>
      </c>
      <c r="O37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79" t="str">
        <f>IF(tblRentRoll[[#This Row],[Area_sqm]]&lt;=0,"Area&lt;=0","")</f>
        <v/>
      </c>
      <c r="Q379" t="str">
        <f>IF(tblRentRoll[[#This Row],[Monthly_Rent_EUR]]&lt;=0,"Rent&lt;=0","")</f>
        <v/>
      </c>
      <c r="R379">
        <f>IF(AND(tblRentRoll[[#This Row],[Status]]="Occupied", tblRentRoll[[#This Row],[Area_sqm]]&gt;0), tblRentRoll[[#This Row],[Annual_Rent_EUR]]/tblRentRoll[[#This Row],[Area_sqm]],"")</f>
        <v>137.78712411705348</v>
      </c>
      <c r="S379">
        <f>tblRentRoll[[#This Row],[Service_Charge_EUR]]+tblRentRoll[[#This Row],[Operating_Cost_EUR]]</f>
        <v>3352.54</v>
      </c>
      <c r="T379">
        <f>IF(tblRentRoll[[#This Row],[Annual_Rent_EUR]]&lt;&gt;0,tblRentRoll[[#This Row],[Annual_Rent_EUR]]-tblRentRoll[[#This Row],[Operating_Cost_EUR]], "")</f>
        <v>135817.88</v>
      </c>
      <c r="U379">
        <f ca="1">IF(AND(tblRentRoll[[#This Row],[Status]]="Occupied",tblRentRoll[[#This Row],[Lease_End]]&gt;=TODAY()),DATEDIF(TODAY(),tblRentRoll[[#This Row],[Lease_End]],"m"), 0)</f>
        <v>24</v>
      </c>
      <c r="V379" t="str">
        <f ca="1">IF(tblRentRoll[[#This Row],[Status]]&lt;&gt;"Occupied","", IF(tblRentRoll[[#This Row],[Month_to_Expiry]]&lt;=3, "0-3 Monaten",  IF(tblRentRoll[[#This Row],[Month_to_Expiry]]&lt;=6, "3-6 Monaten", IF(tblRentRoll[[#This Row],[Month_to_Expiry]]&lt;=12,"6-12 Monaten", IF(tblRentRoll[[#This Row],[Month_to_Expiry]]&gt;=12, "12 M+",)))))</f>
        <v>12 M+</v>
      </c>
      <c r="W379">
        <f>IF(tblRentRoll[[#This Row],[Status]]="Vacant", tblRentRoll[[#This Row],[Area_sqm]],0)</f>
        <v>0</v>
      </c>
      <c r="X379" s="3">
        <f>IF(tblRentRoll[[#This Row],[Status]]="Occupied", tblRentRoll[[#This Row],[Area_sqm]],0)</f>
        <v>991</v>
      </c>
      <c r="Y379" s="3">
        <f ca="1">tblRentRoll[[#This Row],[Month_to_Expiry]]/12*tblRentRoll[[#This Row],[Annual_Rent_EUR]]</f>
        <v>273094.08</v>
      </c>
      <c r="Z379" s="3"/>
    </row>
    <row r="380" spans="1:26" x14ac:dyDescent="0.35">
      <c r="A380" t="s">
        <v>27</v>
      </c>
      <c r="B380" t="s">
        <v>560</v>
      </c>
      <c r="C380" t="s">
        <v>29</v>
      </c>
      <c r="D380">
        <v>1036</v>
      </c>
      <c r="E380" t="s">
        <v>15</v>
      </c>
      <c r="F380" t="s">
        <v>561</v>
      </c>
      <c r="G380">
        <v>15907.58</v>
      </c>
      <c r="H380">
        <v>190890.96</v>
      </c>
      <c r="I380" s="2">
        <f>tblRentRoll[[#This Row],[Monthly_Rent_EUR]]*12</f>
        <v>190890.96</v>
      </c>
      <c r="J380" s="2" t="str">
        <f>IF(tblRentRoll[[#This Row],[Annual_Rent_EUR]]&lt;&gt;tblRentRoll[[#This Row],[Jahresrente_EUR]], "FALSCH", "")</f>
        <v/>
      </c>
      <c r="K380" s="1">
        <v>44499</v>
      </c>
      <c r="L380" s="1">
        <v>45553</v>
      </c>
      <c r="M380">
        <v>2736.27</v>
      </c>
      <c r="N380">
        <v>1899.78</v>
      </c>
      <c r="O38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0" t="str">
        <f>IF(tblRentRoll[[#This Row],[Area_sqm]]&lt;=0,"Area&lt;=0","")</f>
        <v/>
      </c>
      <c r="Q380" t="str">
        <f>IF(tblRentRoll[[#This Row],[Monthly_Rent_EUR]]&lt;=0,"Rent&lt;=0","")</f>
        <v/>
      </c>
      <c r="R380">
        <f>IF(AND(tblRentRoll[[#This Row],[Status]]="Occupied", tblRentRoll[[#This Row],[Area_sqm]]&gt;0), tblRentRoll[[#This Row],[Annual_Rent_EUR]]/tblRentRoll[[#This Row],[Area_sqm]],"")</f>
        <v>184.25768339768339</v>
      </c>
      <c r="S380">
        <f>tblRentRoll[[#This Row],[Service_Charge_EUR]]+tblRentRoll[[#This Row],[Operating_Cost_EUR]]</f>
        <v>4636.05</v>
      </c>
      <c r="T380">
        <f>IF(tblRentRoll[[#This Row],[Annual_Rent_EUR]]&lt;&gt;0,tblRentRoll[[#This Row],[Annual_Rent_EUR]]-tblRentRoll[[#This Row],[Operating_Cost_EUR]], "")</f>
        <v>188991.18</v>
      </c>
      <c r="U380">
        <f ca="1">IF(AND(tblRentRoll[[#This Row],[Status]]="Occupied",tblRentRoll[[#This Row],[Lease_End]]&gt;=TODAY()),DATEDIF(TODAY(),tblRentRoll[[#This Row],[Lease_End]],"m"), 0)</f>
        <v>0</v>
      </c>
      <c r="V380" t="str">
        <f ca="1">IF(tblRentRoll[[#This Row],[Status]]&lt;&gt;"Occupied","", IF(tblRentRoll[[#This Row],[Month_to_Expiry]]&lt;=3, "0-3 Monaten",  IF(tblRentRoll[[#This Row],[Month_to_Expiry]]&lt;=6, "3-6 Monaten", IF(tblRentRoll[[#This Row],[Month_to_Expiry]]&lt;=12,"6-12 Monaten", IF(tblRentRoll[[#This Row],[Month_to_Expiry]]&gt;=12, "12 M+",)))))</f>
        <v>0-3 Monaten</v>
      </c>
      <c r="W380">
        <f>IF(tblRentRoll[[#This Row],[Status]]="Vacant", tblRentRoll[[#This Row],[Area_sqm]],0)</f>
        <v>0</v>
      </c>
      <c r="X380" s="3">
        <f>IF(tblRentRoll[[#This Row],[Status]]="Occupied", tblRentRoll[[#This Row],[Area_sqm]],0)</f>
        <v>1036</v>
      </c>
      <c r="Y380" s="3">
        <f ca="1">tblRentRoll[[#This Row],[Month_to_Expiry]]/12*tblRentRoll[[#This Row],[Annual_Rent_EUR]]</f>
        <v>0</v>
      </c>
      <c r="Z380" s="3"/>
    </row>
    <row r="381" spans="1:26" x14ac:dyDescent="0.35">
      <c r="A381" t="s">
        <v>27</v>
      </c>
      <c r="B381" t="s">
        <v>562</v>
      </c>
      <c r="C381" t="s">
        <v>19</v>
      </c>
      <c r="D381">
        <v>221</v>
      </c>
      <c r="E381" t="s">
        <v>15</v>
      </c>
      <c r="F381" t="s">
        <v>461</v>
      </c>
      <c r="G381">
        <v>1713.53</v>
      </c>
      <c r="H381">
        <v>20562.36</v>
      </c>
      <c r="I381" s="2">
        <f>tblRentRoll[[#This Row],[Monthly_Rent_EUR]]*12</f>
        <v>20562.36</v>
      </c>
      <c r="J381" s="2" t="str">
        <f>IF(tblRentRoll[[#This Row],[Annual_Rent_EUR]]&lt;&gt;tblRentRoll[[#This Row],[Jahresrente_EUR]], "FALSCH", "")</f>
        <v/>
      </c>
      <c r="K381" s="1">
        <v>44374</v>
      </c>
      <c r="L381" s="1">
        <v>44730</v>
      </c>
      <c r="M381">
        <v>463.43</v>
      </c>
      <c r="N381">
        <v>426.15</v>
      </c>
      <c r="O38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1" t="str">
        <f>IF(tblRentRoll[[#This Row],[Area_sqm]]&lt;=0,"Area&lt;=0","")</f>
        <v/>
      </c>
      <c r="Q381" t="str">
        <f>IF(tblRentRoll[[#This Row],[Monthly_Rent_EUR]]&lt;=0,"Rent&lt;=0","")</f>
        <v/>
      </c>
      <c r="R381">
        <f>IF(AND(tblRentRoll[[#This Row],[Status]]="Occupied", tblRentRoll[[#This Row],[Area_sqm]]&gt;0), tblRentRoll[[#This Row],[Annual_Rent_EUR]]/tblRentRoll[[#This Row],[Area_sqm]],"")</f>
        <v>93.042352941176475</v>
      </c>
      <c r="S381">
        <f>tblRentRoll[[#This Row],[Service_Charge_EUR]]+tblRentRoll[[#This Row],[Operating_Cost_EUR]]</f>
        <v>889.57999999999993</v>
      </c>
      <c r="T381">
        <f>IF(tblRentRoll[[#This Row],[Annual_Rent_EUR]]&lt;&gt;0,tblRentRoll[[#This Row],[Annual_Rent_EUR]]-tblRentRoll[[#This Row],[Operating_Cost_EUR]], "")</f>
        <v>20136.21</v>
      </c>
      <c r="U381">
        <f ca="1">IF(AND(tblRentRoll[[#This Row],[Status]]="Occupied",tblRentRoll[[#This Row],[Lease_End]]&gt;=TODAY()),DATEDIF(TODAY(),tblRentRoll[[#This Row],[Lease_End]],"m"), 0)</f>
        <v>0</v>
      </c>
      <c r="V381" t="str">
        <f ca="1">IF(tblRentRoll[[#This Row],[Status]]&lt;&gt;"Occupied","", IF(tblRentRoll[[#This Row],[Month_to_Expiry]]&lt;=3, "0-3 Monaten",  IF(tblRentRoll[[#This Row],[Month_to_Expiry]]&lt;=6, "3-6 Monaten", IF(tblRentRoll[[#This Row],[Month_to_Expiry]]&lt;=12,"6-12 Monaten", IF(tblRentRoll[[#This Row],[Month_to_Expiry]]&gt;=12, "12 M+",)))))</f>
        <v>0-3 Monaten</v>
      </c>
      <c r="W381">
        <f>IF(tblRentRoll[[#This Row],[Status]]="Vacant", tblRentRoll[[#This Row],[Area_sqm]],0)</f>
        <v>0</v>
      </c>
      <c r="X381" s="3">
        <f>IF(tblRentRoll[[#This Row],[Status]]="Occupied", tblRentRoll[[#This Row],[Area_sqm]],0)</f>
        <v>221</v>
      </c>
      <c r="Y381" s="3">
        <f ca="1">tblRentRoll[[#This Row],[Month_to_Expiry]]/12*tblRentRoll[[#This Row],[Annual_Rent_EUR]]</f>
        <v>0</v>
      </c>
      <c r="Z381" s="3"/>
    </row>
    <row r="382" spans="1:26" x14ac:dyDescent="0.35">
      <c r="A382" t="s">
        <v>44</v>
      </c>
      <c r="B382" t="s">
        <v>563</v>
      </c>
      <c r="C382" t="s">
        <v>14</v>
      </c>
      <c r="D382">
        <v>1211</v>
      </c>
      <c r="E382" t="s">
        <v>15</v>
      </c>
      <c r="F382" t="s">
        <v>387</v>
      </c>
      <c r="G382">
        <v>12642.96</v>
      </c>
      <c r="H382">
        <v>151715.51999999999</v>
      </c>
      <c r="I382" s="2">
        <f>tblRentRoll[[#This Row],[Monthly_Rent_EUR]]*12</f>
        <v>151715.51999999999</v>
      </c>
      <c r="J382" s="2" t="str">
        <f>IF(tblRentRoll[[#This Row],[Annual_Rent_EUR]]&lt;&gt;tblRentRoll[[#This Row],[Jahresrente_EUR]], "FALSCH", "")</f>
        <v/>
      </c>
      <c r="K382" s="1">
        <v>45048</v>
      </c>
      <c r="L382" s="1">
        <v>46075</v>
      </c>
      <c r="M382">
        <v>3413.35</v>
      </c>
      <c r="N382">
        <v>1754.03</v>
      </c>
      <c r="O38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2" t="str">
        <f>IF(tblRentRoll[[#This Row],[Area_sqm]]&lt;=0,"Area&lt;=0","")</f>
        <v/>
      </c>
      <c r="Q382" t="str">
        <f>IF(tblRentRoll[[#This Row],[Monthly_Rent_EUR]]&lt;=0,"Rent&lt;=0","")</f>
        <v/>
      </c>
      <c r="R382">
        <f>IF(AND(tblRentRoll[[#This Row],[Status]]="Occupied", tblRentRoll[[#This Row],[Area_sqm]]&gt;0), tblRentRoll[[#This Row],[Annual_Rent_EUR]]/tblRentRoll[[#This Row],[Area_sqm]],"")</f>
        <v>125.28118909991741</v>
      </c>
      <c r="S382">
        <f>tblRentRoll[[#This Row],[Service_Charge_EUR]]+tblRentRoll[[#This Row],[Operating_Cost_EUR]]</f>
        <v>5167.38</v>
      </c>
      <c r="T382">
        <f>IF(tblRentRoll[[#This Row],[Annual_Rent_EUR]]&lt;&gt;0,tblRentRoll[[#This Row],[Annual_Rent_EUR]]-tblRentRoll[[#This Row],[Operating_Cost_EUR]], "")</f>
        <v>149961.49</v>
      </c>
      <c r="U382">
        <f ca="1">IF(AND(tblRentRoll[[#This Row],[Status]]="Occupied",tblRentRoll[[#This Row],[Lease_End]]&gt;=TODAY()),DATEDIF(TODAY(),tblRentRoll[[#This Row],[Lease_End]],"m"), 0)</f>
        <v>0</v>
      </c>
      <c r="V382" t="str">
        <f ca="1">IF(tblRentRoll[[#This Row],[Status]]&lt;&gt;"Occupied","", IF(tblRentRoll[[#This Row],[Month_to_Expiry]]&lt;=3, "0-3 Monaten",  IF(tblRentRoll[[#This Row],[Month_to_Expiry]]&lt;=6, "3-6 Monaten", IF(tblRentRoll[[#This Row],[Month_to_Expiry]]&lt;=12,"6-12 Monaten", IF(tblRentRoll[[#This Row],[Month_to_Expiry]]&gt;=12, "12 M+",)))))</f>
        <v>0-3 Monaten</v>
      </c>
      <c r="W382">
        <f>IF(tblRentRoll[[#This Row],[Status]]="Vacant", tblRentRoll[[#This Row],[Area_sqm]],0)</f>
        <v>0</v>
      </c>
      <c r="X382" s="3">
        <f>IF(tblRentRoll[[#This Row],[Status]]="Occupied", tblRentRoll[[#This Row],[Area_sqm]],0)</f>
        <v>1211</v>
      </c>
      <c r="Y382" s="3">
        <f ca="1">tblRentRoll[[#This Row],[Month_to_Expiry]]/12*tblRentRoll[[#This Row],[Annual_Rent_EUR]]</f>
        <v>0</v>
      </c>
      <c r="Z382" s="3"/>
    </row>
    <row r="383" spans="1:26" x14ac:dyDescent="0.35">
      <c r="A383" t="s">
        <v>44</v>
      </c>
      <c r="B383" t="s">
        <v>564</v>
      </c>
      <c r="C383" t="s">
        <v>33</v>
      </c>
      <c r="D383">
        <v>507</v>
      </c>
      <c r="E383" t="s">
        <v>15</v>
      </c>
      <c r="F383" t="s">
        <v>194</v>
      </c>
      <c r="G383">
        <v>6298.58</v>
      </c>
      <c r="H383">
        <v>75582.960000000006</v>
      </c>
      <c r="I383" s="2">
        <f>tblRentRoll[[#This Row],[Monthly_Rent_EUR]]*12</f>
        <v>75582.959999999992</v>
      </c>
      <c r="J383" s="2" t="str">
        <f>IF(tblRentRoll[[#This Row],[Annual_Rent_EUR]]&lt;&gt;tblRentRoll[[#This Row],[Jahresrente_EUR]], "FALSCH", "")</f>
        <v/>
      </c>
      <c r="K383" s="1">
        <v>44496</v>
      </c>
      <c r="L383" s="1">
        <v>46027</v>
      </c>
      <c r="M383">
        <v>1419.73</v>
      </c>
      <c r="N383">
        <v>862.77</v>
      </c>
      <c r="O38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3" t="str">
        <f>IF(tblRentRoll[[#This Row],[Area_sqm]]&lt;=0,"Area&lt;=0","")</f>
        <v/>
      </c>
      <c r="Q383" t="str">
        <f>IF(tblRentRoll[[#This Row],[Monthly_Rent_EUR]]&lt;=0,"Rent&lt;=0","")</f>
        <v/>
      </c>
      <c r="R383">
        <f>IF(AND(tblRentRoll[[#This Row],[Status]]="Occupied", tblRentRoll[[#This Row],[Area_sqm]]&gt;0), tblRentRoll[[#This Row],[Annual_Rent_EUR]]/tblRentRoll[[#This Row],[Area_sqm]],"")</f>
        <v>149.07881656804736</v>
      </c>
      <c r="S383">
        <f>tblRentRoll[[#This Row],[Service_Charge_EUR]]+tblRentRoll[[#This Row],[Operating_Cost_EUR]]</f>
        <v>2282.5</v>
      </c>
      <c r="T383">
        <f>IF(tblRentRoll[[#This Row],[Annual_Rent_EUR]]&lt;&gt;0,tblRentRoll[[#This Row],[Annual_Rent_EUR]]-tblRentRoll[[#This Row],[Operating_Cost_EUR]], "")</f>
        <v>74720.19</v>
      </c>
      <c r="U383">
        <f ca="1">IF(AND(tblRentRoll[[#This Row],[Status]]="Occupied",tblRentRoll[[#This Row],[Lease_End]]&gt;=TODAY()),DATEDIF(TODAY(),tblRentRoll[[#This Row],[Lease_End]],"m"), 0)</f>
        <v>0</v>
      </c>
      <c r="V383" t="str">
        <f ca="1">IF(tblRentRoll[[#This Row],[Status]]&lt;&gt;"Occupied","", IF(tblRentRoll[[#This Row],[Month_to_Expiry]]&lt;=3, "0-3 Monaten",  IF(tblRentRoll[[#This Row],[Month_to_Expiry]]&lt;=6, "3-6 Monaten", IF(tblRentRoll[[#This Row],[Month_to_Expiry]]&lt;=12,"6-12 Monaten", IF(tblRentRoll[[#This Row],[Month_to_Expiry]]&gt;=12, "12 M+",)))))</f>
        <v>0-3 Monaten</v>
      </c>
      <c r="W383">
        <f>IF(tblRentRoll[[#This Row],[Status]]="Vacant", tblRentRoll[[#This Row],[Area_sqm]],0)</f>
        <v>0</v>
      </c>
      <c r="X383" s="3">
        <f>IF(tblRentRoll[[#This Row],[Status]]="Occupied", tblRentRoll[[#This Row],[Area_sqm]],0)</f>
        <v>507</v>
      </c>
      <c r="Y383" s="3">
        <f ca="1">tblRentRoll[[#This Row],[Month_to_Expiry]]/12*tblRentRoll[[#This Row],[Annual_Rent_EUR]]</f>
        <v>0</v>
      </c>
      <c r="Z383" s="3"/>
    </row>
    <row r="384" spans="1:26" x14ac:dyDescent="0.35">
      <c r="A384" t="s">
        <v>17</v>
      </c>
      <c r="B384" t="s">
        <v>565</v>
      </c>
      <c r="C384" t="s">
        <v>29</v>
      </c>
      <c r="D384">
        <v>605</v>
      </c>
      <c r="E384" t="s">
        <v>15</v>
      </c>
      <c r="F384" t="s">
        <v>76</v>
      </c>
      <c r="G384">
        <v>10127.66</v>
      </c>
      <c r="H384">
        <v>121531.92</v>
      </c>
      <c r="I384" s="2">
        <f>tblRentRoll[[#This Row],[Monthly_Rent_EUR]]*12</f>
        <v>121531.92</v>
      </c>
      <c r="J384" s="2" t="str">
        <f>IF(tblRentRoll[[#This Row],[Annual_Rent_EUR]]&lt;&gt;tblRentRoll[[#This Row],[Jahresrente_EUR]], "FALSCH", "")</f>
        <v/>
      </c>
      <c r="K384" s="1">
        <v>44374</v>
      </c>
      <c r="L384" s="1">
        <v>45167</v>
      </c>
      <c r="M384">
        <v>902.63</v>
      </c>
      <c r="N384">
        <v>1419.42</v>
      </c>
      <c r="O38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4" t="str">
        <f>IF(tblRentRoll[[#This Row],[Area_sqm]]&lt;=0,"Area&lt;=0","")</f>
        <v/>
      </c>
      <c r="Q384" t="str">
        <f>IF(tblRentRoll[[#This Row],[Monthly_Rent_EUR]]&lt;=0,"Rent&lt;=0","")</f>
        <v/>
      </c>
      <c r="R384">
        <f>IF(AND(tblRentRoll[[#This Row],[Status]]="Occupied", tblRentRoll[[#This Row],[Area_sqm]]&gt;0), tblRentRoll[[#This Row],[Annual_Rent_EUR]]/tblRentRoll[[#This Row],[Area_sqm]],"")</f>
        <v>200.87920661157025</v>
      </c>
      <c r="S384">
        <f>tblRentRoll[[#This Row],[Service_Charge_EUR]]+tblRentRoll[[#This Row],[Operating_Cost_EUR]]</f>
        <v>2322.0500000000002</v>
      </c>
      <c r="T384">
        <f>IF(tblRentRoll[[#This Row],[Annual_Rent_EUR]]&lt;&gt;0,tblRentRoll[[#This Row],[Annual_Rent_EUR]]-tblRentRoll[[#This Row],[Operating_Cost_EUR]], "")</f>
        <v>120112.5</v>
      </c>
      <c r="U384">
        <f ca="1">IF(AND(tblRentRoll[[#This Row],[Status]]="Occupied",tblRentRoll[[#This Row],[Lease_End]]&gt;=TODAY()),DATEDIF(TODAY(),tblRentRoll[[#This Row],[Lease_End]],"m"), 0)</f>
        <v>0</v>
      </c>
      <c r="V384" t="str">
        <f ca="1">IF(tblRentRoll[[#This Row],[Status]]&lt;&gt;"Occupied","", IF(tblRentRoll[[#This Row],[Month_to_Expiry]]&lt;=3, "0-3 Monaten",  IF(tblRentRoll[[#This Row],[Month_to_Expiry]]&lt;=6, "3-6 Monaten", IF(tblRentRoll[[#This Row],[Month_to_Expiry]]&lt;=12,"6-12 Monaten", IF(tblRentRoll[[#This Row],[Month_to_Expiry]]&gt;=12, "12 M+",)))))</f>
        <v>0-3 Monaten</v>
      </c>
      <c r="W384">
        <f>IF(tblRentRoll[[#This Row],[Status]]="Vacant", tblRentRoll[[#This Row],[Area_sqm]],0)</f>
        <v>0</v>
      </c>
      <c r="X384" s="3">
        <f>IF(tblRentRoll[[#This Row],[Status]]="Occupied", tblRentRoll[[#This Row],[Area_sqm]],0)</f>
        <v>605</v>
      </c>
      <c r="Y384" s="3">
        <f ca="1">tblRentRoll[[#This Row],[Month_to_Expiry]]/12*tblRentRoll[[#This Row],[Annual_Rent_EUR]]</f>
        <v>0</v>
      </c>
      <c r="Z384" s="3"/>
    </row>
    <row r="385" spans="1:26" x14ac:dyDescent="0.35">
      <c r="A385" t="s">
        <v>12</v>
      </c>
      <c r="B385" t="s">
        <v>566</v>
      </c>
      <c r="C385" t="s">
        <v>14</v>
      </c>
      <c r="D385">
        <v>1015</v>
      </c>
      <c r="E385" t="s">
        <v>15</v>
      </c>
      <c r="F385" t="s">
        <v>270</v>
      </c>
      <c r="G385">
        <v>18195.12</v>
      </c>
      <c r="H385">
        <v>218341.44</v>
      </c>
      <c r="I385" s="2">
        <f>tblRentRoll[[#This Row],[Monthly_Rent_EUR]]*12</f>
        <v>218341.44</v>
      </c>
      <c r="J385" s="2" t="str">
        <f>IF(tblRentRoll[[#This Row],[Annual_Rent_EUR]]&lt;&gt;tblRentRoll[[#This Row],[Jahresrente_EUR]], "FALSCH", "")</f>
        <v/>
      </c>
      <c r="K385" s="1">
        <v>44813</v>
      </c>
      <c r="L385" s="1">
        <v>45049</v>
      </c>
      <c r="M385">
        <v>2522.12</v>
      </c>
      <c r="N385">
        <v>2328.67</v>
      </c>
      <c r="O38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5" t="str">
        <f>IF(tblRentRoll[[#This Row],[Area_sqm]]&lt;=0,"Area&lt;=0","")</f>
        <v/>
      </c>
      <c r="Q385" t="str">
        <f>IF(tblRentRoll[[#This Row],[Monthly_Rent_EUR]]&lt;=0,"Rent&lt;=0","")</f>
        <v/>
      </c>
      <c r="R385">
        <f>IF(AND(tblRentRoll[[#This Row],[Status]]="Occupied", tblRentRoll[[#This Row],[Area_sqm]]&gt;0), tblRentRoll[[#This Row],[Annual_Rent_EUR]]/tblRentRoll[[#This Row],[Area_sqm]],"")</f>
        <v>215.11471921182266</v>
      </c>
      <c r="S385">
        <f>tblRentRoll[[#This Row],[Service_Charge_EUR]]+tblRentRoll[[#This Row],[Operating_Cost_EUR]]</f>
        <v>4850.79</v>
      </c>
      <c r="T385">
        <f>IF(tblRentRoll[[#This Row],[Annual_Rent_EUR]]&lt;&gt;0,tblRentRoll[[#This Row],[Annual_Rent_EUR]]-tblRentRoll[[#This Row],[Operating_Cost_EUR]], "")</f>
        <v>216012.77</v>
      </c>
      <c r="U385">
        <f ca="1">IF(AND(tblRentRoll[[#This Row],[Status]]="Occupied",tblRentRoll[[#This Row],[Lease_End]]&gt;=TODAY()),DATEDIF(TODAY(),tblRentRoll[[#This Row],[Lease_End]],"m"), 0)</f>
        <v>0</v>
      </c>
      <c r="V385" t="str">
        <f ca="1">IF(tblRentRoll[[#This Row],[Status]]&lt;&gt;"Occupied","", IF(tblRentRoll[[#This Row],[Month_to_Expiry]]&lt;=3, "0-3 Monaten",  IF(tblRentRoll[[#This Row],[Month_to_Expiry]]&lt;=6, "3-6 Monaten", IF(tblRentRoll[[#This Row],[Month_to_Expiry]]&lt;=12,"6-12 Monaten", IF(tblRentRoll[[#This Row],[Month_to_Expiry]]&gt;=12, "12 M+",)))))</f>
        <v>0-3 Monaten</v>
      </c>
      <c r="W385">
        <f>IF(tblRentRoll[[#This Row],[Status]]="Vacant", tblRentRoll[[#This Row],[Area_sqm]],0)</f>
        <v>0</v>
      </c>
      <c r="X385" s="3">
        <f>IF(tblRentRoll[[#This Row],[Status]]="Occupied", tblRentRoll[[#This Row],[Area_sqm]],0)</f>
        <v>1015</v>
      </c>
      <c r="Y385" s="3">
        <f ca="1">tblRentRoll[[#This Row],[Month_to_Expiry]]/12*tblRentRoll[[#This Row],[Annual_Rent_EUR]]</f>
        <v>0</v>
      </c>
      <c r="Z385" s="3"/>
    </row>
    <row r="386" spans="1:26" x14ac:dyDescent="0.35">
      <c r="A386" t="s">
        <v>24</v>
      </c>
      <c r="B386" t="s">
        <v>567</v>
      </c>
      <c r="C386" t="s">
        <v>14</v>
      </c>
      <c r="D386">
        <v>1139</v>
      </c>
      <c r="E386" t="s">
        <v>20</v>
      </c>
      <c r="G386">
        <v>0</v>
      </c>
      <c r="H386">
        <v>0</v>
      </c>
      <c r="I386" s="2">
        <f>tblRentRoll[[#This Row],[Monthly_Rent_EUR]]*12</f>
        <v>0</v>
      </c>
      <c r="J386" s="2" t="str">
        <f>IF(tblRentRoll[[#This Row],[Annual_Rent_EUR]]&lt;&gt;tblRentRoll[[#This Row],[Jahresrente_EUR]], "FALSCH", "")</f>
        <v/>
      </c>
      <c r="M386">
        <v>2165.9499999999998</v>
      </c>
      <c r="N386">
        <v>1552.78</v>
      </c>
      <c r="O38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6" t="str">
        <f>IF(tblRentRoll[[#This Row],[Area_sqm]]&lt;=0,"Area&lt;=0","")</f>
        <v/>
      </c>
      <c r="Q386" t="str">
        <f>IF(tblRentRoll[[#This Row],[Monthly_Rent_EUR]]&lt;=0,"Rent&lt;=0","")</f>
        <v>Rent&lt;=0</v>
      </c>
      <c r="R386" t="str">
        <f>IF(AND(tblRentRoll[[#This Row],[Status]]="Occupied", tblRentRoll[[#This Row],[Area_sqm]]&gt;0), tblRentRoll[[#This Row],[Annual_Rent_EUR]]/tblRentRoll[[#This Row],[Area_sqm]],"")</f>
        <v/>
      </c>
      <c r="S386">
        <f>tblRentRoll[[#This Row],[Service_Charge_EUR]]+tblRentRoll[[#This Row],[Operating_Cost_EUR]]</f>
        <v>3718.7299999999996</v>
      </c>
      <c r="T386" t="str">
        <f>IF(tblRentRoll[[#This Row],[Annual_Rent_EUR]]&lt;&gt;0,tblRentRoll[[#This Row],[Annual_Rent_EUR]]-tblRentRoll[[#This Row],[Operating_Cost_EUR]], "")</f>
        <v/>
      </c>
      <c r="U386">
        <f ca="1">IF(AND(tblRentRoll[[#This Row],[Status]]="Occupied",tblRentRoll[[#This Row],[Lease_End]]&gt;=TODAY()),DATEDIF(TODAY(),tblRentRoll[[#This Row],[Lease_End]],"m"), 0)</f>
        <v>0</v>
      </c>
      <c r="V386" t="str">
        <f>IF(tblRentRoll[[#This Row],[Status]]&lt;&gt;"Occupied","", IF(tblRentRoll[[#This Row],[Month_to_Expiry]]&lt;=3, "0-3 Monaten",  IF(tblRentRoll[[#This Row],[Month_to_Expiry]]&lt;=6, "3-6 Monaten", IF(tblRentRoll[[#This Row],[Month_to_Expiry]]&lt;=12,"6-12 Monaten", IF(tblRentRoll[[#This Row],[Month_to_Expiry]]&gt;=12, "12 M+",)))))</f>
        <v/>
      </c>
      <c r="W386">
        <f>IF(tblRentRoll[[#This Row],[Status]]="Vacant", tblRentRoll[[#This Row],[Area_sqm]],0)</f>
        <v>1139</v>
      </c>
      <c r="X386" s="3">
        <f>IF(tblRentRoll[[#This Row],[Status]]="Occupied", tblRentRoll[[#This Row],[Area_sqm]],0)</f>
        <v>0</v>
      </c>
      <c r="Y386" s="3">
        <f ca="1">tblRentRoll[[#This Row],[Month_to_Expiry]]/12*tblRentRoll[[#This Row],[Annual_Rent_EUR]]</f>
        <v>0</v>
      </c>
      <c r="Z386" s="3"/>
    </row>
    <row r="387" spans="1:26" x14ac:dyDescent="0.35">
      <c r="A387" t="s">
        <v>17</v>
      </c>
      <c r="B387" t="s">
        <v>568</v>
      </c>
      <c r="C387" t="s">
        <v>29</v>
      </c>
      <c r="D387">
        <v>683</v>
      </c>
      <c r="E387" t="s">
        <v>15</v>
      </c>
      <c r="F387" t="s">
        <v>158</v>
      </c>
      <c r="G387">
        <v>8898.0499999999993</v>
      </c>
      <c r="H387">
        <v>106776.6</v>
      </c>
      <c r="I387" s="2">
        <f>tblRentRoll[[#This Row],[Monthly_Rent_EUR]]*12</f>
        <v>106776.59999999999</v>
      </c>
      <c r="J387" s="2" t="str">
        <f>IF(tblRentRoll[[#This Row],[Annual_Rent_EUR]]&lt;&gt;tblRentRoll[[#This Row],[Jahresrente_EUR]], "FALSCH", "")</f>
        <v/>
      </c>
      <c r="K387" s="1">
        <v>44992</v>
      </c>
      <c r="L387" s="1">
        <v>45193</v>
      </c>
      <c r="M387">
        <v>1339.22</v>
      </c>
      <c r="N387">
        <v>1480.32</v>
      </c>
      <c r="O38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7" t="str">
        <f>IF(tblRentRoll[[#This Row],[Area_sqm]]&lt;=0,"Area&lt;=0","")</f>
        <v/>
      </c>
      <c r="Q387" t="str">
        <f>IF(tblRentRoll[[#This Row],[Monthly_Rent_EUR]]&lt;=0,"Rent&lt;=0","")</f>
        <v/>
      </c>
      <c r="R387">
        <f>IF(AND(tblRentRoll[[#This Row],[Status]]="Occupied", tblRentRoll[[#This Row],[Area_sqm]]&gt;0), tblRentRoll[[#This Row],[Annual_Rent_EUR]]/tblRentRoll[[#This Row],[Area_sqm]],"")</f>
        <v>156.33469985358713</v>
      </c>
      <c r="S387">
        <f>tblRentRoll[[#This Row],[Service_Charge_EUR]]+tblRentRoll[[#This Row],[Operating_Cost_EUR]]</f>
        <v>2819.54</v>
      </c>
      <c r="T387">
        <f>IF(tblRentRoll[[#This Row],[Annual_Rent_EUR]]&lt;&gt;0,tblRentRoll[[#This Row],[Annual_Rent_EUR]]-tblRentRoll[[#This Row],[Operating_Cost_EUR]], "")</f>
        <v>105296.28</v>
      </c>
      <c r="U387">
        <f ca="1">IF(AND(tblRentRoll[[#This Row],[Status]]="Occupied",tblRentRoll[[#This Row],[Lease_End]]&gt;=TODAY()),DATEDIF(TODAY(),tblRentRoll[[#This Row],[Lease_End]],"m"), 0)</f>
        <v>0</v>
      </c>
      <c r="V387" t="str">
        <f ca="1">IF(tblRentRoll[[#This Row],[Status]]&lt;&gt;"Occupied","", IF(tblRentRoll[[#This Row],[Month_to_Expiry]]&lt;=3, "0-3 Monaten",  IF(tblRentRoll[[#This Row],[Month_to_Expiry]]&lt;=6, "3-6 Monaten", IF(tblRentRoll[[#This Row],[Month_to_Expiry]]&lt;=12,"6-12 Monaten", IF(tblRentRoll[[#This Row],[Month_to_Expiry]]&gt;=12, "12 M+",)))))</f>
        <v>0-3 Monaten</v>
      </c>
      <c r="W387">
        <f>IF(tblRentRoll[[#This Row],[Status]]="Vacant", tblRentRoll[[#This Row],[Area_sqm]],0)</f>
        <v>0</v>
      </c>
      <c r="X387" s="3">
        <f>IF(tblRentRoll[[#This Row],[Status]]="Occupied", tblRentRoll[[#This Row],[Area_sqm]],0)</f>
        <v>683</v>
      </c>
      <c r="Y387" s="3">
        <f ca="1">tblRentRoll[[#This Row],[Month_to_Expiry]]/12*tblRentRoll[[#This Row],[Annual_Rent_EUR]]</f>
        <v>0</v>
      </c>
      <c r="Z387" s="3"/>
    </row>
    <row r="388" spans="1:26" x14ac:dyDescent="0.35">
      <c r="A388" t="s">
        <v>17</v>
      </c>
      <c r="B388" t="s">
        <v>569</v>
      </c>
      <c r="C388" t="s">
        <v>14</v>
      </c>
      <c r="D388">
        <v>727</v>
      </c>
      <c r="E388" t="s">
        <v>15</v>
      </c>
      <c r="F388" t="s">
        <v>298</v>
      </c>
      <c r="G388">
        <v>11485.82</v>
      </c>
      <c r="H388">
        <v>137829.84</v>
      </c>
      <c r="I388" s="2">
        <f>tblRentRoll[[#This Row],[Monthly_Rent_EUR]]*12</f>
        <v>137829.84</v>
      </c>
      <c r="J388" s="2" t="str">
        <f>IF(tblRentRoll[[#This Row],[Annual_Rent_EUR]]&lt;&gt;tblRentRoll[[#This Row],[Jahresrente_EUR]], "FALSCH", "")</f>
        <v/>
      </c>
      <c r="K388" s="1">
        <v>45241</v>
      </c>
      <c r="L388" s="1">
        <v>46624</v>
      </c>
      <c r="M388">
        <v>1229.3699999999999</v>
      </c>
      <c r="N388">
        <v>432.69</v>
      </c>
      <c r="O38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8" t="str">
        <f>IF(tblRentRoll[[#This Row],[Area_sqm]]&lt;=0,"Area&lt;=0","")</f>
        <v/>
      </c>
      <c r="Q388" t="str">
        <f>IF(tblRentRoll[[#This Row],[Monthly_Rent_EUR]]&lt;=0,"Rent&lt;=0","")</f>
        <v/>
      </c>
      <c r="R388">
        <f>IF(AND(tblRentRoll[[#This Row],[Status]]="Occupied", tblRentRoll[[#This Row],[Area_sqm]]&gt;0), tblRentRoll[[#This Row],[Annual_Rent_EUR]]/tblRentRoll[[#This Row],[Area_sqm]],"")</f>
        <v>189.58712517193948</v>
      </c>
      <c r="S388">
        <f>tblRentRoll[[#This Row],[Service_Charge_EUR]]+tblRentRoll[[#This Row],[Operating_Cost_EUR]]</f>
        <v>1662.06</v>
      </c>
      <c r="T388">
        <f>IF(tblRentRoll[[#This Row],[Annual_Rent_EUR]]&lt;&gt;0,tblRentRoll[[#This Row],[Annual_Rent_EUR]]-tblRentRoll[[#This Row],[Operating_Cost_EUR]], "")</f>
        <v>137397.15</v>
      </c>
      <c r="U388">
        <f ca="1">IF(AND(tblRentRoll[[#This Row],[Status]]="Occupied",tblRentRoll[[#This Row],[Lease_End]]&gt;=TODAY()),DATEDIF(TODAY(),tblRentRoll[[#This Row],[Lease_End]],"m"), 0)</f>
        <v>17</v>
      </c>
      <c r="V388" t="str">
        <f ca="1">IF(tblRentRoll[[#This Row],[Status]]&lt;&gt;"Occupied","", IF(tblRentRoll[[#This Row],[Month_to_Expiry]]&lt;=3, "0-3 Monaten",  IF(tblRentRoll[[#This Row],[Month_to_Expiry]]&lt;=6, "3-6 Monaten", IF(tblRentRoll[[#This Row],[Month_to_Expiry]]&lt;=12,"6-12 Monaten", IF(tblRentRoll[[#This Row],[Month_to_Expiry]]&gt;=12, "12 M+",)))))</f>
        <v>12 M+</v>
      </c>
      <c r="W388">
        <f>IF(tblRentRoll[[#This Row],[Status]]="Vacant", tblRentRoll[[#This Row],[Area_sqm]],0)</f>
        <v>0</v>
      </c>
      <c r="X388" s="3">
        <f>IF(tblRentRoll[[#This Row],[Status]]="Occupied", tblRentRoll[[#This Row],[Area_sqm]],0)</f>
        <v>727</v>
      </c>
      <c r="Y388" s="3">
        <f ca="1">tblRentRoll[[#This Row],[Month_to_Expiry]]/12*tblRentRoll[[#This Row],[Annual_Rent_EUR]]</f>
        <v>195258.94</v>
      </c>
      <c r="Z388" s="3"/>
    </row>
    <row r="389" spans="1:26" x14ac:dyDescent="0.35">
      <c r="A389" t="s">
        <v>44</v>
      </c>
      <c r="B389" t="s">
        <v>570</v>
      </c>
      <c r="C389" t="s">
        <v>14</v>
      </c>
      <c r="D389">
        <v>124</v>
      </c>
      <c r="E389" t="s">
        <v>15</v>
      </c>
      <c r="F389" t="s">
        <v>571</v>
      </c>
      <c r="G389">
        <v>1456.94</v>
      </c>
      <c r="H389">
        <v>17483.28</v>
      </c>
      <c r="I389" s="2">
        <f>tblRentRoll[[#This Row],[Monthly_Rent_EUR]]*12</f>
        <v>17483.28</v>
      </c>
      <c r="J389" s="2" t="str">
        <f>IF(tblRentRoll[[#This Row],[Annual_Rent_EUR]]&lt;&gt;tblRentRoll[[#This Row],[Jahresrente_EUR]], "FALSCH", "")</f>
        <v/>
      </c>
      <c r="K389" s="1">
        <v>44929</v>
      </c>
      <c r="L389" s="1">
        <v>46011</v>
      </c>
      <c r="M389">
        <v>356.44</v>
      </c>
      <c r="N389">
        <v>212.92</v>
      </c>
      <c r="O38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89" t="str">
        <f>IF(tblRentRoll[[#This Row],[Area_sqm]]&lt;=0,"Area&lt;=0","")</f>
        <v/>
      </c>
      <c r="Q389" t="str">
        <f>IF(tblRentRoll[[#This Row],[Monthly_Rent_EUR]]&lt;=0,"Rent&lt;=0","")</f>
        <v/>
      </c>
      <c r="R389">
        <f>IF(AND(tblRentRoll[[#This Row],[Status]]="Occupied", tblRentRoll[[#This Row],[Area_sqm]]&gt;0), tblRentRoll[[#This Row],[Annual_Rent_EUR]]/tblRentRoll[[#This Row],[Area_sqm]],"")</f>
        <v>140.99419354838707</v>
      </c>
      <c r="S389">
        <f>tblRentRoll[[#This Row],[Service_Charge_EUR]]+tblRentRoll[[#This Row],[Operating_Cost_EUR]]</f>
        <v>569.36</v>
      </c>
      <c r="T389">
        <f>IF(tblRentRoll[[#This Row],[Annual_Rent_EUR]]&lt;&gt;0,tblRentRoll[[#This Row],[Annual_Rent_EUR]]-tblRentRoll[[#This Row],[Operating_Cost_EUR]], "")</f>
        <v>17270.36</v>
      </c>
      <c r="U389">
        <f ca="1">IF(AND(tblRentRoll[[#This Row],[Status]]="Occupied",tblRentRoll[[#This Row],[Lease_End]]&gt;=TODAY()),DATEDIF(TODAY(),tblRentRoll[[#This Row],[Lease_End]],"m"), 0)</f>
        <v>0</v>
      </c>
      <c r="V389" t="str">
        <f ca="1">IF(tblRentRoll[[#This Row],[Status]]&lt;&gt;"Occupied","", IF(tblRentRoll[[#This Row],[Month_to_Expiry]]&lt;=3, "0-3 Monaten",  IF(tblRentRoll[[#This Row],[Month_to_Expiry]]&lt;=6, "3-6 Monaten", IF(tblRentRoll[[#This Row],[Month_to_Expiry]]&lt;=12,"6-12 Monaten", IF(tblRentRoll[[#This Row],[Month_to_Expiry]]&gt;=12, "12 M+",)))))</f>
        <v>0-3 Monaten</v>
      </c>
      <c r="W389">
        <f>IF(tblRentRoll[[#This Row],[Status]]="Vacant", tblRentRoll[[#This Row],[Area_sqm]],0)</f>
        <v>0</v>
      </c>
      <c r="X389" s="3">
        <f>IF(tblRentRoll[[#This Row],[Status]]="Occupied", tblRentRoll[[#This Row],[Area_sqm]],0)</f>
        <v>124</v>
      </c>
      <c r="Y389" s="3">
        <f ca="1">tblRentRoll[[#This Row],[Month_to_Expiry]]/12*tblRentRoll[[#This Row],[Annual_Rent_EUR]]</f>
        <v>0</v>
      </c>
      <c r="Z389" s="3"/>
    </row>
    <row r="390" spans="1:26" x14ac:dyDescent="0.35">
      <c r="A390" t="s">
        <v>31</v>
      </c>
      <c r="B390" t="s">
        <v>572</v>
      </c>
      <c r="C390" t="s">
        <v>19</v>
      </c>
      <c r="D390">
        <v>65</v>
      </c>
      <c r="E390" t="s">
        <v>15</v>
      </c>
      <c r="F390" t="s">
        <v>360</v>
      </c>
      <c r="G390">
        <v>496.05</v>
      </c>
      <c r="H390">
        <v>5952.6</v>
      </c>
      <c r="I390" s="2">
        <f>tblRentRoll[[#This Row],[Monthly_Rent_EUR]]*12</f>
        <v>5952.6</v>
      </c>
      <c r="J390" s="2" t="str">
        <f>IF(tblRentRoll[[#This Row],[Annual_Rent_EUR]]&lt;&gt;tblRentRoll[[#This Row],[Jahresrente_EUR]], "FALSCH", "")</f>
        <v/>
      </c>
      <c r="K390" s="1">
        <v>44884</v>
      </c>
      <c r="L390" s="1">
        <v>45124</v>
      </c>
      <c r="M390">
        <v>116.56</v>
      </c>
      <c r="N390">
        <v>118.53</v>
      </c>
      <c r="O39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0" t="str">
        <f>IF(tblRentRoll[[#This Row],[Area_sqm]]&lt;=0,"Area&lt;=0","")</f>
        <v/>
      </c>
      <c r="Q390" t="str">
        <f>IF(tblRentRoll[[#This Row],[Monthly_Rent_EUR]]&lt;=0,"Rent&lt;=0","")</f>
        <v/>
      </c>
      <c r="R390">
        <f>IF(AND(tblRentRoll[[#This Row],[Status]]="Occupied", tblRentRoll[[#This Row],[Area_sqm]]&gt;0), tblRentRoll[[#This Row],[Annual_Rent_EUR]]/tblRentRoll[[#This Row],[Area_sqm]],"")</f>
        <v>91.578461538461539</v>
      </c>
      <c r="S390">
        <f>tblRentRoll[[#This Row],[Service_Charge_EUR]]+tblRentRoll[[#This Row],[Operating_Cost_EUR]]</f>
        <v>235.09</v>
      </c>
      <c r="T390">
        <f>IF(tblRentRoll[[#This Row],[Annual_Rent_EUR]]&lt;&gt;0,tblRentRoll[[#This Row],[Annual_Rent_EUR]]-tblRentRoll[[#This Row],[Operating_Cost_EUR]], "")</f>
        <v>5834.0700000000006</v>
      </c>
      <c r="U390">
        <f ca="1">IF(AND(tblRentRoll[[#This Row],[Status]]="Occupied",tblRentRoll[[#This Row],[Lease_End]]&gt;=TODAY()),DATEDIF(TODAY(),tblRentRoll[[#This Row],[Lease_End]],"m"), 0)</f>
        <v>0</v>
      </c>
      <c r="V390" t="str">
        <f ca="1">IF(tblRentRoll[[#This Row],[Status]]&lt;&gt;"Occupied","", IF(tblRentRoll[[#This Row],[Month_to_Expiry]]&lt;=3, "0-3 Monaten",  IF(tblRentRoll[[#This Row],[Month_to_Expiry]]&lt;=6, "3-6 Monaten", IF(tblRentRoll[[#This Row],[Month_to_Expiry]]&lt;=12,"6-12 Monaten", IF(tblRentRoll[[#This Row],[Month_to_Expiry]]&gt;=12, "12 M+",)))))</f>
        <v>0-3 Monaten</v>
      </c>
      <c r="W390">
        <f>IF(tblRentRoll[[#This Row],[Status]]="Vacant", tblRentRoll[[#This Row],[Area_sqm]],0)</f>
        <v>0</v>
      </c>
      <c r="X390" s="3">
        <f>IF(tblRentRoll[[#This Row],[Status]]="Occupied", tblRentRoll[[#This Row],[Area_sqm]],0)</f>
        <v>65</v>
      </c>
      <c r="Y390" s="3">
        <f ca="1">tblRentRoll[[#This Row],[Month_to_Expiry]]/12*tblRentRoll[[#This Row],[Annual_Rent_EUR]]</f>
        <v>0</v>
      </c>
      <c r="Z390" s="3"/>
    </row>
    <row r="391" spans="1:26" x14ac:dyDescent="0.35">
      <c r="A391" t="s">
        <v>17</v>
      </c>
      <c r="B391" t="s">
        <v>573</v>
      </c>
      <c r="C391" t="s">
        <v>14</v>
      </c>
      <c r="D391">
        <v>915</v>
      </c>
      <c r="E391" t="s">
        <v>15</v>
      </c>
      <c r="F391" t="s">
        <v>139</v>
      </c>
      <c r="G391">
        <v>15341.64</v>
      </c>
      <c r="H391">
        <v>184099.68</v>
      </c>
      <c r="I391" s="2">
        <f>tblRentRoll[[#This Row],[Monthly_Rent_EUR]]*12</f>
        <v>184099.68</v>
      </c>
      <c r="J391" s="2" t="str">
        <f>IF(tblRentRoll[[#This Row],[Annual_Rent_EUR]]&lt;&gt;tblRentRoll[[#This Row],[Jahresrente_EUR]], "FALSCH", "")</f>
        <v/>
      </c>
      <c r="K391" s="1">
        <v>44508</v>
      </c>
      <c r="L391" s="1">
        <v>44880</v>
      </c>
      <c r="M391">
        <v>2438.33</v>
      </c>
      <c r="N391">
        <v>1536.72</v>
      </c>
      <c r="O39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1" t="str">
        <f>IF(tblRentRoll[[#This Row],[Area_sqm]]&lt;=0,"Area&lt;=0","")</f>
        <v/>
      </c>
      <c r="Q391" t="str">
        <f>IF(tblRentRoll[[#This Row],[Monthly_Rent_EUR]]&lt;=0,"Rent&lt;=0","")</f>
        <v/>
      </c>
      <c r="R391">
        <f>IF(AND(tblRentRoll[[#This Row],[Status]]="Occupied", tblRentRoll[[#This Row],[Area_sqm]]&gt;0), tblRentRoll[[#This Row],[Annual_Rent_EUR]]/tblRentRoll[[#This Row],[Area_sqm]],"")</f>
        <v>201.20183606557376</v>
      </c>
      <c r="S391">
        <f>tblRentRoll[[#This Row],[Service_Charge_EUR]]+tblRentRoll[[#This Row],[Operating_Cost_EUR]]</f>
        <v>3975.05</v>
      </c>
      <c r="T391">
        <f>IF(tblRentRoll[[#This Row],[Annual_Rent_EUR]]&lt;&gt;0,tblRentRoll[[#This Row],[Annual_Rent_EUR]]-tblRentRoll[[#This Row],[Operating_Cost_EUR]], "")</f>
        <v>182562.96</v>
      </c>
      <c r="U391">
        <f ca="1">IF(AND(tblRentRoll[[#This Row],[Status]]="Occupied",tblRentRoll[[#This Row],[Lease_End]]&gt;=TODAY()),DATEDIF(TODAY(),tblRentRoll[[#This Row],[Lease_End]],"m"), 0)</f>
        <v>0</v>
      </c>
      <c r="V391" t="str">
        <f ca="1">IF(tblRentRoll[[#This Row],[Status]]&lt;&gt;"Occupied","", IF(tblRentRoll[[#This Row],[Month_to_Expiry]]&lt;=3, "0-3 Monaten",  IF(tblRentRoll[[#This Row],[Month_to_Expiry]]&lt;=6, "3-6 Monaten", IF(tblRentRoll[[#This Row],[Month_to_Expiry]]&lt;=12,"6-12 Monaten", IF(tblRentRoll[[#This Row],[Month_to_Expiry]]&gt;=12, "12 M+",)))))</f>
        <v>0-3 Monaten</v>
      </c>
      <c r="W391">
        <f>IF(tblRentRoll[[#This Row],[Status]]="Vacant", tblRentRoll[[#This Row],[Area_sqm]],0)</f>
        <v>0</v>
      </c>
      <c r="X391" s="3">
        <f>IF(tblRentRoll[[#This Row],[Status]]="Occupied", tblRentRoll[[#This Row],[Area_sqm]],0)</f>
        <v>915</v>
      </c>
      <c r="Y391" s="3">
        <f ca="1">tblRentRoll[[#This Row],[Month_to_Expiry]]/12*tblRentRoll[[#This Row],[Annual_Rent_EUR]]</f>
        <v>0</v>
      </c>
      <c r="Z391" s="3"/>
    </row>
    <row r="392" spans="1:26" x14ac:dyDescent="0.35">
      <c r="A392" t="s">
        <v>17</v>
      </c>
      <c r="B392" t="s">
        <v>574</v>
      </c>
      <c r="C392" t="s">
        <v>14</v>
      </c>
      <c r="D392">
        <v>280</v>
      </c>
      <c r="E392" t="s">
        <v>15</v>
      </c>
      <c r="F392" t="s">
        <v>111</v>
      </c>
      <c r="G392">
        <v>2037.43</v>
      </c>
      <c r="H392">
        <v>24449.16</v>
      </c>
      <c r="I392" s="2">
        <f>tblRentRoll[[#This Row],[Monthly_Rent_EUR]]*12</f>
        <v>24449.16</v>
      </c>
      <c r="J392" s="2" t="str">
        <f>IF(tblRentRoll[[#This Row],[Annual_Rent_EUR]]&lt;&gt;tblRentRoll[[#This Row],[Jahresrente_EUR]], "FALSCH", "")</f>
        <v/>
      </c>
      <c r="K392" s="1">
        <v>44570</v>
      </c>
      <c r="L392" s="1">
        <v>45882</v>
      </c>
      <c r="M392">
        <v>796.35</v>
      </c>
      <c r="N392">
        <v>293.64</v>
      </c>
      <c r="O39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2" t="str">
        <f>IF(tblRentRoll[[#This Row],[Area_sqm]]&lt;=0,"Area&lt;=0","")</f>
        <v/>
      </c>
      <c r="Q392" t="str">
        <f>IF(tblRentRoll[[#This Row],[Monthly_Rent_EUR]]&lt;=0,"Rent&lt;=0","")</f>
        <v/>
      </c>
      <c r="R392">
        <f>IF(AND(tblRentRoll[[#This Row],[Status]]="Occupied", tblRentRoll[[#This Row],[Area_sqm]]&gt;0), tblRentRoll[[#This Row],[Annual_Rent_EUR]]/tblRentRoll[[#This Row],[Area_sqm]],"")</f>
        <v>87.318428571428569</v>
      </c>
      <c r="S392">
        <f>tblRentRoll[[#This Row],[Service_Charge_EUR]]+tblRentRoll[[#This Row],[Operating_Cost_EUR]]</f>
        <v>1089.99</v>
      </c>
      <c r="T392">
        <f>IF(tblRentRoll[[#This Row],[Annual_Rent_EUR]]&lt;&gt;0,tblRentRoll[[#This Row],[Annual_Rent_EUR]]-tblRentRoll[[#This Row],[Operating_Cost_EUR]], "")</f>
        <v>24155.52</v>
      </c>
      <c r="U392">
        <f ca="1">IF(AND(tblRentRoll[[#This Row],[Status]]="Occupied",tblRentRoll[[#This Row],[Lease_End]]&gt;=TODAY()),DATEDIF(TODAY(),tblRentRoll[[#This Row],[Lease_End]],"m"), 0)</f>
        <v>0</v>
      </c>
      <c r="V392" t="str">
        <f ca="1">IF(tblRentRoll[[#This Row],[Status]]&lt;&gt;"Occupied","", IF(tblRentRoll[[#This Row],[Month_to_Expiry]]&lt;=3, "0-3 Monaten",  IF(tblRentRoll[[#This Row],[Month_to_Expiry]]&lt;=6, "3-6 Monaten", IF(tblRentRoll[[#This Row],[Month_to_Expiry]]&lt;=12,"6-12 Monaten", IF(tblRentRoll[[#This Row],[Month_to_Expiry]]&gt;=12, "12 M+",)))))</f>
        <v>0-3 Monaten</v>
      </c>
      <c r="W392">
        <f>IF(tblRentRoll[[#This Row],[Status]]="Vacant", tblRentRoll[[#This Row],[Area_sqm]],0)</f>
        <v>0</v>
      </c>
      <c r="X392" s="3">
        <f>IF(tblRentRoll[[#This Row],[Status]]="Occupied", tblRentRoll[[#This Row],[Area_sqm]],0)</f>
        <v>280</v>
      </c>
      <c r="Y392" s="3">
        <f ca="1">tblRentRoll[[#This Row],[Month_to_Expiry]]/12*tblRentRoll[[#This Row],[Annual_Rent_EUR]]</f>
        <v>0</v>
      </c>
      <c r="Z392" s="3"/>
    </row>
    <row r="393" spans="1:26" x14ac:dyDescent="0.35">
      <c r="A393" t="s">
        <v>56</v>
      </c>
      <c r="B393" t="s">
        <v>575</v>
      </c>
      <c r="C393" t="s">
        <v>14</v>
      </c>
      <c r="D393">
        <v>1414</v>
      </c>
      <c r="E393" t="s">
        <v>15</v>
      </c>
      <c r="F393" t="s">
        <v>88</v>
      </c>
      <c r="G393">
        <v>11039.26</v>
      </c>
      <c r="H393">
        <v>132471.12</v>
      </c>
      <c r="I393" s="2">
        <f>tblRentRoll[[#This Row],[Monthly_Rent_EUR]]*12</f>
        <v>132471.12</v>
      </c>
      <c r="J393" s="2" t="str">
        <f>IF(tblRentRoll[[#This Row],[Annual_Rent_EUR]]&lt;&gt;tblRentRoll[[#This Row],[Jahresrente_EUR]], "FALSCH", "")</f>
        <v/>
      </c>
      <c r="K393" s="1">
        <v>44510</v>
      </c>
      <c r="L393" s="1">
        <v>45732</v>
      </c>
      <c r="M393">
        <v>2126.4499999999998</v>
      </c>
      <c r="N393">
        <v>2547.92</v>
      </c>
      <c r="O39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3" t="str">
        <f>IF(tblRentRoll[[#This Row],[Area_sqm]]&lt;=0,"Area&lt;=0","")</f>
        <v/>
      </c>
      <c r="Q393" t="str">
        <f>IF(tblRentRoll[[#This Row],[Monthly_Rent_EUR]]&lt;=0,"Rent&lt;=0","")</f>
        <v/>
      </c>
      <c r="R393">
        <f>IF(AND(tblRentRoll[[#This Row],[Status]]="Occupied", tblRentRoll[[#This Row],[Area_sqm]]&gt;0), tblRentRoll[[#This Row],[Annual_Rent_EUR]]/tblRentRoll[[#This Row],[Area_sqm]],"")</f>
        <v>93.685374823196597</v>
      </c>
      <c r="S393">
        <f>tblRentRoll[[#This Row],[Service_Charge_EUR]]+tblRentRoll[[#This Row],[Operating_Cost_EUR]]</f>
        <v>4674.37</v>
      </c>
      <c r="T393">
        <f>IF(tblRentRoll[[#This Row],[Annual_Rent_EUR]]&lt;&gt;0,tblRentRoll[[#This Row],[Annual_Rent_EUR]]-tblRentRoll[[#This Row],[Operating_Cost_EUR]], "")</f>
        <v>129923.2</v>
      </c>
      <c r="U393">
        <f ca="1">IF(AND(tblRentRoll[[#This Row],[Status]]="Occupied",tblRentRoll[[#This Row],[Lease_End]]&gt;=TODAY()),DATEDIF(TODAY(),tblRentRoll[[#This Row],[Lease_End]],"m"), 0)</f>
        <v>0</v>
      </c>
      <c r="V393" t="str">
        <f ca="1">IF(tblRentRoll[[#This Row],[Status]]&lt;&gt;"Occupied","", IF(tblRentRoll[[#This Row],[Month_to_Expiry]]&lt;=3, "0-3 Monaten",  IF(tblRentRoll[[#This Row],[Month_to_Expiry]]&lt;=6, "3-6 Monaten", IF(tblRentRoll[[#This Row],[Month_to_Expiry]]&lt;=12,"6-12 Monaten", IF(tblRentRoll[[#This Row],[Month_to_Expiry]]&gt;=12, "12 M+",)))))</f>
        <v>0-3 Monaten</v>
      </c>
      <c r="W393">
        <f>IF(tblRentRoll[[#This Row],[Status]]="Vacant", tblRentRoll[[#This Row],[Area_sqm]],0)</f>
        <v>0</v>
      </c>
      <c r="X393" s="3">
        <f>IF(tblRentRoll[[#This Row],[Status]]="Occupied", tblRentRoll[[#This Row],[Area_sqm]],0)</f>
        <v>1414</v>
      </c>
      <c r="Y393" s="3">
        <f ca="1">tblRentRoll[[#This Row],[Month_to_Expiry]]/12*tblRentRoll[[#This Row],[Annual_Rent_EUR]]</f>
        <v>0</v>
      </c>
      <c r="Z393" s="3"/>
    </row>
    <row r="394" spans="1:26" x14ac:dyDescent="0.35">
      <c r="A394" t="s">
        <v>21</v>
      </c>
      <c r="B394" t="s">
        <v>576</v>
      </c>
      <c r="C394" t="s">
        <v>19</v>
      </c>
      <c r="D394">
        <v>1304</v>
      </c>
      <c r="E394" t="s">
        <v>15</v>
      </c>
      <c r="F394" t="s">
        <v>273</v>
      </c>
      <c r="G394">
        <v>18513.12</v>
      </c>
      <c r="H394">
        <v>222157.44</v>
      </c>
      <c r="I394" s="2">
        <f>tblRentRoll[[#This Row],[Monthly_Rent_EUR]]*12</f>
        <v>222157.44</v>
      </c>
      <c r="J394" s="2" t="str">
        <f>IF(tblRentRoll[[#This Row],[Annual_Rent_EUR]]&lt;&gt;tblRentRoll[[#This Row],[Jahresrente_EUR]], "FALSCH", "")</f>
        <v/>
      </c>
      <c r="K394" s="1">
        <v>44898</v>
      </c>
      <c r="L394" s="1">
        <v>46640</v>
      </c>
      <c r="M394">
        <v>3245.04</v>
      </c>
      <c r="N394">
        <v>2014.59</v>
      </c>
      <c r="O39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4" t="str">
        <f>IF(tblRentRoll[[#This Row],[Area_sqm]]&lt;=0,"Area&lt;=0","")</f>
        <v/>
      </c>
      <c r="Q394" t="str">
        <f>IF(tblRentRoll[[#This Row],[Monthly_Rent_EUR]]&lt;=0,"Rent&lt;=0","")</f>
        <v/>
      </c>
      <c r="R394">
        <f>IF(AND(tblRentRoll[[#This Row],[Status]]="Occupied", tblRentRoll[[#This Row],[Area_sqm]]&gt;0), tblRentRoll[[#This Row],[Annual_Rent_EUR]]/tblRentRoll[[#This Row],[Area_sqm]],"")</f>
        <v>170.36613496932515</v>
      </c>
      <c r="S394">
        <f>tblRentRoll[[#This Row],[Service_Charge_EUR]]+tblRentRoll[[#This Row],[Operating_Cost_EUR]]</f>
        <v>5259.63</v>
      </c>
      <c r="T394">
        <f>IF(tblRentRoll[[#This Row],[Annual_Rent_EUR]]&lt;&gt;0,tblRentRoll[[#This Row],[Annual_Rent_EUR]]-tblRentRoll[[#This Row],[Operating_Cost_EUR]], "")</f>
        <v>220142.85</v>
      </c>
      <c r="U394">
        <f ca="1">IF(AND(tblRentRoll[[#This Row],[Status]]="Occupied",tblRentRoll[[#This Row],[Lease_End]]&gt;=TODAY()),DATEDIF(TODAY(),tblRentRoll[[#This Row],[Lease_End]],"m"), 0)</f>
        <v>17</v>
      </c>
      <c r="V394" t="str">
        <f ca="1">IF(tblRentRoll[[#This Row],[Status]]&lt;&gt;"Occupied","", IF(tblRentRoll[[#This Row],[Month_to_Expiry]]&lt;=3, "0-3 Monaten",  IF(tblRentRoll[[#This Row],[Month_to_Expiry]]&lt;=6, "3-6 Monaten", IF(tblRentRoll[[#This Row],[Month_to_Expiry]]&lt;=12,"6-12 Monaten", IF(tblRentRoll[[#This Row],[Month_to_Expiry]]&gt;=12, "12 M+",)))))</f>
        <v>12 M+</v>
      </c>
      <c r="W394">
        <f>IF(tblRentRoll[[#This Row],[Status]]="Vacant", tblRentRoll[[#This Row],[Area_sqm]],0)</f>
        <v>0</v>
      </c>
      <c r="X394" s="3">
        <f>IF(tblRentRoll[[#This Row],[Status]]="Occupied", tblRentRoll[[#This Row],[Area_sqm]],0)</f>
        <v>1304</v>
      </c>
      <c r="Y394" s="3">
        <f ca="1">tblRentRoll[[#This Row],[Month_to_Expiry]]/12*tblRentRoll[[#This Row],[Annual_Rent_EUR]]</f>
        <v>314723.04000000004</v>
      </c>
      <c r="Z394" s="3"/>
    </row>
    <row r="395" spans="1:26" x14ac:dyDescent="0.35">
      <c r="A395" t="s">
        <v>44</v>
      </c>
      <c r="B395" t="s">
        <v>577</v>
      </c>
      <c r="C395" t="s">
        <v>29</v>
      </c>
      <c r="D395">
        <v>329</v>
      </c>
      <c r="E395" t="s">
        <v>15</v>
      </c>
      <c r="F395" t="s">
        <v>179</v>
      </c>
      <c r="G395">
        <v>3209.28</v>
      </c>
      <c r="H395">
        <v>38511.360000000001</v>
      </c>
      <c r="I395" s="2">
        <f>tblRentRoll[[#This Row],[Monthly_Rent_EUR]]*12</f>
        <v>38511.360000000001</v>
      </c>
      <c r="J395" s="2" t="str">
        <f>IF(tblRentRoll[[#This Row],[Annual_Rent_EUR]]&lt;&gt;tblRentRoll[[#This Row],[Jahresrente_EUR]], "FALSCH", "")</f>
        <v/>
      </c>
      <c r="K395" s="1">
        <v>44552</v>
      </c>
      <c r="L395" s="1">
        <v>44733</v>
      </c>
      <c r="M395">
        <v>692.25</v>
      </c>
      <c r="N395">
        <v>426.96</v>
      </c>
      <c r="O39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5" t="str">
        <f>IF(tblRentRoll[[#This Row],[Area_sqm]]&lt;=0,"Area&lt;=0","")</f>
        <v/>
      </c>
      <c r="Q395" t="str">
        <f>IF(tblRentRoll[[#This Row],[Monthly_Rent_EUR]]&lt;=0,"Rent&lt;=0","")</f>
        <v/>
      </c>
      <c r="R395">
        <f>IF(AND(tblRentRoll[[#This Row],[Status]]="Occupied", tblRentRoll[[#This Row],[Area_sqm]]&gt;0), tblRentRoll[[#This Row],[Annual_Rent_EUR]]/tblRentRoll[[#This Row],[Area_sqm]],"")</f>
        <v>117.05580547112463</v>
      </c>
      <c r="S395">
        <f>tblRentRoll[[#This Row],[Service_Charge_EUR]]+tblRentRoll[[#This Row],[Operating_Cost_EUR]]</f>
        <v>1119.21</v>
      </c>
      <c r="T395">
        <f>IF(tblRentRoll[[#This Row],[Annual_Rent_EUR]]&lt;&gt;0,tblRentRoll[[#This Row],[Annual_Rent_EUR]]-tblRentRoll[[#This Row],[Operating_Cost_EUR]], "")</f>
        <v>38084.400000000001</v>
      </c>
      <c r="U395">
        <f ca="1">IF(AND(tblRentRoll[[#This Row],[Status]]="Occupied",tblRentRoll[[#This Row],[Lease_End]]&gt;=TODAY()),DATEDIF(TODAY(),tblRentRoll[[#This Row],[Lease_End]],"m"), 0)</f>
        <v>0</v>
      </c>
      <c r="V395" t="str">
        <f ca="1">IF(tblRentRoll[[#This Row],[Status]]&lt;&gt;"Occupied","", IF(tblRentRoll[[#This Row],[Month_to_Expiry]]&lt;=3, "0-3 Monaten",  IF(tblRentRoll[[#This Row],[Month_to_Expiry]]&lt;=6, "3-6 Monaten", IF(tblRentRoll[[#This Row],[Month_to_Expiry]]&lt;=12,"6-12 Monaten", IF(tblRentRoll[[#This Row],[Month_to_Expiry]]&gt;=12, "12 M+",)))))</f>
        <v>0-3 Monaten</v>
      </c>
      <c r="W395">
        <f>IF(tblRentRoll[[#This Row],[Status]]="Vacant", tblRentRoll[[#This Row],[Area_sqm]],0)</f>
        <v>0</v>
      </c>
      <c r="X395" s="3">
        <f>IF(tblRentRoll[[#This Row],[Status]]="Occupied", tblRentRoll[[#This Row],[Area_sqm]],0)</f>
        <v>329</v>
      </c>
      <c r="Y395" s="3">
        <f ca="1">tblRentRoll[[#This Row],[Month_to_Expiry]]/12*tblRentRoll[[#This Row],[Annual_Rent_EUR]]</f>
        <v>0</v>
      </c>
      <c r="Z395" s="3"/>
    </row>
    <row r="396" spans="1:26" x14ac:dyDescent="0.35">
      <c r="A396" t="s">
        <v>56</v>
      </c>
      <c r="B396" t="s">
        <v>578</v>
      </c>
      <c r="C396" t="s">
        <v>29</v>
      </c>
      <c r="D396">
        <v>1348</v>
      </c>
      <c r="E396" t="s">
        <v>20</v>
      </c>
      <c r="G396">
        <v>0</v>
      </c>
      <c r="H396">
        <v>0</v>
      </c>
      <c r="I396" s="2">
        <f>tblRentRoll[[#This Row],[Monthly_Rent_EUR]]*12</f>
        <v>0</v>
      </c>
      <c r="J396" s="2" t="str">
        <f>IF(tblRentRoll[[#This Row],[Annual_Rent_EUR]]&lt;&gt;tblRentRoll[[#This Row],[Jahresrente_EUR]], "FALSCH", "")</f>
        <v/>
      </c>
      <c r="M396">
        <v>2208.75</v>
      </c>
      <c r="N396">
        <v>2265.89</v>
      </c>
      <c r="O39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6" t="str">
        <f>IF(tblRentRoll[[#This Row],[Area_sqm]]&lt;=0,"Area&lt;=0","")</f>
        <v/>
      </c>
      <c r="Q396" t="str">
        <f>IF(tblRentRoll[[#This Row],[Monthly_Rent_EUR]]&lt;=0,"Rent&lt;=0","")</f>
        <v>Rent&lt;=0</v>
      </c>
      <c r="R396" t="str">
        <f>IF(AND(tblRentRoll[[#This Row],[Status]]="Occupied", tblRentRoll[[#This Row],[Area_sqm]]&gt;0), tblRentRoll[[#This Row],[Annual_Rent_EUR]]/tblRentRoll[[#This Row],[Area_sqm]],"")</f>
        <v/>
      </c>
      <c r="S396">
        <f>tblRentRoll[[#This Row],[Service_Charge_EUR]]+tblRentRoll[[#This Row],[Operating_Cost_EUR]]</f>
        <v>4474.6399999999994</v>
      </c>
      <c r="T396" t="str">
        <f>IF(tblRentRoll[[#This Row],[Annual_Rent_EUR]]&lt;&gt;0,tblRentRoll[[#This Row],[Annual_Rent_EUR]]-tblRentRoll[[#This Row],[Operating_Cost_EUR]], "")</f>
        <v/>
      </c>
      <c r="U396">
        <f ca="1">IF(AND(tblRentRoll[[#This Row],[Status]]="Occupied",tblRentRoll[[#This Row],[Lease_End]]&gt;=TODAY()),DATEDIF(TODAY(),tblRentRoll[[#This Row],[Lease_End]],"m"), 0)</f>
        <v>0</v>
      </c>
      <c r="V396" t="str">
        <f>IF(tblRentRoll[[#This Row],[Status]]&lt;&gt;"Occupied","", IF(tblRentRoll[[#This Row],[Month_to_Expiry]]&lt;=3, "0-3 Monaten",  IF(tblRentRoll[[#This Row],[Month_to_Expiry]]&lt;=6, "3-6 Monaten", IF(tblRentRoll[[#This Row],[Month_to_Expiry]]&lt;=12,"6-12 Monaten", IF(tblRentRoll[[#This Row],[Month_to_Expiry]]&gt;=12, "12 M+",)))))</f>
        <v/>
      </c>
      <c r="W396">
        <f>IF(tblRentRoll[[#This Row],[Status]]="Vacant", tblRentRoll[[#This Row],[Area_sqm]],0)</f>
        <v>1348</v>
      </c>
      <c r="X396" s="3">
        <f>IF(tblRentRoll[[#This Row],[Status]]="Occupied", tblRentRoll[[#This Row],[Area_sqm]],0)</f>
        <v>0</v>
      </c>
      <c r="Y396" s="3">
        <f ca="1">tblRentRoll[[#This Row],[Month_to_Expiry]]/12*tblRentRoll[[#This Row],[Annual_Rent_EUR]]</f>
        <v>0</v>
      </c>
      <c r="Z396" s="3"/>
    </row>
    <row r="397" spans="1:26" x14ac:dyDescent="0.35">
      <c r="A397" t="s">
        <v>12</v>
      </c>
      <c r="B397" t="s">
        <v>579</v>
      </c>
      <c r="C397" t="s">
        <v>14</v>
      </c>
      <c r="D397">
        <v>1444</v>
      </c>
      <c r="E397" t="s">
        <v>15</v>
      </c>
      <c r="F397" t="s">
        <v>545</v>
      </c>
      <c r="G397">
        <v>17620.599999999999</v>
      </c>
      <c r="H397">
        <v>211447.2</v>
      </c>
      <c r="I397" s="2">
        <f>tblRentRoll[[#This Row],[Monthly_Rent_EUR]]*12</f>
        <v>211447.19999999998</v>
      </c>
      <c r="J397" s="2" t="str">
        <f>IF(tblRentRoll[[#This Row],[Annual_Rent_EUR]]&lt;&gt;tblRentRoll[[#This Row],[Jahresrente_EUR]], "FALSCH", "")</f>
        <v/>
      </c>
      <c r="K397" s="1">
        <v>45177</v>
      </c>
      <c r="L397" s="1">
        <v>46168</v>
      </c>
      <c r="M397">
        <v>2721.49</v>
      </c>
      <c r="N397">
        <v>951.69</v>
      </c>
      <c r="O39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7" t="str">
        <f>IF(tblRentRoll[[#This Row],[Area_sqm]]&lt;=0,"Area&lt;=0","")</f>
        <v/>
      </c>
      <c r="Q397" t="str">
        <f>IF(tblRentRoll[[#This Row],[Monthly_Rent_EUR]]&lt;=0,"Rent&lt;=0","")</f>
        <v/>
      </c>
      <c r="R397">
        <f>IF(AND(tblRentRoll[[#This Row],[Status]]="Occupied", tblRentRoll[[#This Row],[Area_sqm]]&gt;0), tblRentRoll[[#This Row],[Annual_Rent_EUR]]/tblRentRoll[[#This Row],[Area_sqm]],"")</f>
        <v>146.43157894736842</v>
      </c>
      <c r="S397">
        <f>tblRentRoll[[#This Row],[Service_Charge_EUR]]+tblRentRoll[[#This Row],[Operating_Cost_EUR]]</f>
        <v>3673.18</v>
      </c>
      <c r="T397">
        <f>IF(tblRentRoll[[#This Row],[Annual_Rent_EUR]]&lt;&gt;0,tblRentRoll[[#This Row],[Annual_Rent_EUR]]-tblRentRoll[[#This Row],[Operating_Cost_EUR]], "")</f>
        <v>210495.51</v>
      </c>
      <c r="U397">
        <f ca="1">IF(AND(tblRentRoll[[#This Row],[Status]]="Occupied",tblRentRoll[[#This Row],[Lease_End]]&gt;=TODAY()),DATEDIF(TODAY(),tblRentRoll[[#This Row],[Lease_End]],"m"), 0)</f>
        <v>2</v>
      </c>
      <c r="V397" t="str">
        <f ca="1">IF(tblRentRoll[[#This Row],[Status]]&lt;&gt;"Occupied","", IF(tblRentRoll[[#This Row],[Month_to_Expiry]]&lt;=3, "0-3 Monaten",  IF(tblRentRoll[[#This Row],[Month_to_Expiry]]&lt;=6, "3-6 Monaten", IF(tblRentRoll[[#This Row],[Month_to_Expiry]]&lt;=12,"6-12 Monaten", IF(tblRentRoll[[#This Row],[Month_to_Expiry]]&gt;=12, "12 M+",)))))</f>
        <v>0-3 Monaten</v>
      </c>
      <c r="W397">
        <f>IF(tblRentRoll[[#This Row],[Status]]="Vacant", tblRentRoll[[#This Row],[Area_sqm]],0)</f>
        <v>0</v>
      </c>
      <c r="X397" s="3">
        <f>IF(tblRentRoll[[#This Row],[Status]]="Occupied", tblRentRoll[[#This Row],[Area_sqm]],0)</f>
        <v>1444</v>
      </c>
      <c r="Y397" s="3">
        <f ca="1">tblRentRoll[[#This Row],[Month_to_Expiry]]/12*tblRentRoll[[#This Row],[Annual_Rent_EUR]]</f>
        <v>35241.199999999997</v>
      </c>
      <c r="Z397" s="3"/>
    </row>
    <row r="398" spans="1:26" x14ac:dyDescent="0.35">
      <c r="A398" t="s">
        <v>21</v>
      </c>
      <c r="B398" t="s">
        <v>580</v>
      </c>
      <c r="C398" t="s">
        <v>14</v>
      </c>
      <c r="D398">
        <v>404</v>
      </c>
      <c r="E398" t="s">
        <v>15</v>
      </c>
      <c r="F398" t="s">
        <v>192</v>
      </c>
      <c r="G398">
        <v>7023.08</v>
      </c>
      <c r="H398">
        <v>84276.96</v>
      </c>
      <c r="I398" s="2">
        <f>tblRentRoll[[#This Row],[Monthly_Rent_EUR]]*12</f>
        <v>84276.959999999992</v>
      </c>
      <c r="J398" s="2" t="str">
        <f>IF(tblRentRoll[[#This Row],[Annual_Rent_EUR]]&lt;&gt;tblRentRoll[[#This Row],[Jahresrente_EUR]], "FALSCH", "")</f>
        <v/>
      </c>
      <c r="K398" s="1">
        <v>44294</v>
      </c>
      <c r="L398" s="1">
        <v>44522</v>
      </c>
      <c r="M398">
        <v>869.38</v>
      </c>
      <c r="N398">
        <v>832.99</v>
      </c>
      <c r="O39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8" t="str">
        <f>IF(tblRentRoll[[#This Row],[Area_sqm]]&lt;=0,"Area&lt;=0","")</f>
        <v/>
      </c>
      <c r="Q398" t="str">
        <f>IF(tblRentRoll[[#This Row],[Monthly_Rent_EUR]]&lt;=0,"Rent&lt;=0","")</f>
        <v/>
      </c>
      <c r="R398">
        <f>IF(AND(tblRentRoll[[#This Row],[Status]]="Occupied", tblRentRoll[[#This Row],[Area_sqm]]&gt;0), tblRentRoll[[#This Row],[Annual_Rent_EUR]]/tblRentRoll[[#This Row],[Area_sqm]],"")</f>
        <v>208.60633663366337</v>
      </c>
      <c r="S398">
        <f>tblRentRoll[[#This Row],[Service_Charge_EUR]]+tblRentRoll[[#This Row],[Operating_Cost_EUR]]</f>
        <v>1702.37</v>
      </c>
      <c r="T398">
        <f>IF(tblRentRoll[[#This Row],[Annual_Rent_EUR]]&lt;&gt;0,tblRentRoll[[#This Row],[Annual_Rent_EUR]]-tblRentRoll[[#This Row],[Operating_Cost_EUR]], "")</f>
        <v>83443.97</v>
      </c>
      <c r="U398">
        <f ca="1">IF(AND(tblRentRoll[[#This Row],[Status]]="Occupied",tblRentRoll[[#This Row],[Lease_End]]&gt;=TODAY()),DATEDIF(TODAY(),tblRentRoll[[#This Row],[Lease_End]],"m"), 0)</f>
        <v>0</v>
      </c>
      <c r="V398" t="str">
        <f ca="1">IF(tblRentRoll[[#This Row],[Status]]&lt;&gt;"Occupied","", IF(tblRentRoll[[#This Row],[Month_to_Expiry]]&lt;=3, "0-3 Monaten",  IF(tblRentRoll[[#This Row],[Month_to_Expiry]]&lt;=6, "3-6 Monaten", IF(tblRentRoll[[#This Row],[Month_to_Expiry]]&lt;=12,"6-12 Monaten", IF(tblRentRoll[[#This Row],[Month_to_Expiry]]&gt;=12, "12 M+",)))))</f>
        <v>0-3 Monaten</v>
      </c>
      <c r="W398">
        <f>IF(tblRentRoll[[#This Row],[Status]]="Vacant", tblRentRoll[[#This Row],[Area_sqm]],0)</f>
        <v>0</v>
      </c>
      <c r="X398" s="3">
        <f>IF(tblRentRoll[[#This Row],[Status]]="Occupied", tblRentRoll[[#This Row],[Area_sqm]],0)</f>
        <v>404</v>
      </c>
      <c r="Y398" s="3">
        <f ca="1">tblRentRoll[[#This Row],[Month_to_Expiry]]/12*tblRentRoll[[#This Row],[Annual_Rent_EUR]]</f>
        <v>0</v>
      </c>
      <c r="Z398" s="3"/>
    </row>
    <row r="399" spans="1:26" x14ac:dyDescent="0.35">
      <c r="A399" t="s">
        <v>12</v>
      </c>
      <c r="B399" t="s">
        <v>581</v>
      </c>
      <c r="C399" t="s">
        <v>29</v>
      </c>
      <c r="D399">
        <v>743</v>
      </c>
      <c r="E399" t="s">
        <v>15</v>
      </c>
      <c r="F399" t="s">
        <v>582</v>
      </c>
      <c r="G399">
        <v>7935.91</v>
      </c>
      <c r="H399">
        <v>95230.92</v>
      </c>
      <c r="I399" s="2">
        <f>tblRentRoll[[#This Row],[Monthly_Rent_EUR]]*12</f>
        <v>95230.92</v>
      </c>
      <c r="J399" s="2" t="str">
        <f>IF(tblRentRoll[[#This Row],[Annual_Rent_EUR]]&lt;&gt;tblRentRoll[[#This Row],[Jahresrente_EUR]], "FALSCH", "")</f>
        <v/>
      </c>
      <c r="K399" s="1">
        <v>44708</v>
      </c>
      <c r="L399" s="1">
        <v>45863</v>
      </c>
      <c r="M399">
        <v>2132.3000000000002</v>
      </c>
      <c r="N399">
        <v>787.62</v>
      </c>
      <c r="O39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399" t="str">
        <f>IF(tblRentRoll[[#This Row],[Area_sqm]]&lt;=0,"Area&lt;=0","")</f>
        <v/>
      </c>
      <c r="Q399" t="str">
        <f>IF(tblRentRoll[[#This Row],[Monthly_Rent_EUR]]&lt;=0,"Rent&lt;=0","")</f>
        <v/>
      </c>
      <c r="R399">
        <f>IF(AND(tblRentRoll[[#This Row],[Status]]="Occupied", tblRentRoll[[#This Row],[Area_sqm]]&gt;0), tblRentRoll[[#This Row],[Annual_Rent_EUR]]/tblRentRoll[[#This Row],[Area_sqm]],"")</f>
        <v>128.17082099596232</v>
      </c>
      <c r="S399">
        <f>tblRentRoll[[#This Row],[Service_Charge_EUR]]+tblRentRoll[[#This Row],[Operating_Cost_EUR]]</f>
        <v>2919.92</v>
      </c>
      <c r="T399">
        <f>IF(tblRentRoll[[#This Row],[Annual_Rent_EUR]]&lt;&gt;0,tblRentRoll[[#This Row],[Annual_Rent_EUR]]-tblRentRoll[[#This Row],[Operating_Cost_EUR]], "")</f>
        <v>94443.3</v>
      </c>
      <c r="U399">
        <f ca="1">IF(AND(tblRentRoll[[#This Row],[Status]]="Occupied",tblRentRoll[[#This Row],[Lease_End]]&gt;=TODAY()),DATEDIF(TODAY(),tblRentRoll[[#This Row],[Lease_End]],"m"), 0)</f>
        <v>0</v>
      </c>
      <c r="V399" t="str">
        <f ca="1">IF(tblRentRoll[[#This Row],[Status]]&lt;&gt;"Occupied","", IF(tblRentRoll[[#This Row],[Month_to_Expiry]]&lt;=3, "0-3 Monaten",  IF(tblRentRoll[[#This Row],[Month_to_Expiry]]&lt;=6, "3-6 Monaten", IF(tblRentRoll[[#This Row],[Month_to_Expiry]]&lt;=12,"6-12 Monaten", IF(tblRentRoll[[#This Row],[Month_to_Expiry]]&gt;=12, "12 M+",)))))</f>
        <v>0-3 Monaten</v>
      </c>
      <c r="W399">
        <f>IF(tblRentRoll[[#This Row],[Status]]="Vacant", tblRentRoll[[#This Row],[Area_sqm]],0)</f>
        <v>0</v>
      </c>
      <c r="X399" s="3">
        <f>IF(tblRentRoll[[#This Row],[Status]]="Occupied", tblRentRoll[[#This Row],[Area_sqm]],0)</f>
        <v>743</v>
      </c>
      <c r="Y399" s="3">
        <f ca="1">tblRentRoll[[#This Row],[Month_to_Expiry]]/12*tblRentRoll[[#This Row],[Annual_Rent_EUR]]</f>
        <v>0</v>
      </c>
      <c r="Z399" s="3"/>
    </row>
    <row r="400" spans="1:26" x14ac:dyDescent="0.35">
      <c r="A400" t="s">
        <v>12</v>
      </c>
      <c r="B400" t="s">
        <v>583</v>
      </c>
      <c r="C400" t="s">
        <v>33</v>
      </c>
      <c r="D400">
        <v>57</v>
      </c>
      <c r="E400" t="s">
        <v>15</v>
      </c>
      <c r="F400" t="s">
        <v>235</v>
      </c>
      <c r="G400">
        <v>757.73</v>
      </c>
      <c r="H400">
        <v>9092.76</v>
      </c>
      <c r="I400" s="2">
        <f>tblRentRoll[[#This Row],[Monthly_Rent_EUR]]*12</f>
        <v>9092.76</v>
      </c>
      <c r="J400" s="2" t="str">
        <f>IF(tblRentRoll[[#This Row],[Annual_Rent_EUR]]&lt;&gt;tblRentRoll[[#This Row],[Jahresrente_EUR]], "FALSCH", "")</f>
        <v/>
      </c>
      <c r="K400" s="1">
        <v>44804</v>
      </c>
      <c r="L400" s="1">
        <v>45533</v>
      </c>
      <c r="M400">
        <v>98.16</v>
      </c>
      <c r="N400">
        <v>117.62</v>
      </c>
      <c r="O40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0" t="str">
        <f>IF(tblRentRoll[[#This Row],[Area_sqm]]&lt;=0,"Area&lt;=0","")</f>
        <v/>
      </c>
      <c r="Q400" t="str">
        <f>IF(tblRentRoll[[#This Row],[Monthly_Rent_EUR]]&lt;=0,"Rent&lt;=0","")</f>
        <v/>
      </c>
      <c r="R400">
        <f>IF(AND(tblRentRoll[[#This Row],[Status]]="Occupied", tblRentRoll[[#This Row],[Area_sqm]]&gt;0), tblRentRoll[[#This Row],[Annual_Rent_EUR]]/tblRentRoll[[#This Row],[Area_sqm]],"")</f>
        <v>159.5221052631579</v>
      </c>
      <c r="S400">
        <f>tblRentRoll[[#This Row],[Service_Charge_EUR]]+tblRentRoll[[#This Row],[Operating_Cost_EUR]]</f>
        <v>215.78</v>
      </c>
      <c r="T400">
        <f>IF(tblRentRoll[[#This Row],[Annual_Rent_EUR]]&lt;&gt;0,tblRentRoll[[#This Row],[Annual_Rent_EUR]]-tblRentRoll[[#This Row],[Operating_Cost_EUR]], "")</f>
        <v>8975.14</v>
      </c>
      <c r="U400">
        <f ca="1">IF(AND(tblRentRoll[[#This Row],[Status]]="Occupied",tblRentRoll[[#This Row],[Lease_End]]&gt;=TODAY()),DATEDIF(TODAY(),tblRentRoll[[#This Row],[Lease_End]],"m"), 0)</f>
        <v>0</v>
      </c>
      <c r="V400" t="str">
        <f ca="1">IF(tblRentRoll[[#This Row],[Status]]&lt;&gt;"Occupied","", IF(tblRentRoll[[#This Row],[Month_to_Expiry]]&lt;=3, "0-3 Monaten",  IF(tblRentRoll[[#This Row],[Month_to_Expiry]]&lt;=6, "3-6 Monaten", IF(tblRentRoll[[#This Row],[Month_to_Expiry]]&lt;=12,"6-12 Monaten", IF(tblRentRoll[[#This Row],[Month_to_Expiry]]&gt;=12, "12 M+",)))))</f>
        <v>0-3 Monaten</v>
      </c>
      <c r="W400">
        <f>IF(tblRentRoll[[#This Row],[Status]]="Vacant", tblRentRoll[[#This Row],[Area_sqm]],0)</f>
        <v>0</v>
      </c>
      <c r="X400" s="3">
        <f>IF(tblRentRoll[[#This Row],[Status]]="Occupied", tblRentRoll[[#This Row],[Area_sqm]],0)</f>
        <v>57</v>
      </c>
      <c r="Y400" s="3">
        <f ca="1">tblRentRoll[[#This Row],[Month_to_Expiry]]/12*tblRentRoll[[#This Row],[Annual_Rent_EUR]]</f>
        <v>0</v>
      </c>
      <c r="Z400" s="3"/>
    </row>
    <row r="401" spans="1:26" x14ac:dyDescent="0.35">
      <c r="A401" t="s">
        <v>12</v>
      </c>
      <c r="B401" t="s">
        <v>584</v>
      </c>
      <c r="C401" t="s">
        <v>14</v>
      </c>
      <c r="D401">
        <v>490</v>
      </c>
      <c r="E401" t="s">
        <v>15</v>
      </c>
      <c r="F401" t="s">
        <v>146</v>
      </c>
      <c r="G401">
        <v>3138.74</v>
      </c>
      <c r="H401">
        <v>37664.879999999997</v>
      </c>
      <c r="I401" s="2">
        <f>tblRentRoll[[#This Row],[Monthly_Rent_EUR]]*12</f>
        <v>37664.879999999997</v>
      </c>
      <c r="J401" s="2" t="str">
        <f>IF(tblRentRoll[[#This Row],[Annual_Rent_EUR]]&lt;&gt;tblRentRoll[[#This Row],[Jahresrente_EUR]], "FALSCH", "")</f>
        <v/>
      </c>
      <c r="K401" s="1">
        <v>44412</v>
      </c>
      <c r="L401" s="1">
        <v>45520</v>
      </c>
      <c r="M401">
        <v>1160.05</v>
      </c>
      <c r="N401">
        <v>408.36</v>
      </c>
      <c r="O40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1" t="str">
        <f>IF(tblRentRoll[[#This Row],[Area_sqm]]&lt;=0,"Area&lt;=0","")</f>
        <v/>
      </c>
      <c r="Q401" t="str">
        <f>IF(tblRentRoll[[#This Row],[Monthly_Rent_EUR]]&lt;=0,"Rent&lt;=0","")</f>
        <v/>
      </c>
      <c r="R401">
        <f>IF(AND(tblRentRoll[[#This Row],[Status]]="Occupied", tblRentRoll[[#This Row],[Area_sqm]]&gt;0), tblRentRoll[[#This Row],[Annual_Rent_EUR]]/tblRentRoll[[#This Row],[Area_sqm]],"")</f>
        <v>76.86710204081632</v>
      </c>
      <c r="S401">
        <f>tblRentRoll[[#This Row],[Service_Charge_EUR]]+tblRentRoll[[#This Row],[Operating_Cost_EUR]]</f>
        <v>1568.4099999999999</v>
      </c>
      <c r="T401">
        <f>IF(tblRentRoll[[#This Row],[Annual_Rent_EUR]]&lt;&gt;0,tblRentRoll[[#This Row],[Annual_Rent_EUR]]-tblRentRoll[[#This Row],[Operating_Cost_EUR]], "")</f>
        <v>37256.519999999997</v>
      </c>
      <c r="U401">
        <f ca="1">IF(AND(tblRentRoll[[#This Row],[Status]]="Occupied",tblRentRoll[[#This Row],[Lease_End]]&gt;=TODAY()),DATEDIF(TODAY(),tblRentRoll[[#This Row],[Lease_End]],"m"), 0)</f>
        <v>0</v>
      </c>
      <c r="V401" t="str">
        <f ca="1">IF(tblRentRoll[[#This Row],[Status]]&lt;&gt;"Occupied","", IF(tblRentRoll[[#This Row],[Month_to_Expiry]]&lt;=3, "0-3 Monaten",  IF(tblRentRoll[[#This Row],[Month_to_Expiry]]&lt;=6, "3-6 Monaten", IF(tblRentRoll[[#This Row],[Month_to_Expiry]]&lt;=12,"6-12 Monaten", IF(tblRentRoll[[#This Row],[Month_to_Expiry]]&gt;=12, "12 M+",)))))</f>
        <v>0-3 Monaten</v>
      </c>
      <c r="W401">
        <f>IF(tblRentRoll[[#This Row],[Status]]="Vacant", tblRentRoll[[#This Row],[Area_sqm]],0)</f>
        <v>0</v>
      </c>
      <c r="X401" s="3">
        <f>IF(tblRentRoll[[#This Row],[Status]]="Occupied", tblRentRoll[[#This Row],[Area_sqm]],0)</f>
        <v>490</v>
      </c>
      <c r="Y401" s="3">
        <f ca="1">tblRentRoll[[#This Row],[Month_to_Expiry]]/12*tblRentRoll[[#This Row],[Annual_Rent_EUR]]</f>
        <v>0</v>
      </c>
      <c r="Z401" s="3"/>
    </row>
    <row r="402" spans="1:26" x14ac:dyDescent="0.35">
      <c r="A402" t="s">
        <v>31</v>
      </c>
      <c r="B402" t="s">
        <v>585</v>
      </c>
      <c r="C402" t="s">
        <v>29</v>
      </c>
      <c r="D402">
        <v>324</v>
      </c>
      <c r="E402" t="s">
        <v>15</v>
      </c>
      <c r="F402" t="s">
        <v>338</v>
      </c>
      <c r="G402">
        <v>3517.94</v>
      </c>
      <c r="H402">
        <v>42215.28</v>
      </c>
      <c r="I402" s="2">
        <f>tblRentRoll[[#This Row],[Monthly_Rent_EUR]]*12</f>
        <v>42215.28</v>
      </c>
      <c r="J402" s="2" t="str">
        <f>IF(tblRentRoll[[#This Row],[Annual_Rent_EUR]]&lt;&gt;tblRentRoll[[#This Row],[Jahresrente_EUR]], "FALSCH", "")</f>
        <v/>
      </c>
      <c r="K402" s="1">
        <v>45117</v>
      </c>
      <c r="L402" s="1">
        <v>45594</v>
      </c>
      <c r="M402">
        <v>462.67</v>
      </c>
      <c r="N402">
        <v>205.46</v>
      </c>
      <c r="O40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2" t="str">
        <f>IF(tblRentRoll[[#This Row],[Area_sqm]]&lt;=0,"Area&lt;=0","")</f>
        <v/>
      </c>
      <c r="Q402" t="str">
        <f>IF(tblRentRoll[[#This Row],[Monthly_Rent_EUR]]&lt;=0,"Rent&lt;=0","")</f>
        <v/>
      </c>
      <c r="R402">
        <f>IF(AND(tblRentRoll[[#This Row],[Status]]="Occupied", tblRentRoll[[#This Row],[Area_sqm]]&gt;0), tblRentRoll[[#This Row],[Annual_Rent_EUR]]/tblRentRoll[[#This Row],[Area_sqm]],"")</f>
        <v>130.29407407407408</v>
      </c>
      <c r="S402">
        <f>tblRentRoll[[#This Row],[Service_Charge_EUR]]+tblRentRoll[[#This Row],[Operating_Cost_EUR]]</f>
        <v>668.13</v>
      </c>
      <c r="T402">
        <f>IF(tblRentRoll[[#This Row],[Annual_Rent_EUR]]&lt;&gt;0,tblRentRoll[[#This Row],[Annual_Rent_EUR]]-tblRentRoll[[#This Row],[Operating_Cost_EUR]], "")</f>
        <v>42009.82</v>
      </c>
      <c r="U402">
        <f ca="1">IF(AND(tblRentRoll[[#This Row],[Status]]="Occupied",tblRentRoll[[#This Row],[Lease_End]]&gt;=TODAY()),DATEDIF(TODAY(),tblRentRoll[[#This Row],[Lease_End]],"m"), 0)</f>
        <v>0</v>
      </c>
      <c r="V402" t="str">
        <f ca="1">IF(tblRentRoll[[#This Row],[Status]]&lt;&gt;"Occupied","", IF(tblRentRoll[[#This Row],[Month_to_Expiry]]&lt;=3, "0-3 Monaten",  IF(tblRentRoll[[#This Row],[Month_to_Expiry]]&lt;=6, "3-6 Monaten", IF(tblRentRoll[[#This Row],[Month_to_Expiry]]&lt;=12,"6-12 Monaten", IF(tblRentRoll[[#This Row],[Month_to_Expiry]]&gt;=12, "12 M+",)))))</f>
        <v>0-3 Monaten</v>
      </c>
      <c r="W402">
        <f>IF(tblRentRoll[[#This Row],[Status]]="Vacant", tblRentRoll[[#This Row],[Area_sqm]],0)</f>
        <v>0</v>
      </c>
      <c r="X402" s="3">
        <f>IF(tblRentRoll[[#This Row],[Status]]="Occupied", tblRentRoll[[#This Row],[Area_sqm]],0)</f>
        <v>324</v>
      </c>
      <c r="Y402" s="3">
        <f ca="1">tblRentRoll[[#This Row],[Month_to_Expiry]]/12*tblRentRoll[[#This Row],[Annual_Rent_EUR]]</f>
        <v>0</v>
      </c>
      <c r="Z402" s="3"/>
    </row>
    <row r="403" spans="1:26" x14ac:dyDescent="0.35">
      <c r="A403" t="s">
        <v>31</v>
      </c>
      <c r="B403" t="s">
        <v>586</v>
      </c>
      <c r="C403" t="s">
        <v>14</v>
      </c>
      <c r="D403">
        <v>1043</v>
      </c>
      <c r="E403" t="s">
        <v>15</v>
      </c>
      <c r="F403" t="s">
        <v>587</v>
      </c>
      <c r="G403">
        <v>13632.51</v>
      </c>
      <c r="H403">
        <v>163590.12</v>
      </c>
      <c r="I403" s="2">
        <f>tblRentRoll[[#This Row],[Monthly_Rent_EUR]]*12</f>
        <v>163590.12</v>
      </c>
      <c r="J403" s="2" t="str">
        <f>IF(tblRentRoll[[#This Row],[Annual_Rent_EUR]]&lt;&gt;tblRentRoll[[#This Row],[Jahresrente_EUR]], "FALSCH", "")</f>
        <v/>
      </c>
      <c r="K403" s="1">
        <v>44864</v>
      </c>
      <c r="L403" s="1">
        <v>45574</v>
      </c>
      <c r="M403">
        <v>2104.35</v>
      </c>
      <c r="N403">
        <v>1176.17</v>
      </c>
      <c r="O40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3" t="str">
        <f>IF(tblRentRoll[[#This Row],[Area_sqm]]&lt;=0,"Area&lt;=0","")</f>
        <v/>
      </c>
      <c r="Q403" t="str">
        <f>IF(tblRentRoll[[#This Row],[Monthly_Rent_EUR]]&lt;=0,"Rent&lt;=0","")</f>
        <v/>
      </c>
      <c r="R403">
        <f>IF(AND(tblRentRoll[[#This Row],[Status]]="Occupied", tblRentRoll[[#This Row],[Area_sqm]]&gt;0), tblRentRoll[[#This Row],[Annual_Rent_EUR]]/tblRentRoll[[#This Row],[Area_sqm]],"")</f>
        <v>156.84575263662512</v>
      </c>
      <c r="S403">
        <f>tblRentRoll[[#This Row],[Service_Charge_EUR]]+tblRentRoll[[#This Row],[Operating_Cost_EUR]]</f>
        <v>3280.52</v>
      </c>
      <c r="T403">
        <f>IF(tblRentRoll[[#This Row],[Annual_Rent_EUR]]&lt;&gt;0,tblRentRoll[[#This Row],[Annual_Rent_EUR]]-tblRentRoll[[#This Row],[Operating_Cost_EUR]], "")</f>
        <v>162413.94999999998</v>
      </c>
      <c r="U403">
        <f ca="1">IF(AND(tblRentRoll[[#This Row],[Status]]="Occupied",tblRentRoll[[#This Row],[Lease_End]]&gt;=TODAY()),DATEDIF(TODAY(),tblRentRoll[[#This Row],[Lease_End]],"m"), 0)</f>
        <v>0</v>
      </c>
      <c r="V403" t="str">
        <f ca="1">IF(tblRentRoll[[#This Row],[Status]]&lt;&gt;"Occupied","", IF(tblRentRoll[[#This Row],[Month_to_Expiry]]&lt;=3, "0-3 Monaten",  IF(tblRentRoll[[#This Row],[Month_to_Expiry]]&lt;=6, "3-6 Monaten", IF(tblRentRoll[[#This Row],[Month_to_Expiry]]&lt;=12,"6-12 Monaten", IF(tblRentRoll[[#This Row],[Month_to_Expiry]]&gt;=12, "12 M+",)))))</f>
        <v>0-3 Monaten</v>
      </c>
      <c r="W403">
        <f>IF(tblRentRoll[[#This Row],[Status]]="Vacant", tblRentRoll[[#This Row],[Area_sqm]],0)</f>
        <v>0</v>
      </c>
      <c r="X403" s="3">
        <f>IF(tblRentRoll[[#This Row],[Status]]="Occupied", tblRentRoll[[#This Row],[Area_sqm]],0)</f>
        <v>1043</v>
      </c>
      <c r="Y403" s="3">
        <f ca="1">tblRentRoll[[#This Row],[Month_to_Expiry]]/12*tblRentRoll[[#This Row],[Annual_Rent_EUR]]</f>
        <v>0</v>
      </c>
      <c r="Z403" s="3"/>
    </row>
    <row r="404" spans="1:26" x14ac:dyDescent="0.35">
      <c r="A404" t="s">
        <v>56</v>
      </c>
      <c r="B404" t="s">
        <v>588</v>
      </c>
      <c r="C404" t="s">
        <v>33</v>
      </c>
      <c r="D404">
        <v>1118</v>
      </c>
      <c r="E404" t="s">
        <v>15</v>
      </c>
      <c r="F404" t="s">
        <v>472</v>
      </c>
      <c r="G404">
        <v>9587.6200000000008</v>
      </c>
      <c r="H404">
        <v>115051.44</v>
      </c>
      <c r="I404" s="2">
        <f>tblRentRoll[[#This Row],[Monthly_Rent_EUR]]*12</f>
        <v>115051.44</v>
      </c>
      <c r="J404" s="2" t="str">
        <f>IF(tblRentRoll[[#This Row],[Annual_Rent_EUR]]&lt;&gt;tblRentRoll[[#This Row],[Jahresrente_EUR]], "FALSCH", "")</f>
        <v/>
      </c>
      <c r="K404" s="1">
        <v>45114</v>
      </c>
      <c r="L404" s="1">
        <v>46262</v>
      </c>
      <c r="M404">
        <v>1292.1199999999999</v>
      </c>
      <c r="N404">
        <v>1226.02</v>
      </c>
      <c r="O40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4" t="str">
        <f>IF(tblRentRoll[[#This Row],[Area_sqm]]&lt;=0,"Area&lt;=0","")</f>
        <v/>
      </c>
      <c r="Q404" t="str">
        <f>IF(tblRentRoll[[#This Row],[Monthly_Rent_EUR]]&lt;=0,"Rent&lt;=0","")</f>
        <v/>
      </c>
      <c r="R404">
        <f>IF(AND(tblRentRoll[[#This Row],[Status]]="Occupied", tblRentRoll[[#This Row],[Area_sqm]]&gt;0), tblRentRoll[[#This Row],[Annual_Rent_EUR]]/tblRentRoll[[#This Row],[Area_sqm]],"")</f>
        <v>102.90826475849732</v>
      </c>
      <c r="S404">
        <f>tblRentRoll[[#This Row],[Service_Charge_EUR]]+tblRentRoll[[#This Row],[Operating_Cost_EUR]]</f>
        <v>2518.14</v>
      </c>
      <c r="T404">
        <f>IF(tblRentRoll[[#This Row],[Annual_Rent_EUR]]&lt;&gt;0,tblRentRoll[[#This Row],[Annual_Rent_EUR]]-tblRentRoll[[#This Row],[Operating_Cost_EUR]], "")</f>
        <v>113825.42</v>
      </c>
      <c r="U404">
        <f ca="1">IF(AND(tblRentRoll[[#This Row],[Status]]="Occupied",tblRentRoll[[#This Row],[Lease_End]]&gt;=TODAY()),DATEDIF(TODAY(),tblRentRoll[[#This Row],[Lease_End]],"m"), 0)</f>
        <v>5</v>
      </c>
      <c r="V404" t="str">
        <f ca="1">IF(tblRentRoll[[#This Row],[Status]]&lt;&gt;"Occupied","", IF(tblRentRoll[[#This Row],[Month_to_Expiry]]&lt;=3, "0-3 Monaten",  IF(tblRentRoll[[#This Row],[Month_to_Expiry]]&lt;=6, "3-6 Monaten", IF(tblRentRoll[[#This Row],[Month_to_Expiry]]&lt;=12,"6-12 Monaten", IF(tblRentRoll[[#This Row],[Month_to_Expiry]]&gt;=12, "12 M+",)))))</f>
        <v>3-6 Monaten</v>
      </c>
      <c r="W404">
        <f>IF(tblRentRoll[[#This Row],[Status]]="Vacant", tblRentRoll[[#This Row],[Area_sqm]],0)</f>
        <v>0</v>
      </c>
      <c r="X404" s="3">
        <f>IF(tblRentRoll[[#This Row],[Status]]="Occupied", tblRentRoll[[#This Row],[Area_sqm]],0)</f>
        <v>1118</v>
      </c>
      <c r="Y404" s="3">
        <f ca="1">tblRentRoll[[#This Row],[Month_to_Expiry]]/12*tblRentRoll[[#This Row],[Annual_Rent_EUR]]</f>
        <v>47938.100000000006</v>
      </c>
      <c r="Z404" s="3"/>
    </row>
    <row r="405" spans="1:26" x14ac:dyDescent="0.35">
      <c r="A405" t="s">
        <v>56</v>
      </c>
      <c r="B405" t="s">
        <v>589</v>
      </c>
      <c r="C405" t="s">
        <v>29</v>
      </c>
      <c r="D405">
        <v>1117</v>
      </c>
      <c r="E405" t="s">
        <v>15</v>
      </c>
      <c r="F405" t="s">
        <v>587</v>
      </c>
      <c r="G405">
        <v>18599.96</v>
      </c>
      <c r="H405">
        <v>223199.52</v>
      </c>
      <c r="I405" s="2">
        <f>tblRentRoll[[#This Row],[Monthly_Rent_EUR]]*12</f>
        <v>223199.52</v>
      </c>
      <c r="J405" s="2" t="str">
        <f>IF(tblRentRoll[[#This Row],[Annual_Rent_EUR]]&lt;&gt;tblRentRoll[[#This Row],[Jahresrente_EUR]], "FALSCH", "")</f>
        <v/>
      </c>
      <c r="K405" s="1">
        <v>44293</v>
      </c>
      <c r="L405" s="1">
        <v>45726</v>
      </c>
      <c r="M405">
        <v>2771.6</v>
      </c>
      <c r="N405">
        <v>673.87</v>
      </c>
      <c r="O40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5" t="str">
        <f>IF(tblRentRoll[[#This Row],[Area_sqm]]&lt;=0,"Area&lt;=0","")</f>
        <v/>
      </c>
      <c r="Q405" t="str">
        <f>IF(tblRentRoll[[#This Row],[Monthly_Rent_EUR]]&lt;=0,"Rent&lt;=0","")</f>
        <v/>
      </c>
      <c r="R405">
        <f>IF(AND(tblRentRoll[[#This Row],[Status]]="Occupied", tblRentRoll[[#This Row],[Area_sqm]]&gt;0), tblRentRoll[[#This Row],[Annual_Rent_EUR]]/tblRentRoll[[#This Row],[Area_sqm]],"")</f>
        <v>199.82051924798566</v>
      </c>
      <c r="S405">
        <f>tblRentRoll[[#This Row],[Service_Charge_EUR]]+tblRentRoll[[#This Row],[Operating_Cost_EUR]]</f>
        <v>3445.47</v>
      </c>
      <c r="T405">
        <f>IF(tblRentRoll[[#This Row],[Annual_Rent_EUR]]&lt;&gt;0,tblRentRoll[[#This Row],[Annual_Rent_EUR]]-tblRentRoll[[#This Row],[Operating_Cost_EUR]], "")</f>
        <v>222525.65</v>
      </c>
      <c r="U405">
        <f ca="1">IF(AND(tblRentRoll[[#This Row],[Status]]="Occupied",tblRentRoll[[#This Row],[Lease_End]]&gt;=TODAY()),DATEDIF(TODAY(),tblRentRoll[[#This Row],[Lease_End]],"m"), 0)</f>
        <v>0</v>
      </c>
      <c r="V405" t="str">
        <f ca="1">IF(tblRentRoll[[#This Row],[Status]]&lt;&gt;"Occupied","", IF(tblRentRoll[[#This Row],[Month_to_Expiry]]&lt;=3, "0-3 Monaten",  IF(tblRentRoll[[#This Row],[Month_to_Expiry]]&lt;=6, "3-6 Monaten", IF(tblRentRoll[[#This Row],[Month_to_Expiry]]&lt;=12,"6-12 Monaten", IF(tblRentRoll[[#This Row],[Month_to_Expiry]]&gt;=12, "12 M+",)))))</f>
        <v>0-3 Monaten</v>
      </c>
      <c r="W405">
        <f>IF(tblRentRoll[[#This Row],[Status]]="Vacant", tblRentRoll[[#This Row],[Area_sqm]],0)</f>
        <v>0</v>
      </c>
      <c r="X405" s="3">
        <f>IF(tblRentRoll[[#This Row],[Status]]="Occupied", tblRentRoll[[#This Row],[Area_sqm]],0)</f>
        <v>1117</v>
      </c>
      <c r="Y405" s="3">
        <f ca="1">tblRentRoll[[#This Row],[Month_to_Expiry]]/12*tblRentRoll[[#This Row],[Annual_Rent_EUR]]</f>
        <v>0</v>
      </c>
      <c r="Z405" s="3"/>
    </row>
    <row r="406" spans="1:26" x14ac:dyDescent="0.35">
      <c r="A406" t="s">
        <v>27</v>
      </c>
      <c r="B406" t="s">
        <v>590</v>
      </c>
      <c r="C406" t="s">
        <v>19</v>
      </c>
      <c r="D406">
        <v>474</v>
      </c>
      <c r="E406" t="s">
        <v>15</v>
      </c>
      <c r="F406" t="s">
        <v>591</v>
      </c>
      <c r="G406">
        <v>5328.85</v>
      </c>
      <c r="H406">
        <v>63946.2</v>
      </c>
      <c r="I406" s="2">
        <f>tblRentRoll[[#This Row],[Monthly_Rent_EUR]]*12</f>
        <v>63946.200000000004</v>
      </c>
      <c r="J406" s="2" t="str">
        <f>IF(tblRentRoll[[#This Row],[Annual_Rent_EUR]]&lt;&gt;tblRentRoll[[#This Row],[Jahresrente_EUR]], "FALSCH", "")</f>
        <v/>
      </c>
      <c r="K406" s="1">
        <v>44533</v>
      </c>
      <c r="L406" s="1">
        <v>45356</v>
      </c>
      <c r="M406">
        <v>771.45</v>
      </c>
      <c r="N406">
        <v>983.42</v>
      </c>
      <c r="O40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6" t="str">
        <f>IF(tblRentRoll[[#This Row],[Area_sqm]]&lt;=0,"Area&lt;=0","")</f>
        <v/>
      </c>
      <c r="Q406" t="str">
        <f>IF(tblRentRoll[[#This Row],[Monthly_Rent_EUR]]&lt;=0,"Rent&lt;=0","")</f>
        <v/>
      </c>
      <c r="R406">
        <f>IF(AND(tblRentRoll[[#This Row],[Status]]="Occupied", tblRentRoll[[#This Row],[Area_sqm]]&gt;0), tblRentRoll[[#This Row],[Annual_Rent_EUR]]/tblRentRoll[[#This Row],[Area_sqm]],"")</f>
        <v>134.90759493670885</v>
      </c>
      <c r="S406">
        <f>tblRentRoll[[#This Row],[Service_Charge_EUR]]+tblRentRoll[[#This Row],[Operating_Cost_EUR]]</f>
        <v>1754.87</v>
      </c>
      <c r="T406">
        <f>IF(tblRentRoll[[#This Row],[Annual_Rent_EUR]]&lt;&gt;0,tblRentRoll[[#This Row],[Annual_Rent_EUR]]-tblRentRoll[[#This Row],[Operating_Cost_EUR]], "")</f>
        <v>62962.78</v>
      </c>
      <c r="U406">
        <f ca="1">IF(AND(tblRentRoll[[#This Row],[Status]]="Occupied",tblRentRoll[[#This Row],[Lease_End]]&gt;=TODAY()),DATEDIF(TODAY(),tblRentRoll[[#This Row],[Lease_End]],"m"), 0)</f>
        <v>0</v>
      </c>
      <c r="V406" t="str">
        <f ca="1">IF(tblRentRoll[[#This Row],[Status]]&lt;&gt;"Occupied","", IF(tblRentRoll[[#This Row],[Month_to_Expiry]]&lt;=3, "0-3 Monaten",  IF(tblRentRoll[[#This Row],[Month_to_Expiry]]&lt;=6, "3-6 Monaten", IF(tblRentRoll[[#This Row],[Month_to_Expiry]]&lt;=12,"6-12 Monaten", IF(tblRentRoll[[#This Row],[Month_to_Expiry]]&gt;=12, "12 M+",)))))</f>
        <v>0-3 Monaten</v>
      </c>
      <c r="W406">
        <f>IF(tblRentRoll[[#This Row],[Status]]="Vacant", tblRentRoll[[#This Row],[Area_sqm]],0)</f>
        <v>0</v>
      </c>
      <c r="X406" s="3">
        <f>IF(tblRentRoll[[#This Row],[Status]]="Occupied", tblRentRoll[[#This Row],[Area_sqm]],0)</f>
        <v>474</v>
      </c>
      <c r="Y406" s="3">
        <f ca="1">tblRentRoll[[#This Row],[Month_to_Expiry]]/12*tblRentRoll[[#This Row],[Annual_Rent_EUR]]</f>
        <v>0</v>
      </c>
      <c r="Z406" s="3"/>
    </row>
    <row r="407" spans="1:26" x14ac:dyDescent="0.35">
      <c r="A407" t="s">
        <v>21</v>
      </c>
      <c r="B407" t="s">
        <v>592</v>
      </c>
      <c r="C407" t="s">
        <v>29</v>
      </c>
      <c r="D407">
        <v>1448</v>
      </c>
      <c r="E407" t="s">
        <v>15</v>
      </c>
      <c r="F407" t="s">
        <v>43</v>
      </c>
      <c r="G407">
        <v>22443.91</v>
      </c>
      <c r="H407">
        <v>269326.92</v>
      </c>
      <c r="I407" s="2">
        <f>tblRentRoll[[#This Row],[Monthly_Rent_EUR]]*12</f>
        <v>269326.92</v>
      </c>
      <c r="J407" s="2" t="str">
        <f>IF(tblRentRoll[[#This Row],[Annual_Rent_EUR]]&lt;&gt;tblRentRoll[[#This Row],[Jahresrente_EUR]], "FALSCH", "")</f>
        <v/>
      </c>
      <c r="K407" s="1">
        <v>44854</v>
      </c>
      <c r="L407" s="1">
        <v>46165</v>
      </c>
      <c r="M407">
        <v>1618.67</v>
      </c>
      <c r="N407">
        <v>1179.8599999999999</v>
      </c>
      <c r="O40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7" t="str">
        <f>IF(tblRentRoll[[#This Row],[Area_sqm]]&lt;=0,"Area&lt;=0","")</f>
        <v/>
      </c>
      <c r="Q407" t="str">
        <f>IF(tblRentRoll[[#This Row],[Monthly_Rent_EUR]]&lt;=0,"Rent&lt;=0","")</f>
        <v/>
      </c>
      <c r="R407">
        <f>IF(AND(tblRentRoll[[#This Row],[Status]]="Occupied", tblRentRoll[[#This Row],[Area_sqm]]&gt;0), tblRentRoll[[#This Row],[Annual_Rent_EUR]]/tblRentRoll[[#This Row],[Area_sqm]],"")</f>
        <v>185.9992541436464</v>
      </c>
      <c r="S407">
        <f>tblRentRoll[[#This Row],[Service_Charge_EUR]]+tblRentRoll[[#This Row],[Operating_Cost_EUR]]</f>
        <v>2798.5299999999997</v>
      </c>
      <c r="T407">
        <f>IF(tblRentRoll[[#This Row],[Annual_Rent_EUR]]&lt;&gt;0,tblRentRoll[[#This Row],[Annual_Rent_EUR]]-tblRentRoll[[#This Row],[Operating_Cost_EUR]], "")</f>
        <v>268147.06</v>
      </c>
      <c r="U407">
        <f ca="1">IF(AND(tblRentRoll[[#This Row],[Status]]="Occupied",tblRentRoll[[#This Row],[Lease_End]]&gt;=TODAY()),DATEDIF(TODAY(),tblRentRoll[[#This Row],[Lease_End]],"m"), 0)</f>
        <v>2</v>
      </c>
      <c r="V407" t="str">
        <f ca="1">IF(tblRentRoll[[#This Row],[Status]]&lt;&gt;"Occupied","", IF(tblRentRoll[[#This Row],[Month_to_Expiry]]&lt;=3, "0-3 Monaten",  IF(tblRentRoll[[#This Row],[Month_to_Expiry]]&lt;=6, "3-6 Monaten", IF(tblRentRoll[[#This Row],[Month_to_Expiry]]&lt;=12,"6-12 Monaten", IF(tblRentRoll[[#This Row],[Month_to_Expiry]]&gt;=12, "12 M+",)))))</f>
        <v>0-3 Monaten</v>
      </c>
      <c r="W407">
        <f>IF(tblRentRoll[[#This Row],[Status]]="Vacant", tblRentRoll[[#This Row],[Area_sqm]],0)</f>
        <v>0</v>
      </c>
      <c r="X407" s="3">
        <f>IF(tblRentRoll[[#This Row],[Status]]="Occupied", tblRentRoll[[#This Row],[Area_sqm]],0)</f>
        <v>1448</v>
      </c>
      <c r="Y407" s="3">
        <f ca="1">tblRentRoll[[#This Row],[Month_to_Expiry]]/12*tblRentRoll[[#This Row],[Annual_Rent_EUR]]</f>
        <v>44887.819999999992</v>
      </c>
      <c r="Z407" s="3"/>
    </row>
    <row r="408" spans="1:26" x14ac:dyDescent="0.35">
      <c r="A408" t="s">
        <v>17</v>
      </c>
      <c r="B408" t="s">
        <v>593</v>
      </c>
      <c r="C408" t="s">
        <v>14</v>
      </c>
      <c r="D408">
        <v>405</v>
      </c>
      <c r="E408" t="s">
        <v>15</v>
      </c>
      <c r="F408" t="s">
        <v>104</v>
      </c>
      <c r="G408">
        <v>4865.34</v>
      </c>
      <c r="H408">
        <v>58384.08</v>
      </c>
      <c r="I408" s="2">
        <f>tblRentRoll[[#This Row],[Monthly_Rent_EUR]]*12</f>
        <v>58384.08</v>
      </c>
      <c r="J408" s="2" t="str">
        <f>IF(tblRentRoll[[#This Row],[Annual_Rent_EUR]]&lt;&gt;tblRentRoll[[#This Row],[Jahresrente_EUR]], "FALSCH", "")</f>
        <v/>
      </c>
      <c r="K408" s="1">
        <v>45201</v>
      </c>
      <c r="L408" s="1">
        <v>46047</v>
      </c>
      <c r="M408">
        <v>530.16</v>
      </c>
      <c r="N408">
        <v>662.08</v>
      </c>
      <c r="O40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8" t="str">
        <f>IF(tblRentRoll[[#This Row],[Area_sqm]]&lt;=0,"Area&lt;=0","")</f>
        <v/>
      </c>
      <c r="Q408" t="str">
        <f>IF(tblRentRoll[[#This Row],[Monthly_Rent_EUR]]&lt;=0,"Rent&lt;=0","")</f>
        <v/>
      </c>
      <c r="R408">
        <f>IF(AND(tblRentRoll[[#This Row],[Status]]="Occupied", tblRentRoll[[#This Row],[Area_sqm]]&gt;0), tblRentRoll[[#This Row],[Annual_Rent_EUR]]/tblRentRoll[[#This Row],[Area_sqm]],"")</f>
        <v>144.15822222222224</v>
      </c>
      <c r="S408">
        <f>tblRentRoll[[#This Row],[Service_Charge_EUR]]+tblRentRoll[[#This Row],[Operating_Cost_EUR]]</f>
        <v>1192.24</v>
      </c>
      <c r="T408">
        <f>IF(tblRentRoll[[#This Row],[Annual_Rent_EUR]]&lt;&gt;0,tblRentRoll[[#This Row],[Annual_Rent_EUR]]-tblRentRoll[[#This Row],[Operating_Cost_EUR]], "")</f>
        <v>57722</v>
      </c>
      <c r="U408">
        <f ca="1">IF(AND(tblRentRoll[[#This Row],[Status]]="Occupied",tblRentRoll[[#This Row],[Lease_End]]&gt;=TODAY()),DATEDIF(TODAY(),tblRentRoll[[#This Row],[Lease_End]],"m"), 0)</f>
        <v>0</v>
      </c>
      <c r="V408" t="str">
        <f ca="1">IF(tblRentRoll[[#This Row],[Status]]&lt;&gt;"Occupied","", IF(tblRentRoll[[#This Row],[Month_to_Expiry]]&lt;=3, "0-3 Monaten",  IF(tblRentRoll[[#This Row],[Month_to_Expiry]]&lt;=6, "3-6 Monaten", IF(tblRentRoll[[#This Row],[Month_to_Expiry]]&lt;=12,"6-12 Monaten", IF(tblRentRoll[[#This Row],[Month_to_Expiry]]&gt;=12, "12 M+",)))))</f>
        <v>0-3 Monaten</v>
      </c>
      <c r="W408">
        <f>IF(tblRentRoll[[#This Row],[Status]]="Vacant", tblRentRoll[[#This Row],[Area_sqm]],0)</f>
        <v>0</v>
      </c>
      <c r="X408" s="3">
        <f>IF(tblRentRoll[[#This Row],[Status]]="Occupied", tblRentRoll[[#This Row],[Area_sqm]],0)</f>
        <v>405</v>
      </c>
      <c r="Y408" s="3">
        <f ca="1">tblRentRoll[[#This Row],[Month_to_Expiry]]/12*tblRentRoll[[#This Row],[Annual_Rent_EUR]]</f>
        <v>0</v>
      </c>
      <c r="Z408" s="3"/>
    </row>
    <row r="409" spans="1:26" x14ac:dyDescent="0.35">
      <c r="A409" t="s">
        <v>24</v>
      </c>
      <c r="B409" t="s">
        <v>594</v>
      </c>
      <c r="C409" t="s">
        <v>14</v>
      </c>
      <c r="D409">
        <v>694</v>
      </c>
      <c r="E409" t="s">
        <v>15</v>
      </c>
      <c r="F409" t="s">
        <v>16</v>
      </c>
      <c r="G409">
        <v>8996.6299999999992</v>
      </c>
      <c r="H409">
        <v>107959.56</v>
      </c>
      <c r="I409" s="2">
        <f>tblRentRoll[[#This Row],[Monthly_Rent_EUR]]*12</f>
        <v>107959.56</v>
      </c>
      <c r="J409" s="2" t="str">
        <f>IF(tblRentRoll[[#This Row],[Annual_Rent_EUR]]&lt;&gt;tblRentRoll[[#This Row],[Jahresrente_EUR]], "FALSCH", "")</f>
        <v/>
      </c>
      <c r="K409" s="1">
        <v>44795</v>
      </c>
      <c r="L409" s="1">
        <v>45800</v>
      </c>
      <c r="M409">
        <v>903.14</v>
      </c>
      <c r="N409">
        <v>1453.27</v>
      </c>
      <c r="O40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09" t="str">
        <f>IF(tblRentRoll[[#This Row],[Area_sqm]]&lt;=0,"Area&lt;=0","")</f>
        <v/>
      </c>
      <c r="Q409" t="str">
        <f>IF(tblRentRoll[[#This Row],[Monthly_Rent_EUR]]&lt;=0,"Rent&lt;=0","")</f>
        <v/>
      </c>
      <c r="R409">
        <f>IF(AND(tblRentRoll[[#This Row],[Status]]="Occupied", tblRentRoll[[#This Row],[Area_sqm]]&gt;0), tblRentRoll[[#This Row],[Annual_Rent_EUR]]/tblRentRoll[[#This Row],[Area_sqm]],"")</f>
        <v>155.56132564841499</v>
      </c>
      <c r="S409">
        <f>tblRentRoll[[#This Row],[Service_Charge_EUR]]+tblRentRoll[[#This Row],[Operating_Cost_EUR]]</f>
        <v>2356.41</v>
      </c>
      <c r="T409">
        <f>IF(tblRentRoll[[#This Row],[Annual_Rent_EUR]]&lt;&gt;0,tblRentRoll[[#This Row],[Annual_Rent_EUR]]-tblRentRoll[[#This Row],[Operating_Cost_EUR]], "")</f>
        <v>106506.29</v>
      </c>
      <c r="U409">
        <f ca="1">IF(AND(tblRentRoll[[#This Row],[Status]]="Occupied",tblRentRoll[[#This Row],[Lease_End]]&gt;=TODAY()),DATEDIF(TODAY(),tblRentRoll[[#This Row],[Lease_End]],"m"), 0)</f>
        <v>0</v>
      </c>
      <c r="V409" t="str">
        <f ca="1">IF(tblRentRoll[[#This Row],[Status]]&lt;&gt;"Occupied","", IF(tblRentRoll[[#This Row],[Month_to_Expiry]]&lt;=3, "0-3 Monaten",  IF(tblRentRoll[[#This Row],[Month_to_Expiry]]&lt;=6, "3-6 Monaten", IF(tblRentRoll[[#This Row],[Month_to_Expiry]]&lt;=12,"6-12 Monaten", IF(tblRentRoll[[#This Row],[Month_to_Expiry]]&gt;=12, "12 M+",)))))</f>
        <v>0-3 Monaten</v>
      </c>
      <c r="W409">
        <f>IF(tblRentRoll[[#This Row],[Status]]="Vacant", tblRentRoll[[#This Row],[Area_sqm]],0)</f>
        <v>0</v>
      </c>
      <c r="X409" s="3">
        <f>IF(tblRentRoll[[#This Row],[Status]]="Occupied", tblRentRoll[[#This Row],[Area_sqm]],0)</f>
        <v>694</v>
      </c>
      <c r="Y409" s="3">
        <f ca="1">tblRentRoll[[#This Row],[Month_to_Expiry]]/12*tblRentRoll[[#This Row],[Annual_Rent_EUR]]</f>
        <v>0</v>
      </c>
      <c r="Z409" s="3"/>
    </row>
    <row r="410" spans="1:26" x14ac:dyDescent="0.35">
      <c r="A410" t="s">
        <v>56</v>
      </c>
      <c r="B410" t="s">
        <v>595</v>
      </c>
      <c r="C410" t="s">
        <v>19</v>
      </c>
      <c r="D410">
        <v>702</v>
      </c>
      <c r="E410" t="s">
        <v>20</v>
      </c>
      <c r="G410">
        <v>0</v>
      </c>
      <c r="H410">
        <v>0</v>
      </c>
      <c r="I410" s="2">
        <f>tblRentRoll[[#This Row],[Monthly_Rent_EUR]]*12</f>
        <v>0</v>
      </c>
      <c r="J410" s="2" t="str">
        <f>IF(tblRentRoll[[#This Row],[Annual_Rent_EUR]]&lt;&gt;tblRentRoll[[#This Row],[Jahresrente_EUR]], "FALSCH", "")</f>
        <v/>
      </c>
      <c r="M410">
        <v>2049.29</v>
      </c>
      <c r="N410">
        <v>1699.71</v>
      </c>
      <c r="O41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0" t="str">
        <f>IF(tblRentRoll[[#This Row],[Area_sqm]]&lt;=0,"Area&lt;=0","")</f>
        <v/>
      </c>
      <c r="Q410" t="str">
        <f>IF(tblRentRoll[[#This Row],[Monthly_Rent_EUR]]&lt;=0,"Rent&lt;=0","")</f>
        <v>Rent&lt;=0</v>
      </c>
      <c r="R410" t="str">
        <f>IF(AND(tblRentRoll[[#This Row],[Status]]="Occupied", tblRentRoll[[#This Row],[Area_sqm]]&gt;0), tblRentRoll[[#This Row],[Annual_Rent_EUR]]/tblRentRoll[[#This Row],[Area_sqm]],"")</f>
        <v/>
      </c>
      <c r="S410">
        <f>tblRentRoll[[#This Row],[Service_Charge_EUR]]+tblRentRoll[[#This Row],[Operating_Cost_EUR]]</f>
        <v>3749</v>
      </c>
      <c r="T410" t="str">
        <f>IF(tblRentRoll[[#This Row],[Annual_Rent_EUR]]&lt;&gt;0,tblRentRoll[[#This Row],[Annual_Rent_EUR]]-tblRentRoll[[#This Row],[Operating_Cost_EUR]], "")</f>
        <v/>
      </c>
      <c r="U410">
        <f ca="1">IF(AND(tblRentRoll[[#This Row],[Status]]="Occupied",tblRentRoll[[#This Row],[Lease_End]]&gt;=TODAY()),DATEDIF(TODAY(),tblRentRoll[[#This Row],[Lease_End]],"m"), 0)</f>
        <v>0</v>
      </c>
      <c r="V410" t="str">
        <f>IF(tblRentRoll[[#This Row],[Status]]&lt;&gt;"Occupied","", IF(tblRentRoll[[#This Row],[Month_to_Expiry]]&lt;=3, "0-3 Monaten",  IF(tblRentRoll[[#This Row],[Month_to_Expiry]]&lt;=6, "3-6 Monaten", IF(tblRentRoll[[#This Row],[Month_to_Expiry]]&lt;=12,"6-12 Monaten", IF(tblRentRoll[[#This Row],[Month_to_Expiry]]&gt;=12, "12 M+",)))))</f>
        <v/>
      </c>
      <c r="W410">
        <f>IF(tblRentRoll[[#This Row],[Status]]="Vacant", tblRentRoll[[#This Row],[Area_sqm]],0)</f>
        <v>702</v>
      </c>
      <c r="X410" s="3">
        <f>IF(tblRentRoll[[#This Row],[Status]]="Occupied", tblRentRoll[[#This Row],[Area_sqm]],0)</f>
        <v>0</v>
      </c>
      <c r="Y410" s="3">
        <f ca="1">tblRentRoll[[#This Row],[Month_to_Expiry]]/12*tblRentRoll[[#This Row],[Annual_Rent_EUR]]</f>
        <v>0</v>
      </c>
      <c r="Z410" s="3"/>
    </row>
    <row r="411" spans="1:26" x14ac:dyDescent="0.35">
      <c r="A411" t="s">
        <v>31</v>
      </c>
      <c r="B411" t="s">
        <v>596</v>
      </c>
      <c r="C411" t="s">
        <v>14</v>
      </c>
      <c r="D411">
        <v>537</v>
      </c>
      <c r="E411" t="s">
        <v>15</v>
      </c>
      <c r="F411" t="s">
        <v>597</v>
      </c>
      <c r="G411">
        <v>4225.95</v>
      </c>
      <c r="H411">
        <v>50711.4</v>
      </c>
      <c r="I411" s="2">
        <f>tblRentRoll[[#This Row],[Monthly_Rent_EUR]]*12</f>
        <v>50711.399999999994</v>
      </c>
      <c r="J411" s="2" t="str">
        <f>IF(tblRentRoll[[#This Row],[Annual_Rent_EUR]]&lt;&gt;tblRentRoll[[#This Row],[Jahresrente_EUR]], "FALSCH", "")</f>
        <v/>
      </c>
      <c r="K411" s="1">
        <v>44911</v>
      </c>
      <c r="L411" s="1">
        <v>46369</v>
      </c>
      <c r="M411">
        <v>1122.8699999999999</v>
      </c>
      <c r="N411">
        <v>1251.68</v>
      </c>
      <c r="O41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1" t="str">
        <f>IF(tblRentRoll[[#This Row],[Area_sqm]]&lt;=0,"Area&lt;=0","")</f>
        <v/>
      </c>
      <c r="Q411" t="str">
        <f>IF(tblRentRoll[[#This Row],[Monthly_Rent_EUR]]&lt;=0,"Rent&lt;=0","")</f>
        <v/>
      </c>
      <c r="R411">
        <f>IF(AND(tblRentRoll[[#This Row],[Status]]="Occupied", tblRentRoll[[#This Row],[Area_sqm]]&gt;0), tblRentRoll[[#This Row],[Annual_Rent_EUR]]/tblRentRoll[[#This Row],[Area_sqm]],"")</f>
        <v>94.434636871508388</v>
      </c>
      <c r="S411">
        <f>tblRentRoll[[#This Row],[Service_Charge_EUR]]+tblRentRoll[[#This Row],[Operating_Cost_EUR]]</f>
        <v>2374.5500000000002</v>
      </c>
      <c r="T411">
        <f>IF(tblRentRoll[[#This Row],[Annual_Rent_EUR]]&lt;&gt;0,tblRentRoll[[#This Row],[Annual_Rent_EUR]]-tblRentRoll[[#This Row],[Operating_Cost_EUR]], "")</f>
        <v>49459.72</v>
      </c>
      <c r="U411">
        <f ca="1">IF(AND(tblRentRoll[[#This Row],[Status]]="Occupied",tblRentRoll[[#This Row],[Lease_End]]&gt;=TODAY()),DATEDIF(TODAY(),tblRentRoll[[#This Row],[Lease_End]],"m"), 0)</f>
        <v>9</v>
      </c>
      <c r="V411" t="str">
        <f ca="1">IF(tblRentRoll[[#This Row],[Status]]&lt;&gt;"Occupied","", IF(tblRentRoll[[#This Row],[Month_to_Expiry]]&lt;=3, "0-3 Monaten",  IF(tblRentRoll[[#This Row],[Month_to_Expiry]]&lt;=6, "3-6 Monaten", IF(tblRentRoll[[#This Row],[Month_to_Expiry]]&lt;=12,"6-12 Monaten", IF(tblRentRoll[[#This Row],[Month_to_Expiry]]&gt;=12, "12 M+",)))))</f>
        <v>6-12 Monaten</v>
      </c>
      <c r="W411">
        <f>IF(tblRentRoll[[#This Row],[Status]]="Vacant", tblRentRoll[[#This Row],[Area_sqm]],0)</f>
        <v>0</v>
      </c>
      <c r="X411" s="3">
        <f>IF(tblRentRoll[[#This Row],[Status]]="Occupied", tblRentRoll[[#This Row],[Area_sqm]],0)</f>
        <v>537</v>
      </c>
      <c r="Y411" s="3">
        <f ca="1">tblRentRoll[[#This Row],[Month_to_Expiry]]/12*tblRentRoll[[#This Row],[Annual_Rent_EUR]]</f>
        <v>38033.550000000003</v>
      </c>
      <c r="Z411" s="3"/>
    </row>
    <row r="412" spans="1:26" x14ac:dyDescent="0.35">
      <c r="A412" t="s">
        <v>12</v>
      </c>
      <c r="B412" t="s">
        <v>598</v>
      </c>
      <c r="C412" t="s">
        <v>33</v>
      </c>
      <c r="D412">
        <v>786</v>
      </c>
      <c r="E412" t="s">
        <v>15</v>
      </c>
      <c r="F412" t="s">
        <v>300</v>
      </c>
      <c r="G412">
        <v>10307.719999999999</v>
      </c>
      <c r="H412">
        <v>123692.64</v>
      </c>
      <c r="I412" s="2">
        <f>tblRentRoll[[#This Row],[Monthly_Rent_EUR]]*12</f>
        <v>123692.63999999998</v>
      </c>
      <c r="J412" s="2" t="str">
        <f>IF(tblRentRoll[[#This Row],[Annual_Rent_EUR]]&lt;&gt;tblRentRoll[[#This Row],[Jahresrente_EUR]], "FALSCH", "")</f>
        <v/>
      </c>
      <c r="K412" s="1">
        <v>44374</v>
      </c>
      <c r="L412" s="1">
        <v>45374</v>
      </c>
      <c r="M412">
        <v>945.49</v>
      </c>
      <c r="N412">
        <v>730.73</v>
      </c>
      <c r="O41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2" t="str">
        <f>IF(tblRentRoll[[#This Row],[Area_sqm]]&lt;=0,"Area&lt;=0","")</f>
        <v/>
      </c>
      <c r="Q412" t="str">
        <f>IF(tblRentRoll[[#This Row],[Monthly_Rent_EUR]]&lt;=0,"Rent&lt;=0","")</f>
        <v/>
      </c>
      <c r="R412">
        <f>IF(AND(tblRentRoll[[#This Row],[Status]]="Occupied", tblRentRoll[[#This Row],[Area_sqm]]&gt;0), tblRentRoll[[#This Row],[Annual_Rent_EUR]]/tblRentRoll[[#This Row],[Area_sqm]],"")</f>
        <v>157.3697709923664</v>
      </c>
      <c r="S412">
        <f>tblRentRoll[[#This Row],[Service_Charge_EUR]]+tblRentRoll[[#This Row],[Operating_Cost_EUR]]</f>
        <v>1676.22</v>
      </c>
      <c r="T412">
        <f>IF(tblRentRoll[[#This Row],[Annual_Rent_EUR]]&lt;&gt;0,tblRentRoll[[#This Row],[Annual_Rent_EUR]]-tblRentRoll[[#This Row],[Operating_Cost_EUR]], "")</f>
        <v>122961.91</v>
      </c>
      <c r="U412">
        <f ca="1">IF(AND(tblRentRoll[[#This Row],[Status]]="Occupied",tblRentRoll[[#This Row],[Lease_End]]&gt;=TODAY()),DATEDIF(TODAY(),tblRentRoll[[#This Row],[Lease_End]],"m"), 0)</f>
        <v>0</v>
      </c>
      <c r="V412" t="str">
        <f ca="1">IF(tblRentRoll[[#This Row],[Status]]&lt;&gt;"Occupied","", IF(tblRentRoll[[#This Row],[Month_to_Expiry]]&lt;=3, "0-3 Monaten",  IF(tblRentRoll[[#This Row],[Month_to_Expiry]]&lt;=6, "3-6 Monaten", IF(tblRentRoll[[#This Row],[Month_to_Expiry]]&lt;=12,"6-12 Monaten", IF(tblRentRoll[[#This Row],[Month_to_Expiry]]&gt;=12, "12 M+",)))))</f>
        <v>0-3 Monaten</v>
      </c>
      <c r="W412">
        <f>IF(tblRentRoll[[#This Row],[Status]]="Vacant", tblRentRoll[[#This Row],[Area_sqm]],0)</f>
        <v>0</v>
      </c>
      <c r="X412" s="3">
        <f>IF(tblRentRoll[[#This Row],[Status]]="Occupied", tblRentRoll[[#This Row],[Area_sqm]],0)</f>
        <v>786</v>
      </c>
      <c r="Y412" s="3">
        <f ca="1">tblRentRoll[[#This Row],[Month_to_Expiry]]/12*tblRentRoll[[#This Row],[Annual_Rent_EUR]]</f>
        <v>0</v>
      </c>
      <c r="Z412" s="3"/>
    </row>
    <row r="413" spans="1:26" x14ac:dyDescent="0.35">
      <c r="A413" t="s">
        <v>56</v>
      </c>
      <c r="B413" t="s">
        <v>599</v>
      </c>
      <c r="C413" t="s">
        <v>14</v>
      </c>
      <c r="D413">
        <v>1005</v>
      </c>
      <c r="E413" t="s">
        <v>15</v>
      </c>
      <c r="F413" t="s">
        <v>74</v>
      </c>
      <c r="G413">
        <v>16317.2</v>
      </c>
      <c r="H413">
        <v>195806.4</v>
      </c>
      <c r="I413" s="2">
        <f>tblRentRoll[[#This Row],[Monthly_Rent_EUR]]*12</f>
        <v>195806.40000000002</v>
      </c>
      <c r="J413" s="2" t="str">
        <f>IF(tblRentRoll[[#This Row],[Annual_Rent_EUR]]&lt;&gt;tblRentRoll[[#This Row],[Jahresrente_EUR]], "FALSCH", "")</f>
        <v/>
      </c>
      <c r="K413" s="1">
        <v>44744</v>
      </c>
      <c r="L413" s="1">
        <v>46465</v>
      </c>
      <c r="M413">
        <v>2347.85</v>
      </c>
      <c r="N413">
        <v>769.89</v>
      </c>
      <c r="O41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3" t="str">
        <f>IF(tblRentRoll[[#This Row],[Area_sqm]]&lt;=0,"Area&lt;=0","")</f>
        <v/>
      </c>
      <c r="Q413" t="str">
        <f>IF(tblRentRoll[[#This Row],[Monthly_Rent_EUR]]&lt;=0,"Rent&lt;=0","")</f>
        <v/>
      </c>
      <c r="R413">
        <f>IF(AND(tblRentRoll[[#This Row],[Status]]="Occupied", tblRentRoll[[#This Row],[Area_sqm]]&gt;0), tblRentRoll[[#This Row],[Annual_Rent_EUR]]/tblRentRoll[[#This Row],[Area_sqm]],"")</f>
        <v>194.83223880597015</v>
      </c>
      <c r="S413">
        <f>tblRentRoll[[#This Row],[Service_Charge_EUR]]+tblRentRoll[[#This Row],[Operating_Cost_EUR]]</f>
        <v>3117.74</v>
      </c>
      <c r="T413">
        <f>IF(tblRentRoll[[#This Row],[Annual_Rent_EUR]]&lt;&gt;0,tblRentRoll[[#This Row],[Annual_Rent_EUR]]-tblRentRoll[[#This Row],[Operating_Cost_EUR]], "")</f>
        <v>195036.50999999998</v>
      </c>
      <c r="U413">
        <f ca="1">IF(AND(tblRentRoll[[#This Row],[Status]]="Occupied",tblRentRoll[[#This Row],[Lease_End]]&gt;=TODAY()),DATEDIF(TODAY(),tblRentRoll[[#This Row],[Lease_End]],"m"), 0)</f>
        <v>12</v>
      </c>
      <c r="V413" t="str">
        <f ca="1">IF(tblRentRoll[[#This Row],[Status]]&lt;&gt;"Occupied","", IF(tblRentRoll[[#This Row],[Month_to_Expiry]]&lt;=3, "0-3 Monaten",  IF(tblRentRoll[[#This Row],[Month_to_Expiry]]&lt;=6, "3-6 Monaten", IF(tblRentRoll[[#This Row],[Month_to_Expiry]]&lt;=12,"6-12 Monaten", IF(tblRentRoll[[#This Row],[Month_to_Expiry]]&gt;=12, "12 M+",)))))</f>
        <v>6-12 Monaten</v>
      </c>
      <c r="W413">
        <f>IF(tblRentRoll[[#This Row],[Status]]="Vacant", tblRentRoll[[#This Row],[Area_sqm]],0)</f>
        <v>0</v>
      </c>
      <c r="X413" s="3">
        <f>IF(tblRentRoll[[#This Row],[Status]]="Occupied", tblRentRoll[[#This Row],[Area_sqm]],0)</f>
        <v>1005</v>
      </c>
      <c r="Y413" s="3">
        <f ca="1">tblRentRoll[[#This Row],[Month_to_Expiry]]/12*tblRentRoll[[#This Row],[Annual_Rent_EUR]]</f>
        <v>195806.4</v>
      </c>
      <c r="Z413" s="3"/>
    </row>
    <row r="414" spans="1:26" x14ac:dyDescent="0.35">
      <c r="A414" t="s">
        <v>17</v>
      </c>
      <c r="B414" t="s">
        <v>600</v>
      </c>
      <c r="C414" t="s">
        <v>14</v>
      </c>
      <c r="D414">
        <v>1428</v>
      </c>
      <c r="E414" t="s">
        <v>15</v>
      </c>
      <c r="F414" t="s">
        <v>217</v>
      </c>
      <c r="G414">
        <v>21891.19</v>
      </c>
      <c r="H414">
        <v>262694.28000000003</v>
      </c>
      <c r="I414" s="2">
        <f>tblRentRoll[[#This Row],[Monthly_Rent_EUR]]*12</f>
        <v>262694.27999999997</v>
      </c>
      <c r="J414" s="2" t="str">
        <f>IF(tblRentRoll[[#This Row],[Annual_Rent_EUR]]&lt;&gt;tblRentRoll[[#This Row],[Jahresrente_EUR]], "FALSCH", "")</f>
        <v/>
      </c>
      <c r="K414" s="1">
        <v>44758</v>
      </c>
      <c r="L414" s="1">
        <v>46235</v>
      </c>
      <c r="M414">
        <v>1939.56</v>
      </c>
      <c r="N414">
        <v>843.81</v>
      </c>
      <c r="O41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4" t="str">
        <f>IF(tblRentRoll[[#This Row],[Area_sqm]]&lt;=0,"Area&lt;=0","")</f>
        <v/>
      </c>
      <c r="Q414" t="str">
        <f>IF(tblRentRoll[[#This Row],[Monthly_Rent_EUR]]&lt;=0,"Rent&lt;=0","")</f>
        <v/>
      </c>
      <c r="R414">
        <f>IF(AND(tblRentRoll[[#This Row],[Status]]="Occupied", tblRentRoll[[#This Row],[Area_sqm]]&gt;0), tblRentRoll[[#This Row],[Annual_Rent_EUR]]/tblRentRoll[[#This Row],[Area_sqm]],"")</f>
        <v>183.95957983193279</v>
      </c>
      <c r="S414">
        <f>tblRentRoll[[#This Row],[Service_Charge_EUR]]+tblRentRoll[[#This Row],[Operating_Cost_EUR]]</f>
        <v>2783.37</v>
      </c>
      <c r="T414">
        <f>IF(tblRentRoll[[#This Row],[Annual_Rent_EUR]]&lt;&gt;0,tblRentRoll[[#This Row],[Annual_Rent_EUR]]-tblRentRoll[[#This Row],[Operating_Cost_EUR]], "")</f>
        <v>261850.47000000003</v>
      </c>
      <c r="U414">
        <f ca="1">IF(AND(tblRentRoll[[#This Row],[Status]]="Occupied",tblRentRoll[[#This Row],[Lease_End]]&gt;=TODAY()),DATEDIF(TODAY(),tblRentRoll[[#This Row],[Lease_End]],"m"), 0)</f>
        <v>4</v>
      </c>
      <c r="V414" t="str">
        <f ca="1">IF(tblRentRoll[[#This Row],[Status]]&lt;&gt;"Occupied","", IF(tblRentRoll[[#This Row],[Month_to_Expiry]]&lt;=3, "0-3 Monaten",  IF(tblRentRoll[[#This Row],[Month_to_Expiry]]&lt;=6, "3-6 Monaten", IF(tblRentRoll[[#This Row],[Month_to_Expiry]]&lt;=12,"6-12 Monaten", IF(tblRentRoll[[#This Row],[Month_to_Expiry]]&gt;=12, "12 M+",)))))</f>
        <v>3-6 Monaten</v>
      </c>
      <c r="W414">
        <f>IF(tblRentRoll[[#This Row],[Status]]="Vacant", tblRentRoll[[#This Row],[Area_sqm]],0)</f>
        <v>0</v>
      </c>
      <c r="X414" s="3">
        <f>IF(tblRentRoll[[#This Row],[Status]]="Occupied", tblRentRoll[[#This Row],[Area_sqm]],0)</f>
        <v>1428</v>
      </c>
      <c r="Y414" s="3">
        <f ca="1">tblRentRoll[[#This Row],[Month_to_Expiry]]/12*tblRentRoll[[#This Row],[Annual_Rent_EUR]]</f>
        <v>87564.760000000009</v>
      </c>
      <c r="Z414" s="3"/>
    </row>
    <row r="415" spans="1:26" x14ac:dyDescent="0.35">
      <c r="A415" t="s">
        <v>44</v>
      </c>
      <c r="B415" t="s">
        <v>601</v>
      </c>
      <c r="C415" t="s">
        <v>19</v>
      </c>
      <c r="D415">
        <v>575</v>
      </c>
      <c r="E415" t="s">
        <v>15</v>
      </c>
      <c r="F415" t="s">
        <v>169</v>
      </c>
      <c r="G415">
        <v>8135.46</v>
      </c>
      <c r="H415">
        <v>97625.52</v>
      </c>
      <c r="I415" s="2">
        <f>tblRentRoll[[#This Row],[Monthly_Rent_EUR]]*12</f>
        <v>97625.52</v>
      </c>
      <c r="J415" s="2" t="str">
        <f>IF(tblRentRoll[[#This Row],[Annual_Rent_EUR]]&lt;&gt;tblRentRoll[[#This Row],[Jahresrente_EUR]], "FALSCH", "")</f>
        <v/>
      </c>
      <c r="K415" s="1">
        <v>44585</v>
      </c>
      <c r="L415" s="1">
        <v>46332</v>
      </c>
      <c r="M415">
        <v>719.52</v>
      </c>
      <c r="N415">
        <v>525.37</v>
      </c>
      <c r="O41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5" t="str">
        <f>IF(tblRentRoll[[#This Row],[Area_sqm]]&lt;=0,"Area&lt;=0","")</f>
        <v/>
      </c>
      <c r="Q415" t="str">
        <f>IF(tblRentRoll[[#This Row],[Monthly_Rent_EUR]]&lt;=0,"Rent&lt;=0","")</f>
        <v/>
      </c>
      <c r="R415">
        <f>IF(AND(tblRentRoll[[#This Row],[Status]]="Occupied", tblRentRoll[[#This Row],[Area_sqm]]&gt;0), tblRentRoll[[#This Row],[Annual_Rent_EUR]]/tblRentRoll[[#This Row],[Area_sqm]],"")</f>
        <v>169.78351304347828</v>
      </c>
      <c r="S415">
        <f>tblRentRoll[[#This Row],[Service_Charge_EUR]]+tblRentRoll[[#This Row],[Operating_Cost_EUR]]</f>
        <v>1244.8899999999999</v>
      </c>
      <c r="T415">
        <f>IF(tblRentRoll[[#This Row],[Annual_Rent_EUR]]&lt;&gt;0,tblRentRoll[[#This Row],[Annual_Rent_EUR]]-tblRentRoll[[#This Row],[Operating_Cost_EUR]], "")</f>
        <v>97100.150000000009</v>
      </c>
      <c r="U415">
        <f ca="1">IF(AND(tblRentRoll[[#This Row],[Status]]="Occupied",tblRentRoll[[#This Row],[Lease_End]]&gt;=TODAY()),DATEDIF(TODAY(),tblRentRoll[[#This Row],[Lease_End]],"m"), 0)</f>
        <v>7</v>
      </c>
      <c r="V415" t="str">
        <f ca="1">IF(tblRentRoll[[#This Row],[Status]]&lt;&gt;"Occupied","", IF(tblRentRoll[[#This Row],[Month_to_Expiry]]&lt;=3, "0-3 Monaten",  IF(tblRentRoll[[#This Row],[Month_to_Expiry]]&lt;=6, "3-6 Monaten", IF(tblRentRoll[[#This Row],[Month_to_Expiry]]&lt;=12,"6-12 Monaten", IF(tblRentRoll[[#This Row],[Month_to_Expiry]]&gt;=12, "12 M+",)))))</f>
        <v>6-12 Monaten</v>
      </c>
      <c r="W415">
        <f>IF(tblRentRoll[[#This Row],[Status]]="Vacant", tblRentRoll[[#This Row],[Area_sqm]],0)</f>
        <v>0</v>
      </c>
      <c r="X415" s="3">
        <f>IF(tblRentRoll[[#This Row],[Status]]="Occupied", tblRentRoll[[#This Row],[Area_sqm]],0)</f>
        <v>575</v>
      </c>
      <c r="Y415" s="3">
        <f ca="1">tblRentRoll[[#This Row],[Month_to_Expiry]]/12*tblRentRoll[[#This Row],[Annual_Rent_EUR]]</f>
        <v>56948.220000000008</v>
      </c>
      <c r="Z415" s="3"/>
    </row>
    <row r="416" spans="1:26" x14ac:dyDescent="0.35">
      <c r="A416" t="s">
        <v>27</v>
      </c>
      <c r="B416" t="s">
        <v>602</v>
      </c>
      <c r="C416" t="s">
        <v>33</v>
      </c>
      <c r="D416">
        <v>761</v>
      </c>
      <c r="E416" t="s">
        <v>15</v>
      </c>
      <c r="F416" t="s">
        <v>280</v>
      </c>
      <c r="G416">
        <v>13490.54</v>
      </c>
      <c r="H416">
        <v>161886.48000000001</v>
      </c>
      <c r="I416" s="2">
        <f>tblRentRoll[[#This Row],[Monthly_Rent_EUR]]*12</f>
        <v>161886.48000000001</v>
      </c>
      <c r="J416" s="2" t="str">
        <f>IF(tblRentRoll[[#This Row],[Annual_Rent_EUR]]&lt;&gt;tblRentRoll[[#This Row],[Jahresrente_EUR]], "FALSCH", "")</f>
        <v/>
      </c>
      <c r="K416" s="1">
        <v>44570</v>
      </c>
      <c r="L416" s="1">
        <v>45533</v>
      </c>
      <c r="M416">
        <v>1816.2</v>
      </c>
      <c r="N416">
        <v>1664.72</v>
      </c>
      <c r="O41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6" t="str">
        <f>IF(tblRentRoll[[#This Row],[Area_sqm]]&lt;=0,"Area&lt;=0","")</f>
        <v/>
      </c>
      <c r="Q416" t="str">
        <f>IF(tblRentRoll[[#This Row],[Monthly_Rent_EUR]]&lt;=0,"Rent&lt;=0","")</f>
        <v/>
      </c>
      <c r="R416">
        <f>IF(AND(tblRentRoll[[#This Row],[Status]]="Occupied", tblRentRoll[[#This Row],[Area_sqm]]&gt;0), tblRentRoll[[#This Row],[Annual_Rent_EUR]]/tblRentRoll[[#This Row],[Area_sqm]],"")</f>
        <v>212.7286202365309</v>
      </c>
      <c r="S416">
        <f>tblRentRoll[[#This Row],[Service_Charge_EUR]]+tblRentRoll[[#This Row],[Operating_Cost_EUR]]</f>
        <v>3480.92</v>
      </c>
      <c r="T416">
        <f>IF(tblRentRoll[[#This Row],[Annual_Rent_EUR]]&lt;&gt;0,tblRentRoll[[#This Row],[Annual_Rent_EUR]]-tblRentRoll[[#This Row],[Operating_Cost_EUR]], "")</f>
        <v>160221.76000000001</v>
      </c>
      <c r="U416">
        <f ca="1">IF(AND(tblRentRoll[[#This Row],[Status]]="Occupied",tblRentRoll[[#This Row],[Lease_End]]&gt;=TODAY()),DATEDIF(TODAY(),tblRentRoll[[#This Row],[Lease_End]],"m"), 0)</f>
        <v>0</v>
      </c>
      <c r="V416" t="str">
        <f ca="1">IF(tblRentRoll[[#This Row],[Status]]&lt;&gt;"Occupied","", IF(tblRentRoll[[#This Row],[Month_to_Expiry]]&lt;=3, "0-3 Monaten",  IF(tblRentRoll[[#This Row],[Month_to_Expiry]]&lt;=6, "3-6 Monaten", IF(tblRentRoll[[#This Row],[Month_to_Expiry]]&lt;=12,"6-12 Monaten", IF(tblRentRoll[[#This Row],[Month_to_Expiry]]&gt;=12, "12 M+",)))))</f>
        <v>0-3 Monaten</v>
      </c>
      <c r="W416">
        <f>IF(tblRentRoll[[#This Row],[Status]]="Vacant", tblRentRoll[[#This Row],[Area_sqm]],0)</f>
        <v>0</v>
      </c>
      <c r="X416" s="3">
        <f>IF(tblRentRoll[[#This Row],[Status]]="Occupied", tblRentRoll[[#This Row],[Area_sqm]],0)</f>
        <v>761</v>
      </c>
      <c r="Y416" s="3">
        <f ca="1">tblRentRoll[[#This Row],[Month_to_Expiry]]/12*tblRentRoll[[#This Row],[Annual_Rent_EUR]]</f>
        <v>0</v>
      </c>
      <c r="Z416" s="3"/>
    </row>
    <row r="417" spans="1:26" x14ac:dyDescent="0.35">
      <c r="A417" t="s">
        <v>12</v>
      </c>
      <c r="B417" t="s">
        <v>603</v>
      </c>
      <c r="C417" t="s">
        <v>29</v>
      </c>
      <c r="D417">
        <v>1142</v>
      </c>
      <c r="E417" t="s">
        <v>15</v>
      </c>
      <c r="F417" t="s">
        <v>300</v>
      </c>
      <c r="G417">
        <v>12479.16</v>
      </c>
      <c r="H417">
        <v>149749.92000000001</v>
      </c>
      <c r="I417" s="2">
        <f>tblRentRoll[[#This Row],[Monthly_Rent_EUR]]*12</f>
        <v>149749.91999999998</v>
      </c>
      <c r="J417" s="2" t="str">
        <f>IF(tblRentRoll[[#This Row],[Annual_Rent_EUR]]&lt;&gt;tblRentRoll[[#This Row],[Jahresrente_EUR]], "FALSCH", "")</f>
        <v/>
      </c>
      <c r="K417" s="1">
        <v>44846</v>
      </c>
      <c r="L417" s="1">
        <v>46666</v>
      </c>
      <c r="M417">
        <v>1522.32</v>
      </c>
      <c r="N417">
        <v>2619.02</v>
      </c>
      <c r="O41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7" t="str">
        <f>IF(tblRentRoll[[#This Row],[Area_sqm]]&lt;=0,"Area&lt;=0","")</f>
        <v/>
      </c>
      <c r="Q417" t="str">
        <f>IF(tblRentRoll[[#This Row],[Monthly_Rent_EUR]]&lt;=0,"Rent&lt;=0","")</f>
        <v/>
      </c>
      <c r="R417">
        <f>IF(AND(tblRentRoll[[#This Row],[Status]]="Occupied", tblRentRoll[[#This Row],[Area_sqm]]&gt;0), tblRentRoll[[#This Row],[Annual_Rent_EUR]]/tblRentRoll[[#This Row],[Area_sqm]],"")</f>
        <v>131.12952714535902</v>
      </c>
      <c r="S417">
        <f>tblRentRoll[[#This Row],[Service_Charge_EUR]]+tblRentRoll[[#This Row],[Operating_Cost_EUR]]</f>
        <v>4141.34</v>
      </c>
      <c r="T417">
        <f>IF(tblRentRoll[[#This Row],[Annual_Rent_EUR]]&lt;&gt;0,tblRentRoll[[#This Row],[Annual_Rent_EUR]]-tblRentRoll[[#This Row],[Operating_Cost_EUR]], "")</f>
        <v>147130.90000000002</v>
      </c>
      <c r="U417">
        <f ca="1">IF(AND(tblRentRoll[[#This Row],[Status]]="Occupied",tblRentRoll[[#This Row],[Lease_End]]&gt;=TODAY()),DATEDIF(TODAY(),tblRentRoll[[#This Row],[Lease_End]],"m"), 0)</f>
        <v>18</v>
      </c>
      <c r="V417" t="str">
        <f ca="1">IF(tblRentRoll[[#This Row],[Status]]&lt;&gt;"Occupied","", IF(tblRentRoll[[#This Row],[Month_to_Expiry]]&lt;=3, "0-3 Monaten",  IF(tblRentRoll[[#This Row],[Month_to_Expiry]]&lt;=6, "3-6 Monaten", IF(tblRentRoll[[#This Row],[Month_to_Expiry]]&lt;=12,"6-12 Monaten", IF(tblRentRoll[[#This Row],[Month_to_Expiry]]&gt;=12, "12 M+",)))))</f>
        <v>12 M+</v>
      </c>
      <c r="W417">
        <f>IF(tblRentRoll[[#This Row],[Status]]="Vacant", tblRentRoll[[#This Row],[Area_sqm]],0)</f>
        <v>0</v>
      </c>
      <c r="X417" s="3">
        <f>IF(tblRentRoll[[#This Row],[Status]]="Occupied", tblRentRoll[[#This Row],[Area_sqm]],0)</f>
        <v>1142</v>
      </c>
      <c r="Y417" s="3">
        <f ca="1">tblRentRoll[[#This Row],[Month_to_Expiry]]/12*tblRentRoll[[#This Row],[Annual_Rent_EUR]]</f>
        <v>224624.88</v>
      </c>
      <c r="Z417" s="3"/>
    </row>
    <row r="418" spans="1:26" x14ac:dyDescent="0.35">
      <c r="A418" t="s">
        <v>24</v>
      </c>
      <c r="B418" t="s">
        <v>604</v>
      </c>
      <c r="C418" t="s">
        <v>29</v>
      </c>
      <c r="D418">
        <v>499</v>
      </c>
      <c r="E418" t="s">
        <v>15</v>
      </c>
      <c r="F418" t="s">
        <v>605</v>
      </c>
      <c r="G418">
        <v>3728.12</v>
      </c>
      <c r="H418">
        <v>44737.440000000002</v>
      </c>
      <c r="I418" s="2">
        <f>tblRentRoll[[#This Row],[Monthly_Rent_EUR]]*12</f>
        <v>44737.440000000002</v>
      </c>
      <c r="J418" s="2" t="str">
        <f>IF(tblRentRoll[[#This Row],[Annual_Rent_EUR]]&lt;&gt;tblRentRoll[[#This Row],[Jahresrente_EUR]], "FALSCH", "")</f>
        <v/>
      </c>
      <c r="K418" s="1">
        <v>44400</v>
      </c>
      <c r="L418" s="1">
        <v>46185</v>
      </c>
      <c r="M418">
        <v>1136.1199999999999</v>
      </c>
      <c r="N418">
        <v>636.99</v>
      </c>
      <c r="O41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8" t="str">
        <f>IF(tblRentRoll[[#This Row],[Area_sqm]]&lt;=0,"Area&lt;=0","")</f>
        <v/>
      </c>
      <c r="Q418" t="str">
        <f>IF(tblRentRoll[[#This Row],[Monthly_Rent_EUR]]&lt;=0,"Rent&lt;=0","")</f>
        <v/>
      </c>
      <c r="R418">
        <f>IF(AND(tblRentRoll[[#This Row],[Status]]="Occupied", tblRentRoll[[#This Row],[Area_sqm]]&gt;0), tblRentRoll[[#This Row],[Annual_Rent_EUR]]/tblRentRoll[[#This Row],[Area_sqm]],"")</f>
        <v>89.65418837675351</v>
      </c>
      <c r="S418">
        <f>tblRentRoll[[#This Row],[Service_Charge_EUR]]+tblRentRoll[[#This Row],[Operating_Cost_EUR]]</f>
        <v>1773.11</v>
      </c>
      <c r="T418">
        <f>IF(tblRentRoll[[#This Row],[Annual_Rent_EUR]]&lt;&gt;0,tblRentRoll[[#This Row],[Annual_Rent_EUR]]-tblRentRoll[[#This Row],[Operating_Cost_EUR]], "")</f>
        <v>44100.450000000004</v>
      </c>
      <c r="U418">
        <f ca="1">IF(AND(tblRentRoll[[#This Row],[Status]]="Occupied",tblRentRoll[[#This Row],[Lease_End]]&gt;=TODAY()),DATEDIF(TODAY(),tblRentRoll[[#This Row],[Lease_End]],"m"), 0)</f>
        <v>3</v>
      </c>
      <c r="V418" t="str">
        <f ca="1">IF(tblRentRoll[[#This Row],[Status]]&lt;&gt;"Occupied","", IF(tblRentRoll[[#This Row],[Month_to_Expiry]]&lt;=3, "0-3 Monaten",  IF(tblRentRoll[[#This Row],[Month_to_Expiry]]&lt;=6, "3-6 Monaten", IF(tblRentRoll[[#This Row],[Month_to_Expiry]]&lt;=12,"6-12 Monaten", IF(tblRentRoll[[#This Row],[Month_to_Expiry]]&gt;=12, "12 M+",)))))</f>
        <v>0-3 Monaten</v>
      </c>
      <c r="W418">
        <f>IF(tblRentRoll[[#This Row],[Status]]="Vacant", tblRentRoll[[#This Row],[Area_sqm]],0)</f>
        <v>0</v>
      </c>
      <c r="X418" s="3">
        <f>IF(tblRentRoll[[#This Row],[Status]]="Occupied", tblRentRoll[[#This Row],[Area_sqm]],0)</f>
        <v>499</v>
      </c>
      <c r="Y418" s="3">
        <f ca="1">tblRentRoll[[#This Row],[Month_to_Expiry]]/12*tblRentRoll[[#This Row],[Annual_Rent_EUR]]</f>
        <v>11184.36</v>
      </c>
      <c r="Z418" s="3"/>
    </row>
    <row r="419" spans="1:26" x14ac:dyDescent="0.35">
      <c r="A419" t="s">
        <v>31</v>
      </c>
      <c r="B419" t="s">
        <v>606</v>
      </c>
      <c r="C419" t="s">
        <v>14</v>
      </c>
      <c r="D419">
        <v>961</v>
      </c>
      <c r="E419" t="s">
        <v>15</v>
      </c>
      <c r="F419" t="s">
        <v>106</v>
      </c>
      <c r="G419">
        <v>6738.65</v>
      </c>
      <c r="H419">
        <v>80863.8</v>
      </c>
      <c r="I419" s="2">
        <f>tblRentRoll[[#This Row],[Monthly_Rent_EUR]]*12</f>
        <v>80863.799999999988</v>
      </c>
      <c r="J419" s="2" t="str">
        <f>IF(tblRentRoll[[#This Row],[Annual_Rent_EUR]]&lt;&gt;tblRentRoll[[#This Row],[Jahresrente_EUR]], "FALSCH", "")</f>
        <v/>
      </c>
      <c r="K419" s="1">
        <v>45020</v>
      </c>
      <c r="L419" s="1">
        <v>46571</v>
      </c>
      <c r="M419">
        <v>2801.66</v>
      </c>
      <c r="N419">
        <v>1999.52</v>
      </c>
      <c r="O41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19" t="str">
        <f>IF(tblRentRoll[[#This Row],[Area_sqm]]&lt;=0,"Area&lt;=0","")</f>
        <v/>
      </c>
      <c r="Q419" t="str">
        <f>IF(tblRentRoll[[#This Row],[Monthly_Rent_EUR]]&lt;=0,"Rent&lt;=0","")</f>
        <v/>
      </c>
      <c r="R419">
        <f>IF(AND(tblRentRoll[[#This Row],[Status]]="Occupied", tblRentRoll[[#This Row],[Area_sqm]]&gt;0), tblRentRoll[[#This Row],[Annual_Rent_EUR]]/tblRentRoll[[#This Row],[Area_sqm]],"")</f>
        <v>84.145473465140483</v>
      </c>
      <c r="S419">
        <f>tblRentRoll[[#This Row],[Service_Charge_EUR]]+tblRentRoll[[#This Row],[Operating_Cost_EUR]]</f>
        <v>4801.18</v>
      </c>
      <c r="T419">
        <f>IF(tblRentRoll[[#This Row],[Annual_Rent_EUR]]&lt;&gt;0,tblRentRoll[[#This Row],[Annual_Rent_EUR]]-tblRentRoll[[#This Row],[Operating_Cost_EUR]], "")</f>
        <v>78864.28</v>
      </c>
      <c r="U419">
        <f ca="1">IF(AND(tblRentRoll[[#This Row],[Status]]="Occupied",tblRentRoll[[#This Row],[Lease_End]]&gt;=TODAY()),DATEDIF(TODAY(),tblRentRoll[[#This Row],[Lease_End]],"m"), 0)</f>
        <v>15</v>
      </c>
      <c r="V419" t="str">
        <f ca="1">IF(tblRentRoll[[#This Row],[Status]]&lt;&gt;"Occupied","", IF(tblRentRoll[[#This Row],[Month_to_Expiry]]&lt;=3, "0-3 Monaten",  IF(tblRentRoll[[#This Row],[Month_to_Expiry]]&lt;=6, "3-6 Monaten", IF(tblRentRoll[[#This Row],[Month_to_Expiry]]&lt;=12,"6-12 Monaten", IF(tblRentRoll[[#This Row],[Month_to_Expiry]]&gt;=12, "12 M+",)))))</f>
        <v>12 M+</v>
      </c>
      <c r="W419">
        <f>IF(tblRentRoll[[#This Row],[Status]]="Vacant", tblRentRoll[[#This Row],[Area_sqm]],0)</f>
        <v>0</v>
      </c>
      <c r="X419" s="3">
        <f>IF(tblRentRoll[[#This Row],[Status]]="Occupied", tblRentRoll[[#This Row],[Area_sqm]],0)</f>
        <v>961</v>
      </c>
      <c r="Y419" s="3">
        <f ca="1">tblRentRoll[[#This Row],[Month_to_Expiry]]/12*tblRentRoll[[#This Row],[Annual_Rent_EUR]]</f>
        <v>101079.75</v>
      </c>
      <c r="Z419" s="3"/>
    </row>
    <row r="420" spans="1:26" x14ac:dyDescent="0.35">
      <c r="A420" t="s">
        <v>31</v>
      </c>
      <c r="B420" t="s">
        <v>607</v>
      </c>
      <c r="C420" t="s">
        <v>29</v>
      </c>
      <c r="D420">
        <v>1206</v>
      </c>
      <c r="E420" t="s">
        <v>15</v>
      </c>
      <c r="F420" t="s">
        <v>175</v>
      </c>
      <c r="G420">
        <v>7960.18</v>
      </c>
      <c r="H420">
        <v>95522.16</v>
      </c>
      <c r="I420" s="2">
        <f>tblRentRoll[[#This Row],[Monthly_Rent_EUR]]*12</f>
        <v>95522.16</v>
      </c>
      <c r="J420" s="2" t="str">
        <f>IF(tblRentRoll[[#This Row],[Annual_Rent_EUR]]&lt;&gt;tblRentRoll[[#This Row],[Jahresrente_EUR]], "FALSCH", "")</f>
        <v/>
      </c>
      <c r="K420" s="1">
        <v>44403</v>
      </c>
      <c r="L420" s="1">
        <v>45428</v>
      </c>
      <c r="M420">
        <v>1445.77</v>
      </c>
      <c r="N420">
        <v>1462.86</v>
      </c>
      <c r="O42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0" t="str">
        <f>IF(tblRentRoll[[#This Row],[Area_sqm]]&lt;=0,"Area&lt;=0","")</f>
        <v/>
      </c>
      <c r="Q420" t="str">
        <f>IF(tblRentRoll[[#This Row],[Monthly_Rent_EUR]]&lt;=0,"Rent&lt;=0","")</f>
        <v/>
      </c>
      <c r="R420">
        <f>IF(AND(tblRentRoll[[#This Row],[Status]]="Occupied", tblRentRoll[[#This Row],[Area_sqm]]&gt;0), tblRentRoll[[#This Row],[Annual_Rent_EUR]]/tblRentRoll[[#This Row],[Area_sqm]],"")</f>
        <v>79.205771144278614</v>
      </c>
      <c r="S420">
        <f>tblRentRoll[[#This Row],[Service_Charge_EUR]]+tblRentRoll[[#This Row],[Operating_Cost_EUR]]</f>
        <v>2908.63</v>
      </c>
      <c r="T420">
        <f>IF(tblRentRoll[[#This Row],[Annual_Rent_EUR]]&lt;&gt;0,tblRentRoll[[#This Row],[Annual_Rent_EUR]]-tblRentRoll[[#This Row],[Operating_Cost_EUR]], "")</f>
        <v>94059.3</v>
      </c>
      <c r="U420">
        <f ca="1">IF(AND(tblRentRoll[[#This Row],[Status]]="Occupied",tblRentRoll[[#This Row],[Lease_End]]&gt;=TODAY()),DATEDIF(TODAY(),tblRentRoll[[#This Row],[Lease_End]],"m"), 0)</f>
        <v>0</v>
      </c>
      <c r="V420" t="str">
        <f ca="1">IF(tblRentRoll[[#This Row],[Status]]&lt;&gt;"Occupied","", IF(tblRentRoll[[#This Row],[Month_to_Expiry]]&lt;=3, "0-3 Monaten",  IF(tblRentRoll[[#This Row],[Month_to_Expiry]]&lt;=6, "3-6 Monaten", IF(tblRentRoll[[#This Row],[Month_to_Expiry]]&lt;=12,"6-12 Monaten", IF(tblRentRoll[[#This Row],[Month_to_Expiry]]&gt;=12, "12 M+",)))))</f>
        <v>0-3 Monaten</v>
      </c>
      <c r="W420">
        <f>IF(tblRentRoll[[#This Row],[Status]]="Vacant", tblRentRoll[[#This Row],[Area_sqm]],0)</f>
        <v>0</v>
      </c>
      <c r="X420" s="3">
        <f>IF(tblRentRoll[[#This Row],[Status]]="Occupied", tblRentRoll[[#This Row],[Area_sqm]],0)</f>
        <v>1206</v>
      </c>
      <c r="Y420" s="3">
        <f ca="1">tblRentRoll[[#This Row],[Month_to_Expiry]]/12*tblRentRoll[[#This Row],[Annual_Rent_EUR]]</f>
        <v>0</v>
      </c>
      <c r="Z420" s="3"/>
    </row>
    <row r="421" spans="1:26" x14ac:dyDescent="0.35">
      <c r="A421" t="s">
        <v>24</v>
      </c>
      <c r="B421" t="s">
        <v>608</v>
      </c>
      <c r="C421" t="s">
        <v>14</v>
      </c>
      <c r="D421">
        <v>85</v>
      </c>
      <c r="E421" t="s">
        <v>15</v>
      </c>
      <c r="F421" t="s">
        <v>609</v>
      </c>
      <c r="G421">
        <v>916.71</v>
      </c>
      <c r="H421">
        <v>11000.52</v>
      </c>
      <c r="I421" s="2">
        <f>tblRentRoll[[#This Row],[Monthly_Rent_EUR]]*12</f>
        <v>11000.52</v>
      </c>
      <c r="J421" s="2" t="str">
        <f>IF(tblRentRoll[[#This Row],[Annual_Rent_EUR]]&lt;&gt;tblRentRoll[[#This Row],[Jahresrente_EUR]], "FALSCH", "")</f>
        <v/>
      </c>
      <c r="K421" s="1">
        <v>44565</v>
      </c>
      <c r="L421" s="1">
        <v>45647</v>
      </c>
      <c r="M421">
        <v>244.43</v>
      </c>
      <c r="N421">
        <v>189.9</v>
      </c>
      <c r="O42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1" t="str">
        <f>IF(tblRentRoll[[#This Row],[Area_sqm]]&lt;=0,"Area&lt;=0","")</f>
        <v/>
      </c>
      <c r="Q421" t="str">
        <f>IF(tblRentRoll[[#This Row],[Monthly_Rent_EUR]]&lt;=0,"Rent&lt;=0","")</f>
        <v/>
      </c>
      <c r="R421">
        <f>IF(AND(tblRentRoll[[#This Row],[Status]]="Occupied", tblRentRoll[[#This Row],[Area_sqm]]&gt;0), tblRentRoll[[#This Row],[Annual_Rent_EUR]]/tblRentRoll[[#This Row],[Area_sqm]],"")</f>
        <v>129.41788235294118</v>
      </c>
      <c r="S421">
        <f>tblRentRoll[[#This Row],[Service_Charge_EUR]]+tblRentRoll[[#This Row],[Operating_Cost_EUR]]</f>
        <v>434.33000000000004</v>
      </c>
      <c r="T421">
        <f>IF(tblRentRoll[[#This Row],[Annual_Rent_EUR]]&lt;&gt;0,tblRentRoll[[#This Row],[Annual_Rent_EUR]]-tblRentRoll[[#This Row],[Operating_Cost_EUR]], "")</f>
        <v>10810.62</v>
      </c>
      <c r="U421">
        <f ca="1">IF(AND(tblRentRoll[[#This Row],[Status]]="Occupied",tblRentRoll[[#This Row],[Lease_End]]&gt;=TODAY()),DATEDIF(TODAY(),tblRentRoll[[#This Row],[Lease_End]],"m"), 0)</f>
        <v>0</v>
      </c>
      <c r="V421" t="str">
        <f ca="1">IF(tblRentRoll[[#This Row],[Status]]&lt;&gt;"Occupied","", IF(tblRentRoll[[#This Row],[Month_to_Expiry]]&lt;=3, "0-3 Monaten",  IF(tblRentRoll[[#This Row],[Month_to_Expiry]]&lt;=6, "3-6 Monaten", IF(tblRentRoll[[#This Row],[Month_to_Expiry]]&lt;=12,"6-12 Monaten", IF(tblRentRoll[[#This Row],[Month_to_Expiry]]&gt;=12, "12 M+",)))))</f>
        <v>0-3 Monaten</v>
      </c>
      <c r="W421">
        <f>IF(tblRentRoll[[#This Row],[Status]]="Vacant", tblRentRoll[[#This Row],[Area_sqm]],0)</f>
        <v>0</v>
      </c>
      <c r="X421" s="3">
        <f>IF(tblRentRoll[[#This Row],[Status]]="Occupied", tblRentRoll[[#This Row],[Area_sqm]],0)</f>
        <v>85</v>
      </c>
      <c r="Y421" s="3">
        <f ca="1">tblRentRoll[[#This Row],[Month_to_Expiry]]/12*tblRentRoll[[#This Row],[Annual_Rent_EUR]]</f>
        <v>0</v>
      </c>
      <c r="Z421" t="e">
        <f>_xlfn.XLOOKUP(A2,K2:K10,M2:M10)</f>
        <v>#N/A</v>
      </c>
    </row>
    <row r="422" spans="1:26" x14ac:dyDescent="0.35">
      <c r="A422" t="s">
        <v>21</v>
      </c>
      <c r="B422" t="s">
        <v>610</v>
      </c>
      <c r="C422" t="s">
        <v>14</v>
      </c>
      <c r="D422">
        <v>36</v>
      </c>
      <c r="E422" t="s">
        <v>20</v>
      </c>
      <c r="G422">
        <v>0</v>
      </c>
      <c r="H422">
        <v>0</v>
      </c>
      <c r="I422" s="2">
        <f>tblRentRoll[[#This Row],[Monthly_Rent_EUR]]*12</f>
        <v>0</v>
      </c>
      <c r="J422" s="2" t="str">
        <f>IF(tblRentRoll[[#This Row],[Annual_Rent_EUR]]&lt;&gt;tblRentRoll[[#This Row],[Jahresrente_EUR]], "FALSCH", "")</f>
        <v/>
      </c>
      <c r="K422" t="s">
        <v>24</v>
      </c>
      <c r="M422">
        <v>45.25</v>
      </c>
      <c r="N422">
        <v>27.92</v>
      </c>
      <c r="O42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2" t="str">
        <f>IF(tblRentRoll[[#This Row],[Area_sqm]]&lt;=0,"Area&lt;=0","")</f>
        <v/>
      </c>
      <c r="Q422" t="str">
        <f>IF(tblRentRoll[[#This Row],[Monthly_Rent_EUR]]&lt;=0,"Rent&lt;=0","")</f>
        <v>Rent&lt;=0</v>
      </c>
      <c r="R422" t="str">
        <f>IF(AND(tblRentRoll[[#This Row],[Status]]="Occupied", tblRentRoll[[#This Row],[Area_sqm]]&gt;0), tblRentRoll[[#This Row],[Annual_Rent_EUR]]/tblRentRoll[[#This Row],[Area_sqm]],"")</f>
        <v/>
      </c>
      <c r="S422">
        <f>tblRentRoll[[#This Row],[Service_Charge_EUR]]+tblRentRoll[[#This Row],[Operating_Cost_EUR]]</f>
        <v>73.17</v>
      </c>
      <c r="T422" t="str">
        <f>IF(tblRentRoll[[#This Row],[Annual_Rent_EUR]]&lt;&gt;0,tblRentRoll[[#This Row],[Annual_Rent_EUR]]-tblRentRoll[[#This Row],[Operating_Cost_EUR]], "")</f>
        <v/>
      </c>
      <c r="U422">
        <f ca="1">IF(AND(tblRentRoll[[#This Row],[Status]]="Occupied",tblRentRoll[[#This Row],[Lease_End]]&gt;=TODAY()),DATEDIF(TODAY(),tblRentRoll[[#This Row],[Lease_End]],"m"), 0)</f>
        <v>0</v>
      </c>
      <c r="V422" t="str">
        <f>IF(tblRentRoll[[#This Row],[Status]]&lt;&gt;"Occupied","", IF(tblRentRoll[[#This Row],[Month_to_Expiry]]&lt;=3, "0-3 Monaten",  IF(tblRentRoll[[#This Row],[Month_to_Expiry]]&lt;=6, "3-6 Monaten", IF(tblRentRoll[[#This Row],[Month_to_Expiry]]&lt;=12,"6-12 Monaten", IF(tblRentRoll[[#This Row],[Month_to_Expiry]]&gt;=12, "12 M+",)))))</f>
        <v/>
      </c>
      <c r="W422">
        <f>IF(tblRentRoll[[#This Row],[Status]]="Vacant", tblRentRoll[[#This Row],[Area_sqm]],0)</f>
        <v>36</v>
      </c>
      <c r="X422" s="3">
        <f>IF(tblRentRoll[[#This Row],[Status]]="Occupied", tblRentRoll[[#This Row],[Area_sqm]],0)</f>
        <v>0</v>
      </c>
      <c r="Y422" s="3">
        <f ca="1">tblRentRoll[[#This Row],[Month_to_Expiry]]/12*tblRentRoll[[#This Row],[Annual_Rent_EUR]]</f>
        <v>0</v>
      </c>
      <c r="Z422" s="3"/>
    </row>
    <row r="423" spans="1:26" x14ac:dyDescent="0.35">
      <c r="A423" t="s">
        <v>17</v>
      </c>
      <c r="B423" t="s">
        <v>611</v>
      </c>
      <c r="C423" t="s">
        <v>19</v>
      </c>
      <c r="D423">
        <v>780</v>
      </c>
      <c r="E423" t="s">
        <v>15</v>
      </c>
      <c r="F423" t="s">
        <v>612</v>
      </c>
      <c r="G423">
        <v>12094.08</v>
      </c>
      <c r="H423">
        <v>145128.95999999999</v>
      </c>
      <c r="I423" s="2">
        <f>tblRentRoll[[#This Row],[Monthly_Rent_EUR]]*12</f>
        <v>145128.95999999999</v>
      </c>
      <c r="J423" s="2" t="str">
        <f>IF(tblRentRoll[[#This Row],[Annual_Rent_EUR]]&lt;&gt;tblRentRoll[[#This Row],[Jahresrente_EUR]], "FALSCH", "")</f>
        <v/>
      </c>
      <c r="K423" s="1">
        <v>44467</v>
      </c>
      <c r="L423" s="1">
        <v>45398</v>
      </c>
      <c r="M423">
        <v>1410.31</v>
      </c>
      <c r="N423">
        <v>475.11</v>
      </c>
      <c r="O42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3" t="str">
        <f>IF(tblRentRoll[[#This Row],[Area_sqm]]&lt;=0,"Area&lt;=0","")</f>
        <v/>
      </c>
      <c r="Q423" t="str">
        <f>IF(tblRentRoll[[#This Row],[Monthly_Rent_EUR]]&lt;=0,"Rent&lt;=0","")</f>
        <v/>
      </c>
      <c r="R423">
        <f>IF(AND(tblRentRoll[[#This Row],[Status]]="Occupied", tblRentRoll[[#This Row],[Area_sqm]]&gt;0), tblRentRoll[[#This Row],[Annual_Rent_EUR]]/tblRentRoll[[#This Row],[Area_sqm]],"")</f>
        <v>186.06276923076922</v>
      </c>
      <c r="S423">
        <f>tblRentRoll[[#This Row],[Service_Charge_EUR]]+tblRentRoll[[#This Row],[Operating_Cost_EUR]]</f>
        <v>1885.42</v>
      </c>
      <c r="T423">
        <f>IF(tblRentRoll[[#This Row],[Annual_Rent_EUR]]&lt;&gt;0,tblRentRoll[[#This Row],[Annual_Rent_EUR]]-tblRentRoll[[#This Row],[Operating_Cost_EUR]], "")</f>
        <v>144653.85</v>
      </c>
      <c r="U423">
        <f ca="1">IF(AND(tblRentRoll[[#This Row],[Status]]="Occupied",tblRentRoll[[#This Row],[Lease_End]]&gt;=TODAY()),DATEDIF(TODAY(),tblRentRoll[[#This Row],[Lease_End]],"m"), 0)</f>
        <v>0</v>
      </c>
      <c r="V423" t="str">
        <f ca="1">IF(tblRentRoll[[#This Row],[Status]]&lt;&gt;"Occupied","", IF(tblRentRoll[[#This Row],[Month_to_Expiry]]&lt;=3, "0-3 Monaten",  IF(tblRentRoll[[#This Row],[Month_to_Expiry]]&lt;=6, "3-6 Monaten", IF(tblRentRoll[[#This Row],[Month_to_Expiry]]&lt;=12,"6-12 Monaten", IF(tblRentRoll[[#This Row],[Month_to_Expiry]]&gt;=12, "12 M+",)))))</f>
        <v>0-3 Monaten</v>
      </c>
      <c r="W423">
        <f>IF(tblRentRoll[[#This Row],[Status]]="Vacant", tblRentRoll[[#This Row],[Area_sqm]],0)</f>
        <v>0</v>
      </c>
      <c r="X423" s="3">
        <f>IF(tblRentRoll[[#This Row],[Status]]="Occupied", tblRentRoll[[#This Row],[Area_sqm]],0)</f>
        <v>780</v>
      </c>
      <c r="Y423" s="3">
        <f ca="1">tblRentRoll[[#This Row],[Month_to_Expiry]]/12*tblRentRoll[[#This Row],[Annual_Rent_EUR]]</f>
        <v>0</v>
      </c>
      <c r="Z423" s="3"/>
    </row>
    <row r="424" spans="1:26" x14ac:dyDescent="0.35">
      <c r="A424" t="s">
        <v>12</v>
      </c>
      <c r="B424" t="s">
        <v>613</v>
      </c>
      <c r="C424" t="s">
        <v>29</v>
      </c>
      <c r="D424">
        <v>1374</v>
      </c>
      <c r="E424" t="s">
        <v>15</v>
      </c>
      <c r="F424" t="s">
        <v>614</v>
      </c>
      <c r="G424">
        <v>16819.900000000001</v>
      </c>
      <c r="H424">
        <v>201838.8</v>
      </c>
      <c r="I424" s="2">
        <f>tblRentRoll[[#This Row],[Monthly_Rent_EUR]]*12</f>
        <v>201838.80000000002</v>
      </c>
      <c r="J424" s="2" t="str">
        <f>IF(tblRentRoll[[#This Row],[Annual_Rent_EUR]]&lt;&gt;tblRentRoll[[#This Row],[Jahresrente_EUR]], "FALSCH", "")</f>
        <v/>
      </c>
      <c r="K424" s="1">
        <v>45192</v>
      </c>
      <c r="L424" s="1">
        <v>46229</v>
      </c>
      <c r="M424">
        <v>2183.4299999999998</v>
      </c>
      <c r="N424">
        <v>1227.79</v>
      </c>
      <c r="O42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4" t="str">
        <f>IF(tblRentRoll[[#This Row],[Area_sqm]]&lt;=0,"Area&lt;=0","")</f>
        <v/>
      </c>
      <c r="Q424" t="str">
        <f>IF(tblRentRoll[[#This Row],[Monthly_Rent_EUR]]&lt;=0,"Rent&lt;=0","")</f>
        <v/>
      </c>
      <c r="R424">
        <f>IF(AND(tblRentRoll[[#This Row],[Status]]="Occupied", tblRentRoll[[#This Row],[Area_sqm]]&gt;0), tblRentRoll[[#This Row],[Annual_Rent_EUR]]/tblRentRoll[[#This Row],[Area_sqm]],"")</f>
        <v>146.89868995633188</v>
      </c>
      <c r="S424">
        <f>tblRentRoll[[#This Row],[Service_Charge_EUR]]+tblRentRoll[[#This Row],[Operating_Cost_EUR]]</f>
        <v>3411.22</v>
      </c>
      <c r="T424">
        <f>IF(tblRentRoll[[#This Row],[Annual_Rent_EUR]]&lt;&gt;0,tblRentRoll[[#This Row],[Annual_Rent_EUR]]-tblRentRoll[[#This Row],[Operating_Cost_EUR]], "")</f>
        <v>200611.00999999998</v>
      </c>
      <c r="U424">
        <f ca="1">IF(AND(tblRentRoll[[#This Row],[Status]]="Occupied",tblRentRoll[[#This Row],[Lease_End]]&gt;=TODAY()),DATEDIF(TODAY(),tblRentRoll[[#This Row],[Lease_End]],"m"), 0)</f>
        <v>4</v>
      </c>
      <c r="V424" t="str">
        <f ca="1">IF(tblRentRoll[[#This Row],[Status]]&lt;&gt;"Occupied","", IF(tblRentRoll[[#This Row],[Month_to_Expiry]]&lt;=3, "0-3 Monaten",  IF(tblRentRoll[[#This Row],[Month_to_Expiry]]&lt;=6, "3-6 Monaten", IF(tblRentRoll[[#This Row],[Month_to_Expiry]]&lt;=12,"6-12 Monaten", IF(tblRentRoll[[#This Row],[Month_to_Expiry]]&gt;=12, "12 M+",)))))</f>
        <v>3-6 Monaten</v>
      </c>
      <c r="W424">
        <f>IF(tblRentRoll[[#This Row],[Status]]="Vacant", tblRentRoll[[#This Row],[Area_sqm]],0)</f>
        <v>0</v>
      </c>
      <c r="X424" s="3">
        <f>IF(tblRentRoll[[#This Row],[Status]]="Occupied", tblRentRoll[[#This Row],[Area_sqm]],0)</f>
        <v>1374</v>
      </c>
      <c r="Y424" s="3">
        <f ca="1">tblRentRoll[[#This Row],[Month_to_Expiry]]/12*tblRentRoll[[#This Row],[Annual_Rent_EUR]]</f>
        <v>67279.599999999991</v>
      </c>
      <c r="Z424" s="3"/>
    </row>
    <row r="425" spans="1:26" x14ac:dyDescent="0.35">
      <c r="A425" t="s">
        <v>12</v>
      </c>
      <c r="B425" t="s">
        <v>615</v>
      </c>
      <c r="C425" t="s">
        <v>29</v>
      </c>
      <c r="D425">
        <v>721</v>
      </c>
      <c r="E425" t="s">
        <v>15</v>
      </c>
      <c r="F425" t="s">
        <v>315</v>
      </c>
      <c r="G425">
        <v>8126.64</v>
      </c>
      <c r="H425">
        <v>97519.679999999993</v>
      </c>
      <c r="I425" s="2">
        <f>tblRentRoll[[#This Row],[Monthly_Rent_EUR]]*12</f>
        <v>97519.680000000008</v>
      </c>
      <c r="J425" s="2" t="str">
        <f>IF(tblRentRoll[[#This Row],[Annual_Rent_EUR]]&lt;&gt;tblRentRoll[[#This Row],[Jahresrente_EUR]], "FALSCH", "")</f>
        <v/>
      </c>
      <c r="K425" s="1">
        <v>44943</v>
      </c>
      <c r="L425" s="1">
        <v>46445</v>
      </c>
      <c r="M425">
        <v>1106.69</v>
      </c>
      <c r="N425">
        <v>1077.31</v>
      </c>
      <c r="O42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5" t="str">
        <f>IF(tblRentRoll[[#This Row],[Area_sqm]]&lt;=0,"Area&lt;=0","")</f>
        <v/>
      </c>
      <c r="Q425" t="str">
        <f>IF(tblRentRoll[[#This Row],[Monthly_Rent_EUR]]&lt;=0,"Rent&lt;=0","")</f>
        <v/>
      </c>
      <c r="R425">
        <f>IF(AND(tblRentRoll[[#This Row],[Status]]="Occupied", tblRentRoll[[#This Row],[Area_sqm]]&gt;0), tblRentRoll[[#This Row],[Annual_Rent_EUR]]/tblRentRoll[[#This Row],[Area_sqm]],"")</f>
        <v>135.2561442441054</v>
      </c>
      <c r="S425">
        <f>tblRentRoll[[#This Row],[Service_Charge_EUR]]+tblRentRoll[[#This Row],[Operating_Cost_EUR]]</f>
        <v>2184</v>
      </c>
      <c r="T425">
        <f>IF(tblRentRoll[[#This Row],[Annual_Rent_EUR]]&lt;&gt;0,tblRentRoll[[#This Row],[Annual_Rent_EUR]]-tblRentRoll[[#This Row],[Operating_Cost_EUR]], "")</f>
        <v>96442.37</v>
      </c>
      <c r="U425">
        <f ca="1">IF(AND(tblRentRoll[[#This Row],[Status]]="Occupied",tblRentRoll[[#This Row],[Lease_End]]&gt;=TODAY()),DATEDIF(TODAY(),tblRentRoll[[#This Row],[Lease_End]],"m"), 0)</f>
        <v>11</v>
      </c>
      <c r="V425" t="str">
        <f ca="1">IF(tblRentRoll[[#This Row],[Status]]&lt;&gt;"Occupied","", IF(tblRentRoll[[#This Row],[Month_to_Expiry]]&lt;=3, "0-3 Monaten",  IF(tblRentRoll[[#This Row],[Month_to_Expiry]]&lt;=6, "3-6 Monaten", IF(tblRentRoll[[#This Row],[Month_to_Expiry]]&lt;=12,"6-12 Monaten", IF(tblRentRoll[[#This Row],[Month_to_Expiry]]&gt;=12, "12 M+",)))))</f>
        <v>6-12 Monaten</v>
      </c>
      <c r="W425">
        <f>IF(tblRentRoll[[#This Row],[Status]]="Vacant", tblRentRoll[[#This Row],[Area_sqm]],0)</f>
        <v>0</v>
      </c>
      <c r="X425" s="3">
        <f>IF(tblRentRoll[[#This Row],[Status]]="Occupied", tblRentRoll[[#This Row],[Area_sqm]],0)</f>
        <v>721</v>
      </c>
      <c r="Y425" s="3">
        <f ca="1">tblRentRoll[[#This Row],[Month_to_Expiry]]/12*tblRentRoll[[#This Row],[Annual_Rent_EUR]]</f>
        <v>89393.04</v>
      </c>
      <c r="Z425" s="3"/>
    </row>
    <row r="426" spans="1:26" x14ac:dyDescent="0.35">
      <c r="A426" t="s">
        <v>31</v>
      </c>
      <c r="B426" t="s">
        <v>616</v>
      </c>
      <c r="C426" t="s">
        <v>29</v>
      </c>
      <c r="D426">
        <v>725</v>
      </c>
      <c r="E426" t="s">
        <v>20</v>
      </c>
      <c r="G426">
        <v>0</v>
      </c>
      <c r="H426">
        <v>0</v>
      </c>
      <c r="I426" s="2">
        <f>tblRentRoll[[#This Row],[Monthly_Rent_EUR]]*12</f>
        <v>0</v>
      </c>
      <c r="J426" s="2" t="str">
        <f>IF(tblRentRoll[[#This Row],[Annual_Rent_EUR]]&lt;&gt;tblRentRoll[[#This Row],[Jahresrente_EUR]], "FALSCH", "")</f>
        <v/>
      </c>
      <c r="M426">
        <v>1732.66</v>
      </c>
      <c r="N426">
        <v>965.08</v>
      </c>
      <c r="O42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6" t="str">
        <f>IF(tblRentRoll[[#This Row],[Area_sqm]]&lt;=0,"Area&lt;=0","")</f>
        <v/>
      </c>
      <c r="Q426" t="str">
        <f>IF(tblRentRoll[[#This Row],[Monthly_Rent_EUR]]&lt;=0,"Rent&lt;=0","")</f>
        <v>Rent&lt;=0</v>
      </c>
      <c r="R426" t="str">
        <f>IF(AND(tblRentRoll[[#This Row],[Status]]="Occupied", tblRentRoll[[#This Row],[Area_sqm]]&gt;0), tblRentRoll[[#This Row],[Annual_Rent_EUR]]/tblRentRoll[[#This Row],[Area_sqm]],"")</f>
        <v/>
      </c>
      <c r="S426">
        <f>tblRentRoll[[#This Row],[Service_Charge_EUR]]+tblRentRoll[[#This Row],[Operating_Cost_EUR]]</f>
        <v>2697.7400000000002</v>
      </c>
      <c r="T426" t="str">
        <f>IF(tblRentRoll[[#This Row],[Annual_Rent_EUR]]&lt;&gt;0,tblRentRoll[[#This Row],[Annual_Rent_EUR]]-tblRentRoll[[#This Row],[Operating_Cost_EUR]], "")</f>
        <v/>
      </c>
      <c r="U426">
        <f ca="1">IF(AND(tblRentRoll[[#This Row],[Status]]="Occupied",tblRentRoll[[#This Row],[Lease_End]]&gt;=TODAY()),DATEDIF(TODAY(),tblRentRoll[[#This Row],[Lease_End]],"m"), 0)</f>
        <v>0</v>
      </c>
      <c r="V426" t="str">
        <f>IF(tblRentRoll[[#This Row],[Status]]&lt;&gt;"Occupied","", IF(tblRentRoll[[#This Row],[Month_to_Expiry]]&lt;=3, "0-3 Monaten",  IF(tblRentRoll[[#This Row],[Month_to_Expiry]]&lt;=6, "3-6 Monaten", IF(tblRentRoll[[#This Row],[Month_to_Expiry]]&lt;=12,"6-12 Monaten", IF(tblRentRoll[[#This Row],[Month_to_Expiry]]&gt;=12, "12 M+",)))))</f>
        <v/>
      </c>
      <c r="W426">
        <f>IF(tblRentRoll[[#This Row],[Status]]="Vacant", tblRentRoll[[#This Row],[Area_sqm]],0)</f>
        <v>725</v>
      </c>
      <c r="X426" s="3">
        <f>IF(tblRentRoll[[#This Row],[Status]]="Occupied", tblRentRoll[[#This Row],[Area_sqm]],0)</f>
        <v>0</v>
      </c>
      <c r="Y426" s="3">
        <f ca="1">tblRentRoll[[#This Row],[Month_to_Expiry]]/12*tblRentRoll[[#This Row],[Annual_Rent_EUR]]</f>
        <v>0</v>
      </c>
      <c r="Z426" s="3"/>
    </row>
    <row r="427" spans="1:26" x14ac:dyDescent="0.35">
      <c r="A427" t="s">
        <v>24</v>
      </c>
      <c r="B427" t="s">
        <v>617</v>
      </c>
      <c r="C427" t="s">
        <v>29</v>
      </c>
      <c r="D427">
        <v>246</v>
      </c>
      <c r="E427" t="s">
        <v>20</v>
      </c>
      <c r="G427">
        <v>0</v>
      </c>
      <c r="H427">
        <v>0</v>
      </c>
      <c r="I427" s="2">
        <f>tblRentRoll[[#This Row],[Monthly_Rent_EUR]]*12</f>
        <v>0</v>
      </c>
      <c r="J427" s="2" t="str">
        <f>IF(tblRentRoll[[#This Row],[Annual_Rent_EUR]]&lt;&gt;tblRentRoll[[#This Row],[Jahresrente_EUR]], "FALSCH", "")</f>
        <v/>
      </c>
      <c r="M427">
        <v>565.33000000000004</v>
      </c>
      <c r="N427">
        <v>603.05999999999995</v>
      </c>
      <c r="O42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7" t="str">
        <f>IF(tblRentRoll[[#This Row],[Area_sqm]]&lt;=0,"Area&lt;=0","")</f>
        <v/>
      </c>
      <c r="Q427" t="str">
        <f>IF(tblRentRoll[[#This Row],[Monthly_Rent_EUR]]&lt;=0,"Rent&lt;=0","")</f>
        <v>Rent&lt;=0</v>
      </c>
      <c r="R427" t="str">
        <f>IF(AND(tblRentRoll[[#This Row],[Status]]="Occupied", tblRentRoll[[#This Row],[Area_sqm]]&gt;0), tblRentRoll[[#This Row],[Annual_Rent_EUR]]/tblRentRoll[[#This Row],[Area_sqm]],"")</f>
        <v/>
      </c>
      <c r="S427">
        <f>tblRentRoll[[#This Row],[Service_Charge_EUR]]+tblRentRoll[[#This Row],[Operating_Cost_EUR]]</f>
        <v>1168.3899999999999</v>
      </c>
      <c r="T427" t="str">
        <f>IF(tblRentRoll[[#This Row],[Annual_Rent_EUR]]&lt;&gt;0,tblRentRoll[[#This Row],[Annual_Rent_EUR]]-tblRentRoll[[#This Row],[Operating_Cost_EUR]], "")</f>
        <v/>
      </c>
      <c r="U427">
        <f ca="1">IF(AND(tblRentRoll[[#This Row],[Status]]="Occupied",tblRentRoll[[#This Row],[Lease_End]]&gt;=TODAY()),DATEDIF(TODAY(),tblRentRoll[[#This Row],[Lease_End]],"m"), 0)</f>
        <v>0</v>
      </c>
      <c r="V427" t="str">
        <f>IF(tblRentRoll[[#This Row],[Status]]&lt;&gt;"Occupied","", IF(tblRentRoll[[#This Row],[Month_to_Expiry]]&lt;=3, "0-3 Monaten",  IF(tblRentRoll[[#This Row],[Month_to_Expiry]]&lt;=6, "3-6 Monaten", IF(tblRentRoll[[#This Row],[Month_to_Expiry]]&lt;=12,"6-12 Monaten", IF(tblRentRoll[[#This Row],[Month_to_Expiry]]&gt;=12, "12 M+",)))))</f>
        <v/>
      </c>
      <c r="W427">
        <f>IF(tblRentRoll[[#This Row],[Status]]="Vacant", tblRentRoll[[#This Row],[Area_sqm]],0)</f>
        <v>246</v>
      </c>
      <c r="X427" s="3">
        <f>IF(tblRentRoll[[#This Row],[Status]]="Occupied", tblRentRoll[[#This Row],[Area_sqm]],0)</f>
        <v>0</v>
      </c>
      <c r="Y427" s="3">
        <f ca="1">tblRentRoll[[#This Row],[Month_to_Expiry]]/12*tblRentRoll[[#This Row],[Annual_Rent_EUR]]</f>
        <v>0</v>
      </c>
      <c r="Z427" s="3"/>
    </row>
    <row r="428" spans="1:26" x14ac:dyDescent="0.35">
      <c r="A428" t="s">
        <v>27</v>
      </c>
      <c r="B428" t="s">
        <v>618</v>
      </c>
      <c r="C428" t="s">
        <v>14</v>
      </c>
      <c r="D428">
        <v>511</v>
      </c>
      <c r="E428" t="s">
        <v>15</v>
      </c>
      <c r="F428" t="s">
        <v>532</v>
      </c>
      <c r="G428">
        <v>4230.09</v>
      </c>
      <c r="H428">
        <v>50761.08</v>
      </c>
      <c r="I428" s="2">
        <f>tblRentRoll[[#This Row],[Monthly_Rent_EUR]]*12</f>
        <v>50761.08</v>
      </c>
      <c r="J428" s="2" t="str">
        <f>IF(tblRentRoll[[#This Row],[Annual_Rent_EUR]]&lt;&gt;tblRentRoll[[#This Row],[Jahresrente_EUR]], "FALSCH", "")</f>
        <v/>
      </c>
      <c r="K428" s="1">
        <v>45193</v>
      </c>
      <c r="L428" s="1">
        <v>45822</v>
      </c>
      <c r="M428">
        <v>1213.22</v>
      </c>
      <c r="N428">
        <v>666.8</v>
      </c>
      <c r="O42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8" t="str">
        <f>IF(tblRentRoll[[#This Row],[Area_sqm]]&lt;=0,"Area&lt;=0","")</f>
        <v/>
      </c>
      <c r="Q428" t="str">
        <f>IF(tblRentRoll[[#This Row],[Monthly_Rent_EUR]]&lt;=0,"Rent&lt;=0","")</f>
        <v/>
      </c>
      <c r="R428">
        <f>IF(AND(tblRentRoll[[#This Row],[Status]]="Occupied", tblRentRoll[[#This Row],[Area_sqm]]&gt;0), tblRentRoll[[#This Row],[Annual_Rent_EUR]]/tblRentRoll[[#This Row],[Area_sqm]],"")</f>
        <v>99.336751467710371</v>
      </c>
      <c r="S428">
        <f>tblRentRoll[[#This Row],[Service_Charge_EUR]]+tblRentRoll[[#This Row],[Operating_Cost_EUR]]</f>
        <v>1880.02</v>
      </c>
      <c r="T428">
        <f>IF(tblRentRoll[[#This Row],[Annual_Rent_EUR]]&lt;&gt;0,tblRentRoll[[#This Row],[Annual_Rent_EUR]]-tblRentRoll[[#This Row],[Operating_Cost_EUR]], "")</f>
        <v>50094.28</v>
      </c>
      <c r="U428">
        <f ca="1">IF(AND(tblRentRoll[[#This Row],[Status]]="Occupied",tblRentRoll[[#This Row],[Lease_End]]&gt;=TODAY()),DATEDIF(TODAY(),tblRentRoll[[#This Row],[Lease_End]],"m"), 0)</f>
        <v>0</v>
      </c>
      <c r="V428" t="str">
        <f ca="1">IF(tblRentRoll[[#This Row],[Status]]&lt;&gt;"Occupied","", IF(tblRentRoll[[#This Row],[Month_to_Expiry]]&lt;=3, "0-3 Monaten",  IF(tblRentRoll[[#This Row],[Month_to_Expiry]]&lt;=6, "3-6 Monaten", IF(tblRentRoll[[#This Row],[Month_to_Expiry]]&lt;=12,"6-12 Monaten", IF(tblRentRoll[[#This Row],[Month_to_Expiry]]&gt;=12, "12 M+",)))))</f>
        <v>0-3 Monaten</v>
      </c>
      <c r="W428">
        <f>IF(tblRentRoll[[#This Row],[Status]]="Vacant", tblRentRoll[[#This Row],[Area_sqm]],0)</f>
        <v>0</v>
      </c>
      <c r="X428" s="3">
        <f>IF(tblRentRoll[[#This Row],[Status]]="Occupied", tblRentRoll[[#This Row],[Area_sqm]],0)</f>
        <v>511</v>
      </c>
      <c r="Y428" s="3">
        <f ca="1">tblRentRoll[[#This Row],[Month_to_Expiry]]/12*tblRentRoll[[#This Row],[Annual_Rent_EUR]]</f>
        <v>0</v>
      </c>
      <c r="Z428" s="3"/>
    </row>
    <row r="429" spans="1:26" x14ac:dyDescent="0.35">
      <c r="A429" t="s">
        <v>31</v>
      </c>
      <c r="B429" t="s">
        <v>619</v>
      </c>
      <c r="C429" t="s">
        <v>29</v>
      </c>
      <c r="D429">
        <v>655</v>
      </c>
      <c r="E429" t="s">
        <v>15</v>
      </c>
      <c r="F429" t="s">
        <v>263</v>
      </c>
      <c r="G429">
        <v>10816.61</v>
      </c>
      <c r="H429">
        <v>129799.32</v>
      </c>
      <c r="I429" s="2">
        <f>tblRentRoll[[#This Row],[Monthly_Rent_EUR]]*12</f>
        <v>129799.32</v>
      </c>
      <c r="J429" s="2" t="str">
        <f>IF(tblRentRoll[[#This Row],[Annual_Rent_EUR]]&lt;&gt;tblRentRoll[[#This Row],[Jahresrente_EUR]], "FALSCH", "")</f>
        <v/>
      </c>
      <c r="K429" s="1">
        <v>44892</v>
      </c>
      <c r="L429" s="1">
        <v>46698</v>
      </c>
      <c r="M429">
        <v>1209.26</v>
      </c>
      <c r="N429">
        <v>1342.05</v>
      </c>
      <c r="O42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29" t="str">
        <f>IF(tblRentRoll[[#This Row],[Area_sqm]]&lt;=0,"Area&lt;=0","")</f>
        <v/>
      </c>
      <c r="Q429" t="str">
        <f>IF(tblRentRoll[[#This Row],[Monthly_Rent_EUR]]&lt;=0,"Rent&lt;=0","")</f>
        <v/>
      </c>
      <c r="R429">
        <f>IF(AND(tblRentRoll[[#This Row],[Status]]="Occupied", tblRentRoll[[#This Row],[Area_sqm]]&gt;0), tblRentRoll[[#This Row],[Annual_Rent_EUR]]/tblRentRoll[[#This Row],[Area_sqm]],"")</f>
        <v>198.1669007633588</v>
      </c>
      <c r="S429">
        <f>tblRentRoll[[#This Row],[Service_Charge_EUR]]+tblRentRoll[[#This Row],[Operating_Cost_EUR]]</f>
        <v>2551.31</v>
      </c>
      <c r="T429">
        <f>IF(tblRentRoll[[#This Row],[Annual_Rent_EUR]]&lt;&gt;0,tblRentRoll[[#This Row],[Annual_Rent_EUR]]-tblRentRoll[[#This Row],[Operating_Cost_EUR]], "")</f>
        <v>128457.27</v>
      </c>
      <c r="U429">
        <f ca="1">IF(AND(tblRentRoll[[#This Row],[Status]]="Occupied",tblRentRoll[[#This Row],[Lease_End]]&gt;=TODAY()),DATEDIF(TODAY(),tblRentRoll[[#This Row],[Lease_End]],"m"), 0)</f>
        <v>19</v>
      </c>
      <c r="V429" t="str">
        <f ca="1">IF(tblRentRoll[[#This Row],[Status]]&lt;&gt;"Occupied","", IF(tblRentRoll[[#This Row],[Month_to_Expiry]]&lt;=3, "0-3 Monaten",  IF(tblRentRoll[[#This Row],[Month_to_Expiry]]&lt;=6, "3-6 Monaten", IF(tblRentRoll[[#This Row],[Month_to_Expiry]]&lt;=12,"6-12 Monaten", IF(tblRentRoll[[#This Row],[Month_to_Expiry]]&gt;=12, "12 M+",)))))</f>
        <v>12 M+</v>
      </c>
      <c r="W429">
        <f>IF(tblRentRoll[[#This Row],[Status]]="Vacant", tblRentRoll[[#This Row],[Area_sqm]],0)</f>
        <v>0</v>
      </c>
      <c r="X429" s="3">
        <f>IF(tblRentRoll[[#This Row],[Status]]="Occupied", tblRentRoll[[#This Row],[Area_sqm]],0)</f>
        <v>655</v>
      </c>
      <c r="Y429" s="3">
        <f ca="1">tblRentRoll[[#This Row],[Month_to_Expiry]]/12*tblRentRoll[[#This Row],[Annual_Rent_EUR]]</f>
        <v>205515.59</v>
      </c>
      <c r="Z429" s="3"/>
    </row>
    <row r="430" spans="1:26" x14ac:dyDescent="0.35">
      <c r="A430" t="s">
        <v>56</v>
      </c>
      <c r="B430" t="s">
        <v>620</v>
      </c>
      <c r="C430" t="s">
        <v>33</v>
      </c>
      <c r="D430">
        <v>823</v>
      </c>
      <c r="E430" t="s">
        <v>15</v>
      </c>
      <c r="F430" t="s">
        <v>614</v>
      </c>
      <c r="G430">
        <v>8262.1200000000008</v>
      </c>
      <c r="H430">
        <v>99145.44</v>
      </c>
      <c r="I430" s="2">
        <f>tblRentRoll[[#This Row],[Monthly_Rent_EUR]]*12</f>
        <v>99145.44</v>
      </c>
      <c r="J430" s="2" t="str">
        <f>IF(tblRentRoll[[#This Row],[Annual_Rent_EUR]]&lt;&gt;tblRentRoll[[#This Row],[Jahresrente_EUR]], "FALSCH", "")</f>
        <v/>
      </c>
      <c r="K430" s="1">
        <v>44402</v>
      </c>
      <c r="L430" s="1">
        <v>45319</v>
      </c>
      <c r="M430">
        <v>1813.76</v>
      </c>
      <c r="N430">
        <v>866.01</v>
      </c>
      <c r="O43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0" t="str">
        <f>IF(tblRentRoll[[#This Row],[Area_sqm]]&lt;=0,"Area&lt;=0","")</f>
        <v/>
      </c>
      <c r="Q430" t="str">
        <f>IF(tblRentRoll[[#This Row],[Monthly_Rent_EUR]]&lt;=0,"Rent&lt;=0","")</f>
        <v/>
      </c>
      <c r="R430">
        <f>IF(AND(tblRentRoll[[#This Row],[Status]]="Occupied", tblRentRoll[[#This Row],[Area_sqm]]&gt;0), tblRentRoll[[#This Row],[Annual_Rent_EUR]]/tblRentRoll[[#This Row],[Area_sqm]],"")</f>
        <v>120.46833535844472</v>
      </c>
      <c r="S430">
        <f>tblRentRoll[[#This Row],[Service_Charge_EUR]]+tblRentRoll[[#This Row],[Operating_Cost_EUR]]</f>
        <v>2679.77</v>
      </c>
      <c r="T430">
        <f>IF(tblRentRoll[[#This Row],[Annual_Rent_EUR]]&lt;&gt;0,tblRentRoll[[#This Row],[Annual_Rent_EUR]]-tblRentRoll[[#This Row],[Operating_Cost_EUR]], "")</f>
        <v>98279.430000000008</v>
      </c>
      <c r="U430">
        <f ca="1">IF(AND(tblRentRoll[[#This Row],[Status]]="Occupied",tblRentRoll[[#This Row],[Lease_End]]&gt;=TODAY()),DATEDIF(TODAY(),tblRentRoll[[#This Row],[Lease_End]],"m"), 0)</f>
        <v>0</v>
      </c>
      <c r="V430" t="str">
        <f ca="1">IF(tblRentRoll[[#This Row],[Status]]&lt;&gt;"Occupied","", IF(tblRentRoll[[#This Row],[Month_to_Expiry]]&lt;=3, "0-3 Monaten",  IF(tblRentRoll[[#This Row],[Month_to_Expiry]]&lt;=6, "3-6 Monaten", IF(tblRentRoll[[#This Row],[Month_to_Expiry]]&lt;=12,"6-12 Monaten", IF(tblRentRoll[[#This Row],[Month_to_Expiry]]&gt;=12, "12 M+",)))))</f>
        <v>0-3 Monaten</v>
      </c>
      <c r="W430">
        <f>IF(tblRentRoll[[#This Row],[Status]]="Vacant", tblRentRoll[[#This Row],[Area_sqm]],0)</f>
        <v>0</v>
      </c>
      <c r="X430" s="3">
        <f>IF(tblRentRoll[[#This Row],[Status]]="Occupied", tblRentRoll[[#This Row],[Area_sqm]],0)</f>
        <v>823</v>
      </c>
      <c r="Y430" s="3">
        <f ca="1">tblRentRoll[[#This Row],[Month_to_Expiry]]/12*tblRentRoll[[#This Row],[Annual_Rent_EUR]]</f>
        <v>0</v>
      </c>
      <c r="Z430" s="3"/>
    </row>
    <row r="431" spans="1:26" x14ac:dyDescent="0.35">
      <c r="A431" t="s">
        <v>44</v>
      </c>
      <c r="B431" t="s">
        <v>621</v>
      </c>
      <c r="C431" t="s">
        <v>14</v>
      </c>
      <c r="D431">
        <v>1137</v>
      </c>
      <c r="E431" t="s">
        <v>15</v>
      </c>
      <c r="F431" t="s">
        <v>338</v>
      </c>
      <c r="G431">
        <v>9103.8799999999992</v>
      </c>
      <c r="H431">
        <v>109246.56</v>
      </c>
      <c r="I431" s="2">
        <f>tblRentRoll[[#This Row],[Monthly_Rent_EUR]]*12</f>
        <v>109246.56</v>
      </c>
      <c r="J431" s="2" t="str">
        <f>IF(tblRentRoll[[#This Row],[Annual_Rent_EUR]]&lt;&gt;tblRentRoll[[#This Row],[Jahresrente_EUR]], "FALSCH", "")</f>
        <v/>
      </c>
      <c r="K431" s="1">
        <v>44793</v>
      </c>
      <c r="L431" s="1">
        <v>45906</v>
      </c>
      <c r="M431">
        <v>2419.86</v>
      </c>
      <c r="N431">
        <v>2680.9</v>
      </c>
      <c r="O43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1" t="str">
        <f>IF(tblRentRoll[[#This Row],[Area_sqm]]&lt;=0,"Area&lt;=0","")</f>
        <v/>
      </c>
      <c r="Q431" t="str">
        <f>IF(tblRentRoll[[#This Row],[Monthly_Rent_EUR]]&lt;=0,"Rent&lt;=0","")</f>
        <v/>
      </c>
      <c r="R431">
        <f>IF(AND(tblRentRoll[[#This Row],[Status]]="Occupied", tblRentRoll[[#This Row],[Area_sqm]]&gt;0), tblRentRoll[[#This Row],[Annual_Rent_EUR]]/tblRentRoll[[#This Row],[Area_sqm]],"")</f>
        <v>96.083166226912923</v>
      </c>
      <c r="S431">
        <f>tblRentRoll[[#This Row],[Service_Charge_EUR]]+tblRentRoll[[#This Row],[Operating_Cost_EUR]]</f>
        <v>5100.76</v>
      </c>
      <c r="T431">
        <f>IF(tblRentRoll[[#This Row],[Annual_Rent_EUR]]&lt;&gt;0,tblRentRoll[[#This Row],[Annual_Rent_EUR]]-tblRentRoll[[#This Row],[Operating_Cost_EUR]], "")</f>
        <v>106565.66</v>
      </c>
      <c r="U431">
        <f ca="1">IF(AND(tblRentRoll[[#This Row],[Status]]="Occupied",tblRentRoll[[#This Row],[Lease_End]]&gt;=TODAY()),DATEDIF(TODAY(),tblRentRoll[[#This Row],[Lease_End]],"m"), 0)</f>
        <v>0</v>
      </c>
      <c r="V431" t="str">
        <f ca="1">IF(tblRentRoll[[#This Row],[Status]]&lt;&gt;"Occupied","", IF(tblRentRoll[[#This Row],[Month_to_Expiry]]&lt;=3, "0-3 Monaten",  IF(tblRentRoll[[#This Row],[Month_to_Expiry]]&lt;=6, "3-6 Monaten", IF(tblRentRoll[[#This Row],[Month_to_Expiry]]&lt;=12,"6-12 Monaten", IF(tblRentRoll[[#This Row],[Month_to_Expiry]]&gt;=12, "12 M+",)))))</f>
        <v>0-3 Monaten</v>
      </c>
      <c r="W431">
        <f>IF(tblRentRoll[[#This Row],[Status]]="Vacant", tblRentRoll[[#This Row],[Area_sqm]],0)</f>
        <v>0</v>
      </c>
      <c r="X431" s="3">
        <f>IF(tblRentRoll[[#This Row],[Status]]="Occupied", tblRentRoll[[#This Row],[Area_sqm]],0)</f>
        <v>1137</v>
      </c>
      <c r="Y431" s="3">
        <f ca="1">tblRentRoll[[#This Row],[Month_to_Expiry]]/12*tblRentRoll[[#This Row],[Annual_Rent_EUR]]</f>
        <v>0</v>
      </c>
      <c r="Z431" s="3"/>
    </row>
    <row r="432" spans="1:26" x14ac:dyDescent="0.35">
      <c r="A432" t="s">
        <v>17</v>
      </c>
      <c r="B432" t="s">
        <v>622</v>
      </c>
      <c r="C432" t="s">
        <v>29</v>
      </c>
      <c r="D432">
        <v>229</v>
      </c>
      <c r="E432" t="s">
        <v>15</v>
      </c>
      <c r="F432" t="s">
        <v>623</v>
      </c>
      <c r="G432">
        <v>3526.37</v>
      </c>
      <c r="H432">
        <v>42316.44</v>
      </c>
      <c r="I432" s="2">
        <f>tblRentRoll[[#This Row],[Monthly_Rent_EUR]]*12</f>
        <v>42316.44</v>
      </c>
      <c r="J432" s="2" t="str">
        <f>IF(tblRentRoll[[#This Row],[Annual_Rent_EUR]]&lt;&gt;tblRentRoll[[#This Row],[Jahresrente_EUR]], "FALSCH", "")</f>
        <v/>
      </c>
      <c r="K432" s="1">
        <v>44606</v>
      </c>
      <c r="L432" s="1">
        <v>45116</v>
      </c>
      <c r="M432">
        <v>299.04000000000002</v>
      </c>
      <c r="N432">
        <v>210.71</v>
      </c>
      <c r="O43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2" t="str">
        <f>IF(tblRentRoll[[#This Row],[Area_sqm]]&lt;=0,"Area&lt;=0","")</f>
        <v/>
      </c>
      <c r="Q432" t="str">
        <f>IF(tblRentRoll[[#This Row],[Monthly_Rent_EUR]]&lt;=0,"Rent&lt;=0","")</f>
        <v/>
      </c>
      <c r="R432">
        <f>IF(AND(tblRentRoll[[#This Row],[Status]]="Occupied", tblRentRoll[[#This Row],[Area_sqm]]&gt;0), tblRentRoll[[#This Row],[Annual_Rent_EUR]]/tblRentRoll[[#This Row],[Area_sqm]],"")</f>
        <v>184.78794759825328</v>
      </c>
      <c r="S432">
        <f>tblRentRoll[[#This Row],[Service_Charge_EUR]]+tblRentRoll[[#This Row],[Operating_Cost_EUR]]</f>
        <v>509.75</v>
      </c>
      <c r="T432">
        <f>IF(tblRentRoll[[#This Row],[Annual_Rent_EUR]]&lt;&gt;0,tblRentRoll[[#This Row],[Annual_Rent_EUR]]-tblRentRoll[[#This Row],[Operating_Cost_EUR]], "")</f>
        <v>42105.73</v>
      </c>
      <c r="U432">
        <f ca="1">IF(AND(tblRentRoll[[#This Row],[Status]]="Occupied",tblRentRoll[[#This Row],[Lease_End]]&gt;=TODAY()),DATEDIF(TODAY(),tblRentRoll[[#This Row],[Lease_End]],"m"), 0)</f>
        <v>0</v>
      </c>
      <c r="V432" t="str">
        <f ca="1">IF(tblRentRoll[[#This Row],[Status]]&lt;&gt;"Occupied","", IF(tblRentRoll[[#This Row],[Month_to_Expiry]]&lt;=3, "0-3 Monaten",  IF(tblRentRoll[[#This Row],[Month_to_Expiry]]&lt;=6, "3-6 Monaten", IF(tblRentRoll[[#This Row],[Month_to_Expiry]]&lt;=12,"6-12 Monaten", IF(tblRentRoll[[#This Row],[Month_to_Expiry]]&gt;=12, "12 M+",)))))</f>
        <v>0-3 Monaten</v>
      </c>
      <c r="W432">
        <f>IF(tblRentRoll[[#This Row],[Status]]="Vacant", tblRentRoll[[#This Row],[Area_sqm]],0)</f>
        <v>0</v>
      </c>
      <c r="X432" s="3">
        <f>IF(tblRentRoll[[#This Row],[Status]]="Occupied", tblRentRoll[[#This Row],[Area_sqm]],0)</f>
        <v>229</v>
      </c>
      <c r="Y432" s="3">
        <f ca="1">tblRentRoll[[#This Row],[Month_to_Expiry]]/12*tblRentRoll[[#This Row],[Annual_Rent_EUR]]</f>
        <v>0</v>
      </c>
      <c r="Z432" s="3"/>
    </row>
    <row r="433" spans="1:26" x14ac:dyDescent="0.35">
      <c r="A433" t="s">
        <v>44</v>
      </c>
      <c r="B433" t="s">
        <v>624</v>
      </c>
      <c r="C433" t="s">
        <v>14</v>
      </c>
      <c r="D433">
        <v>510</v>
      </c>
      <c r="E433" t="s">
        <v>15</v>
      </c>
      <c r="F433" t="s">
        <v>35</v>
      </c>
      <c r="G433">
        <v>5292.64</v>
      </c>
      <c r="H433">
        <v>63511.68</v>
      </c>
      <c r="I433" s="2">
        <f>tblRentRoll[[#This Row],[Monthly_Rent_EUR]]*12</f>
        <v>63511.680000000008</v>
      </c>
      <c r="J433" s="2" t="str">
        <f>IF(tblRentRoll[[#This Row],[Annual_Rent_EUR]]&lt;&gt;tblRentRoll[[#This Row],[Jahresrente_EUR]], "FALSCH", "")</f>
        <v/>
      </c>
      <c r="K433" s="1">
        <v>44360</v>
      </c>
      <c r="L433" s="1">
        <v>45388</v>
      </c>
      <c r="M433">
        <v>1488.48</v>
      </c>
      <c r="N433">
        <v>505.41</v>
      </c>
      <c r="O43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3" t="str">
        <f>IF(tblRentRoll[[#This Row],[Area_sqm]]&lt;=0,"Area&lt;=0","")</f>
        <v/>
      </c>
      <c r="Q433" t="str">
        <f>IF(tblRentRoll[[#This Row],[Monthly_Rent_EUR]]&lt;=0,"Rent&lt;=0","")</f>
        <v/>
      </c>
      <c r="R433">
        <f>IF(AND(tblRentRoll[[#This Row],[Status]]="Occupied", tblRentRoll[[#This Row],[Area_sqm]]&gt;0), tblRentRoll[[#This Row],[Annual_Rent_EUR]]/tblRentRoll[[#This Row],[Area_sqm]],"")</f>
        <v>124.53270588235294</v>
      </c>
      <c r="S433">
        <f>tblRentRoll[[#This Row],[Service_Charge_EUR]]+tblRentRoll[[#This Row],[Operating_Cost_EUR]]</f>
        <v>1993.89</v>
      </c>
      <c r="T433">
        <f>IF(tblRentRoll[[#This Row],[Annual_Rent_EUR]]&lt;&gt;0,tblRentRoll[[#This Row],[Annual_Rent_EUR]]-tblRentRoll[[#This Row],[Operating_Cost_EUR]], "")</f>
        <v>63006.27</v>
      </c>
      <c r="U433">
        <f ca="1">IF(AND(tblRentRoll[[#This Row],[Status]]="Occupied",tblRentRoll[[#This Row],[Lease_End]]&gt;=TODAY()),DATEDIF(TODAY(),tblRentRoll[[#This Row],[Lease_End]],"m"), 0)</f>
        <v>0</v>
      </c>
      <c r="V433" t="str">
        <f ca="1">IF(tblRentRoll[[#This Row],[Status]]&lt;&gt;"Occupied","", IF(tblRentRoll[[#This Row],[Month_to_Expiry]]&lt;=3, "0-3 Monaten",  IF(tblRentRoll[[#This Row],[Month_to_Expiry]]&lt;=6, "3-6 Monaten", IF(tblRentRoll[[#This Row],[Month_to_Expiry]]&lt;=12,"6-12 Monaten", IF(tblRentRoll[[#This Row],[Month_to_Expiry]]&gt;=12, "12 M+",)))))</f>
        <v>0-3 Monaten</v>
      </c>
      <c r="W433">
        <f>IF(tblRentRoll[[#This Row],[Status]]="Vacant", tblRentRoll[[#This Row],[Area_sqm]],0)</f>
        <v>0</v>
      </c>
      <c r="X433" s="3">
        <f>IF(tblRentRoll[[#This Row],[Status]]="Occupied", tblRentRoll[[#This Row],[Area_sqm]],0)</f>
        <v>510</v>
      </c>
      <c r="Y433" s="3">
        <f ca="1">tblRentRoll[[#This Row],[Month_to_Expiry]]/12*tblRentRoll[[#This Row],[Annual_Rent_EUR]]</f>
        <v>0</v>
      </c>
      <c r="Z433" s="3"/>
    </row>
    <row r="434" spans="1:26" x14ac:dyDescent="0.35">
      <c r="A434" t="s">
        <v>21</v>
      </c>
      <c r="B434" t="s">
        <v>625</v>
      </c>
      <c r="C434" t="s">
        <v>33</v>
      </c>
      <c r="D434">
        <v>797</v>
      </c>
      <c r="E434" t="s">
        <v>15</v>
      </c>
      <c r="F434" t="s">
        <v>268</v>
      </c>
      <c r="G434">
        <v>14227.12</v>
      </c>
      <c r="H434">
        <v>170725.44</v>
      </c>
      <c r="I434" s="2">
        <f>tblRentRoll[[#This Row],[Monthly_Rent_EUR]]*12</f>
        <v>170725.44</v>
      </c>
      <c r="J434" s="2" t="str">
        <f>IF(tblRentRoll[[#This Row],[Annual_Rent_EUR]]&lt;&gt;tblRentRoll[[#This Row],[Jahresrente_EUR]], "FALSCH", "")</f>
        <v/>
      </c>
      <c r="K434" s="1">
        <v>44380</v>
      </c>
      <c r="L434" s="1">
        <v>45703</v>
      </c>
      <c r="M434">
        <v>2285.38</v>
      </c>
      <c r="N434">
        <v>1202.79</v>
      </c>
      <c r="O43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4" t="str">
        <f>IF(tblRentRoll[[#This Row],[Area_sqm]]&lt;=0,"Area&lt;=0","")</f>
        <v/>
      </c>
      <c r="Q434" t="str">
        <f>IF(tblRentRoll[[#This Row],[Monthly_Rent_EUR]]&lt;=0,"Rent&lt;=0","")</f>
        <v/>
      </c>
      <c r="R434">
        <f>IF(AND(tblRentRoll[[#This Row],[Status]]="Occupied", tblRentRoll[[#This Row],[Area_sqm]]&gt;0), tblRentRoll[[#This Row],[Annual_Rent_EUR]]/tblRentRoll[[#This Row],[Area_sqm]],"")</f>
        <v>214.21008782936011</v>
      </c>
      <c r="S434">
        <f>tblRentRoll[[#This Row],[Service_Charge_EUR]]+tblRentRoll[[#This Row],[Operating_Cost_EUR]]</f>
        <v>3488.17</v>
      </c>
      <c r="T434">
        <f>IF(tblRentRoll[[#This Row],[Annual_Rent_EUR]]&lt;&gt;0,tblRentRoll[[#This Row],[Annual_Rent_EUR]]-tblRentRoll[[#This Row],[Operating_Cost_EUR]], "")</f>
        <v>169522.65</v>
      </c>
      <c r="U434">
        <f ca="1">IF(AND(tblRentRoll[[#This Row],[Status]]="Occupied",tblRentRoll[[#This Row],[Lease_End]]&gt;=TODAY()),DATEDIF(TODAY(),tblRentRoll[[#This Row],[Lease_End]],"m"), 0)</f>
        <v>0</v>
      </c>
      <c r="V434" t="str">
        <f ca="1">IF(tblRentRoll[[#This Row],[Status]]&lt;&gt;"Occupied","", IF(tblRentRoll[[#This Row],[Month_to_Expiry]]&lt;=3, "0-3 Monaten",  IF(tblRentRoll[[#This Row],[Month_to_Expiry]]&lt;=6, "3-6 Monaten", IF(tblRentRoll[[#This Row],[Month_to_Expiry]]&lt;=12,"6-12 Monaten", IF(tblRentRoll[[#This Row],[Month_to_Expiry]]&gt;=12, "12 M+",)))))</f>
        <v>0-3 Monaten</v>
      </c>
      <c r="W434">
        <f>IF(tblRentRoll[[#This Row],[Status]]="Vacant", tblRentRoll[[#This Row],[Area_sqm]],0)</f>
        <v>0</v>
      </c>
      <c r="X434" s="3">
        <f>IF(tblRentRoll[[#This Row],[Status]]="Occupied", tblRentRoll[[#This Row],[Area_sqm]],0)</f>
        <v>797</v>
      </c>
      <c r="Y434" s="3">
        <f ca="1">tblRentRoll[[#This Row],[Month_to_Expiry]]/12*tblRentRoll[[#This Row],[Annual_Rent_EUR]]</f>
        <v>0</v>
      </c>
      <c r="Z434" s="3"/>
    </row>
    <row r="435" spans="1:26" x14ac:dyDescent="0.35">
      <c r="A435" t="s">
        <v>21</v>
      </c>
      <c r="B435" t="s">
        <v>626</v>
      </c>
      <c r="C435" t="s">
        <v>14</v>
      </c>
      <c r="D435">
        <v>960</v>
      </c>
      <c r="E435" t="s">
        <v>15</v>
      </c>
      <c r="F435" t="s">
        <v>403</v>
      </c>
      <c r="G435">
        <v>6799.41</v>
      </c>
      <c r="H435">
        <v>81592.92</v>
      </c>
      <c r="I435" s="2">
        <f>tblRentRoll[[#This Row],[Monthly_Rent_EUR]]*12</f>
        <v>81592.92</v>
      </c>
      <c r="J435" s="2" t="str">
        <f>IF(tblRentRoll[[#This Row],[Annual_Rent_EUR]]&lt;&gt;tblRentRoll[[#This Row],[Jahresrente_EUR]], "FALSCH", "")</f>
        <v/>
      </c>
      <c r="K435" s="1">
        <v>44338</v>
      </c>
      <c r="L435" s="1">
        <v>45923</v>
      </c>
      <c r="M435">
        <v>2033.5</v>
      </c>
      <c r="N435">
        <v>1996.25</v>
      </c>
      <c r="O43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5" t="str">
        <f>IF(tblRentRoll[[#This Row],[Area_sqm]]&lt;=0,"Area&lt;=0","")</f>
        <v/>
      </c>
      <c r="Q435" t="str">
        <f>IF(tblRentRoll[[#This Row],[Monthly_Rent_EUR]]&lt;=0,"Rent&lt;=0","")</f>
        <v/>
      </c>
      <c r="R435">
        <f>IF(AND(tblRentRoll[[#This Row],[Status]]="Occupied", tblRentRoll[[#This Row],[Area_sqm]]&gt;0), tblRentRoll[[#This Row],[Annual_Rent_EUR]]/tblRentRoll[[#This Row],[Area_sqm]],"")</f>
        <v>84.992625000000004</v>
      </c>
      <c r="S435">
        <f>tblRentRoll[[#This Row],[Service_Charge_EUR]]+tblRentRoll[[#This Row],[Operating_Cost_EUR]]</f>
        <v>4029.75</v>
      </c>
      <c r="T435">
        <f>IF(tblRentRoll[[#This Row],[Annual_Rent_EUR]]&lt;&gt;0,tblRentRoll[[#This Row],[Annual_Rent_EUR]]-tblRentRoll[[#This Row],[Operating_Cost_EUR]], "")</f>
        <v>79596.67</v>
      </c>
      <c r="U435">
        <f ca="1">IF(AND(tblRentRoll[[#This Row],[Status]]="Occupied",tblRentRoll[[#This Row],[Lease_End]]&gt;=TODAY()),DATEDIF(TODAY(),tblRentRoll[[#This Row],[Lease_End]],"m"), 0)</f>
        <v>0</v>
      </c>
      <c r="V435" t="str">
        <f ca="1">IF(tblRentRoll[[#This Row],[Status]]&lt;&gt;"Occupied","", IF(tblRentRoll[[#This Row],[Month_to_Expiry]]&lt;=3, "0-3 Monaten",  IF(tblRentRoll[[#This Row],[Month_to_Expiry]]&lt;=6, "3-6 Monaten", IF(tblRentRoll[[#This Row],[Month_to_Expiry]]&lt;=12,"6-12 Monaten", IF(tblRentRoll[[#This Row],[Month_to_Expiry]]&gt;=12, "12 M+",)))))</f>
        <v>0-3 Monaten</v>
      </c>
      <c r="W435">
        <f>IF(tblRentRoll[[#This Row],[Status]]="Vacant", tblRentRoll[[#This Row],[Area_sqm]],0)</f>
        <v>0</v>
      </c>
      <c r="X435" s="3">
        <f>IF(tblRentRoll[[#This Row],[Status]]="Occupied", tblRentRoll[[#This Row],[Area_sqm]],0)</f>
        <v>960</v>
      </c>
      <c r="Y435" s="3">
        <f ca="1">tblRentRoll[[#This Row],[Month_to_Expiry]]/12*tblRentRoll[[#This Row],[Annual_Rent_EUR]]</f>
        <v>0</v>
      </c>
      <c r="Z435" s="3"/>
    </row>
    <row r="436" spans="1:26" x14ac:dyDescent="0.35">
      <c r="A436" t="s">
        <v>21</v>
      </c>
      <c r="B436" t="s">
        <v>627</v>
      </c>
      <c r="C436" t="s">
        <v>14</v>
      </c>
      <c r="D436">
        <v>976</v>
      </c>
      <c r="E436" t="s">
        <v>20</v>
      </c>
      <c r="G436">
        <v>0</v>
      </c>
      <c r="H436">
        <v>0</v>
      </c>
      <c r="I436" s="2">
        <f>tblRentRoll[[#This Row],[Monthly_Rent_EUR]]*12</f>
        <v>0</v>
      </c>
      <c r="J436" s="2" t="str">
        <f>IF(tblRentRoll[[#This Row],[Annual_Rent_EUR]]&lt;&gt;tblRentRoll[[#This Row],[Jahresrente_EUR]], "FALSCH", "")</f>
        <v/>
      </c>
      <c r="M436">
        <v>1094.49</v>
      </c>
      <c r="N436">
        <v>494.1</v>
      </c>
      <c r="O43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6" t="str">
        <f>IF(tblRentRoll[[#This Row],[Area_sqm]]&lt;=0,"Area&lt;=0","")</f>
        <v/>
      </c>
      <c r="Q436" t="str">
        <f>IF(tblRentRoll[[#This Row],[Monthly_Rent_EUR]]&lt;=0,"Rent&lt;=0","")</f>
        <v>Rent&lt;=0</v>
      </c>
      <c r="R436" t="str">
        <f>IF(AND(tblRentRoll[[#This Row],[Status]]="Occupied", tblRentRoll[[#This Row],[Area_sqm]]&gt;0), tblRentRoll[[#This Row],[Annual_Rent_EUR]]/tblRentRoll[[#This Row],[Area_sqm]],"")</f>
        <v/>
      </c>
      <c r="S436">
        <f>tblRentRoll[[#This Row],[Service_Charge_EUR]]+tblRentRoll[[#This Row],[Operating_Cost_EUR]]</f>
        <v>1588.5900000000001</v>
      </c>
      <c r="T436" t="str">
        <f>IF(tblRentRoll[[#This Row],[Annual_Rent_EUR]]&lt;&gt;0,tblRentRoll[[#This Row],[Annual_Rent_EUR]]-tblRentRoll[[#This Row],[Operating_Cost_EUR]], "")</f>
        <v/>
      </c>
      <c r="U436">
        <f ca="1">IF(AND(tblRentRoll[[#This Row],[Status]]="Occupied",tblRentRoll[[#This Row],[Lease_End]]&gt;=TODAY()),DATEDIF(TODAY(),tblRentRoll[[#This Row],[Lease_End]],"m"), 0)</f>
        <v>0</v>
      </c>
      <c r="V436" t="str">
        <f>IF(tblRentRoll[[#This Row],[Status]]&lt;&gt;"Occupied","", IF(tblRentRoll[[#This Row],[Month_to_Expiry]]&lt;=3, "0-3 Monaten",  IF(tblRentRoll[[#This Row],[Month_to_Expiry]]&lt;=6, "3-6 Monaten", IF(tblRentRoll[[#This Row],[Month_to_Expiry]]&lt;=12,"6-12 Monaten", IF(tblRentRoll[[#This Row],[Month_to_Expiry]]&gt;=12, "12 M+",)))))</f>
        <v/>
      </c>
      <c r="W436">
        <f>IF(tblRentRoll[[#This Row],[Status]]="Vacant", tblRentRoll[[#This Row],[Area_sqm]],0)</f>
        <v>976</v>
      </c>
      <c r="X436" s="3">
        <f>IF(tblRentRoll[[#This Row],[Status]]="Occupied", tblRentRoll[[#This Row],[Area_sqm]],0)</f>
        <v>0</v>
      </c>
      <c r="Y436" s="3">
        <f ca="1">tblRentRoll[[#This Row],[Month_to_Expiry]]/12*tblRentRoll[[#This Row],[Annual_Rent_EUR]]</f>
        <v>0</v>
      </c>
      <c r="Z436" s="3"/>
    </row>
    <row r="437" spans="1:26" x14ac:dyDescent="0.35">
      <c r="A437" t="s">
        <v>21</v>
      </c>
      <c r="B437" t="s">
        <v>628</v>
      </c>
      <c r="C437" t="s">
        <v>29</v>
      </c>
      <c r="D437">
        <v>1308</v>
      </c>
      <c r="E437" t="s">
        <v>20</v>
      </c>
      <c r="G437">
        <v>0</v>
      </c>
      <c r="H437">
        <v>0</v>
      </c>
      <c r="I437" s="2">
        <f>tblRentRoll[[#This Row],[Monthly_Rent_EUR]]*12</f>
        <v>0</v>
      </c>
      <c r="J437" s="2" t="str">
        <f>IF(tblRentRoll[[#This Row],[Annual_Rent_EUR]]&lt;&gt;tblRentRoll[[#This Row],[Jahresrente_EUR]], "FALSCH", "")</f>
        <v/>
      </c>
      <c r="M437">
        <v>2116.4</v>
      </c>
      <c r="N437">
        <v>2022.23</v>
      </c>
      <c r="O43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7" t="str">
        <f>IF(tblRentRoll[[#This Row],[Area_sqm]]&lt;=0,"Area&lt;=0","")</f>
        <v/>
      </c>
      <c r="Q437" t="str">
        <f>IF(tblRentRoll[[#This Row],[Monthly_Rent_EUR]]&lt;=0,"Rent&lt;=0","")</f>
        <v>Rent&lt;=0</v>
      </c>
      <c r="R437" t="str">
        <f>IF(AND(tblRentRoll[[#This Row],[Status]]="Occupied", tblRentRoll[[#This Row],[Area_sqm]]&gt;0), tblRentRoll[[#This Row],[Annual_Rent_EUR]]/tblRentRoll[[#This Row],[Area_sqm]],"")</f>
        <v/>
      </c>
      <c r="S437">
        <f>tblRentRoll[[#This Row],[Service_Charge_EUR]]+tblRentRoll[[#This Row],[Operating_Cost_EUR]]</f>
        <v>4138.63</v>
      </c>
      <c r="T437" t="str">
        <f>IF(tblRentRoll[[#This Row],[Annual_Rent_EUR]]&lt;&gt;0,tblRentRoll[[#This Row],[Annual_Rent_EUR]]-tblRentRoll[[#This Row],[Operating_Cost_EUR]], "")</f>
        <v/>
      </c>
      <c r="U437">
        <f ca="1">IF(AND(tblRentRoll[[#This Row],[Status]]="Occupied",tblRentRoll[[#This Row],[Lease_End]]&gt;=TODAY()),DATEDIF(TODAY(),tblRentRoll[[#This Row],[Lease_End]],"m"), 0)</f>
        <v>0</v>
      </c>
      <c r="V437" t="str">
        <f>IF(tblRentRoll[[#This Row],[Status]]&lt;&gt;"Occupied","", IF(tblRentRoll[[#This Row],[Month_to_Expiry]]&lt;=3, "0-3 Monaten",  IF(tblRentRoll[[#This Row],[Month_to_Expiry]]&lt;=6, "3-6 Monaten", IF(tblRentRoll[[#This Row],[Month_to_Expiry]]&lt;=12,"6-12 Monaten", IF(tblRentRoll[[#This Row],[Month_to_Expiry]]&gt;=12, "12 M+",)))))</f>
        <v/>
      </c>
      <c r="W437">
        <f>IF(tblRentRoll[[#This Row],[Status]]="Vacant", tblRentRoll[[#This Row],[Area_sqm]],0)</f>
        <v>1308</v>
      </c>
      <c r="X437" s="3">
        <f>IF(tblRentRoll[[#This Row],[Status]]="Occupied", tblRentRoll[[#This Row],[Area_sqm]],0)</f>
        <v>0</v>
      </c>
      <c r="Y437" s="3">
        <f ca="1">tblRentRoll[[#This Row],[Month_to_Expiry]]/12*tblRentRoll[[#This Row],[Annual_Rent_EUR]]</f>
        <v>0</v>
      </c>
      <c r="Z437" s="3"/>
    </row>
    <row r="438" spans="1:26" x14ac:dyDescent="0.35">
      <c r="A438" t="s">
        <v>21</v>
      </c>
      <c r="B438" t="s">
        <v>629</v>
      </c>
      <c r="C438" t="s">
        <v>14</v>
      </c>
      <c r="D438">
        <v>1069</v>
      </c>
      <c r="E438" t="s">
        <v>20</v>
      </c>
      <c r="G438">
        <v>0</v>
      </c>
      <c r="H438">
        <v>0</v>
      </c>
      <c r="I438" s="2">
        <f>tblRentRoll[[#This Row],[Monthly_Rent_EUR]]*12</f>
        <v>0</v>
      </c>
      <c r="J438" s="2" t="str">
        <f>IF(tblRentRoll[[#This Row],[Annual_Rent_EUR]]&lt;&gt;tblRentRoll[[#This Row],[Jahresrente_EUR]], "FALSCH", "")</f>
        <v/>
      </c>
      <c r="M438">
        <v>1820.97</v>
      </c>
      <c r="N438">
        <v>1542.3</v>
      </c>
      <c r="O43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8" t="str">
        <f>IF(tblRentRoll[[#This Row],[Area_sqm]]&lt;=0,"Area&lt;=0","")</f>
        <v/>
      </c>
      <c r="Q438" t="str">
        <f>IF(tblRentRoll[[#This Row],[Monthly_Rent_EUR]]&lt;=0,"Rent&lt;=0","")</f>
        <v>Rent&lt;=0</v>
      </c>
      <c r="R438" t="str">
        <f>IF(AND(tblRentRoll[[#This Row],[Status]]="Occupied", tblRentRoll[[#This Row],[Area_sqm]]&gt;0), tblRentRoll[[#This Row],[Annual_Rent_EUR]]/tblRentRoll[[#This Row],[Area_sqm]],"")</f>
        <v/>
      </c>
      <c r="S438">
        <f>tblRentRoll[[#This Row],[Service_Charge_EUR]]+tblRentRoll[[#This Row],[Operating_Cost_EUR]]</f>
        <v>3363.27</v>
      </c>
      <c r="T438" t="str">
        <f>IF(tblRentRoll[[#This Row],[Annual_Rent_EUR]]&lt;&gt;0,tblRentRoll[[#This Row],[Annual_Rent_EUR]]-tblRentRoll[[#This Row],[Operating_Cost_EUR]], "")</f>
        <v/>
      </c>
      <c r="U438">
        <f ca="1">IF(AND(tblRentRoll[[#This Row],[Status]]="Occupied",tblRentRoll[[#This Row],[Lease_End]]&gt;=TODAY()),DATEDIF(TODAY(),tblRentRoll[[#This Row],[Lease_End]],"m"), 0)</f>
        <v>0</v>
      </c>
      <c r="V438" t="str">
        <f>IF(tblRentRoll[[#This Row],[Status]]&lt;&gt;"Occupied","", IF(tblRentRoll[[#This Row],[Month_to_Expiry]]&lt;=3, "0-3 Monaten",  IF(tblRentRoll[[#This Row],[Month_to_Expiry]]&lt;=6, "3-6 Monaten", IF(tblRentRoll[[#This Row],[Month_to_Expiry]]&lt;=12,"6-12 Monaten", IF(tblRentRoll[[#This Row],[Month_to_Expiry]]&gt;=12, "12 M+",)))))</f>
        <v/>
      </c>
      <c r="W438">
        <f>IF(tblRentRoll[[#This Row],[Status]]="Vacant", tblRentRoll[[#This Row],[Area_sqm]],0)</f>
        <v>1069</v>
      </c>
      <c r="X438" s="3">
        <f>IF(tblRentRoll[[#This Row],[Status]]="Occupied", tblRentRoll[[#This Row],[Area_sqm]],0)</f>
        <v>0</v>
      </c>
      <c r="Y438" s="3">
        <f ca="1">tblRentRoll[[#This Row],[Month_to_Expiry]]/12*tblRentRoll[[#This Row],[Annual_Rent_EUR]]</f>
        <v>0</v>
      </c>
      <c r="Z438" s="3"/>
    </row>
    <row r="439" spans="1:26" x14ac:dyDescent="0.35">
      <c r="A439" t="s">
        <v>24</v>
      </c>
      <c r="B439" t="s">
        <v>630</v>
      </c>
      <c r="C439" t="s">
        <v>14</v>
      </c>
      <c r="D439">
        <v>721</v>
      </c>
      <c r="E439" t="s">
        <v>15</v>
      </c>
      <c r="F439" t="s">
        <v>284</v>
      </c>
      <c r="G439">
        <v>7974.7</v>
      </c>
      <c r="H439">
        <v>95696.4</v>
      </c>
      <c r="I439" s="2">
        <f>tblRentRoll[[#This Row],[Monthly_Rent_EUR]]*12</f>
        <v>95696.4</v>
      </c>
      <c r="J439" s="2" t="str">
        <f>IF(tblRentRoll[[#This Row],[Annual_Rent_EUR]]&lt;&gt;tblRentRoll[[#This Row],[Jahresrente_EUR]], "FALSCH", "")</f>
        <v/>
      </c>
      <c r="K439" s="1">
        <v>44720</v>
      </c>
      <c r="L439" s="1">
        <v>45807</v>
      </c>
      <c r="M439">
        <v>1213.5899999999999</v>
      </c>
      <c r="N439">
        <v>531.24</v>
      </c>
      <c r="O43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39" t="str">
        <f>IF(tblRentRoll[[#This Row],[Area_sqm]]&lt;=0,"Area&lt;=0","")</f>
        <v/>
      </c>
      <c r="Q439" t="str">
        <f>IF(tblRentRoll[[#This Row],[Monthly_Rent_EUR]]&lt;=0,"Rent&lt;=0","")</f>
        <v/>
      </c>
      <c r="R439">
        <f>IF(AND(tblRentRoll[[#This Row],[Status]]="Occupied", tblRentRoll[[#This Row],[Area_sqm]]&gt;0), tblRentRoll[[#This Row],[Annual_Rent_EUR]]/tblRentRoll[[#This Row],[Area_sqm]],"")</f>
        <v>132.72732316227462</v>
      </c>
      <c r="S439">
        <f>tblRentRoll[[#This Row],[Service_Charge_EUR]]+tblRentRoll[[#This Row],[Operating_Cost_EUR]]</f>
        <v>1744.83</v>
      </c>
      <c r="T439">
        <f>IF(tblRentRoll[[#This Row],[Annual_Rent_EUR]]&lt;&gt;0,tblRentRoll[[#This Row],[Annual_Rent_EUR]]-tblRentRoll[[#This Row],[Operating_Cost_EUR]], "")</f>
        <v>95165.159999999989</v>
      </c>
      <c r="U439">
        <f ca="1">IF(AND(tblRentRoll[[#This Row],[Status]]="Occupied",tblRentRoll[[#This Row],[Lease_End]]&gt;=TODAY()),DATEDIF(TODAY(),tblRentRoll[[#This Row],[Lease_End]],"m"), 0)</f>
        <v>0</v>
      </c>
      <c r="V439" t="str">
        <f ca="1">IF(tblRentRoll[[#This Row],[Status]]&lt;&gt;"Occupied","", IF(tblRentRoll[[#This Row],[Month_to_Expiry]]&lt;=3, "0-3 Monaten",  IF(tblRentRoll[[#This Row],[Month_to_Expiry]]&lt;=6, "3-6 Monaten", IF(tblRentRoll[[#This Row],[Month_to_Expiry]]&lt;=12,"6-12 Monaten", IF(tblRentRoll[[#This Row],[Month_to_Expiry]]&gt;=12, "12 M+",)))))</f>
        <v>0-3 Monaten</v>
      </c>
      <c r="W439">
        <f>IF(tblRentRoll[[#This Row],[Status]]="Vacant", tblRentRoll[[#This Row],[Area_sqm]],0)</f>
        <v>0</v>
      </c>
      <c r="X439" s="3">
        <f>IF(tblRentRoll[[#This Row],[Status]]="Occupied", tblRentRoll[[#This Row],[Area_sqm]],0)</f>
        <v>721</v>
      </c>
      <c r="Y439" s="3">
        <f ca="1">tblRentRoll[[#This Row],[Month_to_Expiry]]/12*tblRentRoll[[#This Row],[Annual_Rent_EUR]]</f>
        <v>0</v>
      </c>
      <c r="Z439" s="3"/>
    </row>
    <row r="440" spans="1:26" x14ac:dyDescent="0.35">
      <c r="A440" t="s">
        <v>44</v>
      </c>
      <c r="B440" t="s">
        <v>631</v>
      </c>
      <c r="C440" t="s">
        <v>33</v>
      </c>
      <c r="D440">
        <v>253</v>
      </c>
      <c r="E440" t="s">
        <v>15</v>
      </c>
      <c r="F440" t="s">
        <v>632</v>
      </c>
      <c r="G440">
        <v>2442</v>
      </c>
      <c r="H440">
        <v>29304</v>
      </c>
      <c r="I440" s="2">
        <f>tblRentRoll[[#This Row],[Monthly_Rent_EUR]]*12</f>
        <v>29304</v>
      </c>
      <c r="J440" s="2" t="str">
        <f>IF(tblRentRoll[[#This Row],[Annual_Rent_EUR]]&lt;&gt;tblRentRoll[[#This Row],[Jahresrente_EUR]], "FALSCH", "")</f>
        <v/>
      </c>
      <c r="K440" s="1">
        <v>44453</v>
      </c>
      <c r="L440" s="1">
        <v>44746</v>
      </c>
      <c r="M440">
        <v>676.61</v>
      </c>
      <c r="N440">
        <v>162.53</v>
      </c>
      <c r="O44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0" t="str">
        <f>IF(tblRentRoll[[#This Row],[Area_sqm]]&lt;=0,"Area&lt;=0","")</f>
        <v/>
      </c>
      <c r="Q440" t="str">
        <f>IF(tblRentRoll[[#This Row],[Monthly_Rent_EUR]]&lt;=0,"Rent&lt;=0","")</f>
        <v/>
      </c>
      <c r="R440">
        <f>IF(AND(tblRentRoll[[#This Row],[Status]]="Occupied", tblRentRoll[[#This Row],[Area_sqm]]&gt;0), tblRentRoll[[#This Row],[Annual_Rent_EUR]]/tblRentRoll[[#This Row],[Area_sqm]],"")</f>
        <v>115.82608695652173</v>
      </c>
      <c r="S440">
        <f>tblRentRoll[[#This Row],[Service_Charge_EUR]]+tblRentRoll[[#This Row],[Operating_Cost_EUR]]</f>
        <v>839.14</v>
      </c>
      <c r="T440">
        <f>IF(tblRentRoll[[#This Row],[Annual_Rent_EUR]]&lt;&gt;0,tblRentRoll[[#This Row],[Annual_Rent_EUR]]-tblRentRoll[[#This Row],[Operating_Cost_EUR]], "")</f>
        <v>29141.47</v>
      </c>
      <c r="U440">
        <f ca="1">IF(AND(tblRentRoll[[#This Row],[Status]]="Occupied",tblRentRoll[[#This Row],[Lease_End]]&gt;=TODAY()),DATEDIF(TODAY(),tblRentRoll[[#This Row],[Lease_End]],"m"), 0)</f>
        <v>0</v>
      </c>
      <c r="V440" t="str">
        <f ca="1">IF(tblRentRoll[[#This Row],[Status]]&lt;&gt;"Occupied","", IF(tblRentRoll[[#This Row],[Month_to_Expiry]]&lt;=3, "0-3 Monaten",  IF(tblRentRoll[[#This Row],[Month_to_Expiry]]&lt;=6, "3-6 Monaten", IF(tblRentRoll[[#This Row],[Month_to_Expiry]]&lt;=12,"6-12 Monaten", IF(tblRentRoll[[#This Row],[Month_to_Expiry]]&gt;=12, "12 M+",)))))</f>
        <v>0-3 Monaten</v>
      </c>
      <c r="W440">
        <f>IF(tblRentRoll[[#This Row],[Status]]="Vacant", tblRentRoll[[#This Row],[Area_sqm]],0)</f>
        <v>0</v>
      </c>
      <c r="X440" s="3">
        <f>IF(tblRentRoll[[#This Row],[Status]]="Occupied", tblRentRoll[[#This Row],[Area_sqm]],0)</f>
        <v>253</v>
      </c>
      <c r="Y440" s="3">
        <f ca="1">tblRentRoll[[#This Row],[Month_to_Expiry]]/12*tblRentRoll[[#This Row],[Annual_Rent_EUR]]</f>
        <v>0</v>
      </c>
      <c r="Z440" s="3"/>
    </row>
    <row r="441" spans="1:26" x14ac:dyDescent="0.35">
      <c r="A441" t="s">
        <v>56</v>
      </c>
      <c r="B441" t="s">
        <v>633</v>
      </c>
      <c r="C441" t="s">
        <v>29</v>
      </c>
      <c r="D441">
        <v>75</v>
      </c>
      <c r="E441" t="s">
        <v>15</v>
      </c>
      <c r="F441" t="s">
        <v>98</v>
      </c>
      <c r="G441">
        <v>798.46</v>
      </c>
      <c r="H441">
        <v>9581.52</v>
      </c>
      <c r="I441" s="2">
        <f>tblRentRoll[[#This Row],[Monthly_Rent_EUR]]*12</f>
        <v>9581.52</v>
      </c>
      <c r="J441" s="2" t="str">
        <f>IF(tblRentRoll[[#This Row],[Annual_Rent_EUR]]&lt;&gt;tblRentRoll[[#This Row],[Jahresrente_EUR]], "FALSCH", "")</f>
        <v/>
      </c>
      <c r="K441" s="1">
        <v>44761</v>
      </c>
      <c r="L441" s="1">
        <v>45811</v>
      </c>
      <c r="M441">
        <v>79.010000000000005</v>
      </c>
      <c r="N441">
        <v>95.71</v>
      </c>
      <c r="O44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1" t="str">
        <f>IF(tblRentRoll[[#This Row],[Area_sqm]]&lt;=0,"Area&lt;=0","")</f>
        <v/>
      </c>
      <c r="Q441" t="str">
        <f>IF(tblRentRoll[[#This Row],[Monthly_Rent_EUR]]&lt;=0,"Rent&lt;=0","")</f>
        <v/>
      </c>
      <c r="R441">
        <f>IF(AND(tblRentRoll[[#This Row],[Status]]="Occupied", tblRentRoll[[#This Row],[Area_sqm]]&gt;0), tblRentRoll[[#This Row],[Annual_Rent_EUR]]/tblRentRoll[[#This Row],[Area_sqm]],"")</f>
        <v>127.75360000000001</v>
      </c>
      <c r="S441">
        <f>tblRentRoll[[#This Row],[Service_Charge_EUR]]+tblRentRoll[[#This Row],[Operating_Cost_EUR]]</f>
        <v>174.72</v>
      </c>
      <c r="T441">
        <f>IF(tblRentRoll[[#This Row],[Annual_Rent_EUR]]&lt;&gt;0,tblRentRoll[[#This Row],[Annual_Rent_EUR]]-tblRentRoll[[#This Row],[Operating_Cost_EUR]], "")</f>
        <v>9485.8100000000013</v>
      </c>
      <c r="U441">
        <f ca="1">IF(AND(tblRentRoll[[#This Row],[Status]]="Occupied",tblRentRoll[[#This Row],[Lease_End]]&gt;=TODAY()),DATEDIF(TODAY(),tblRentRoll[[#This Row],[Lease_End]],"m"), 0)</f>
        <v>0</v>
      </c>
      <c r="V441" t="str">
        <f ca="1">IF(tblRentRoll[[#This Row],[Status]]&lt;&gt;"Occupied","", IF(tblRentRoll[[#This Row],[Month_to_Expiry]]&lt;=3, "0-3 Monaten",  IF(tblRentRoll[[#This Row],[Month_to_Expiry]]&lt;=6, "3-6 Monaten", IF(tblRentRoll[[#This Row],[Month_to_Expiry]]&lt;=12,"6-12 Monaten", IF(tblRentRoll[[#This Row],[Month_to_Expiry]]&gt;=12, "12 M+",)))))</f>
        <v>0-3 Monaten</v>
      </c>
      <c r="W441">
        <f>IF(tblRentRoll[[#This Row],[Status]]="Vacant", tblRentRoll[[#This Row],[Area_sqm]],0)</f>
        <v>0</v>
      </c>
      <c r="X441" s="3">
        <f>IF(tblRentRoll[[#This Row],[Status]]="Occupied", tblRentRoll[[#This Row],[Area_sqm]],0)</f>
        <v>75</v>
      </c>
      <c r="Y441" s="3">
        <f ca="1">tblRentRoll[[#This Row],[Month_to_Expiry]]/12*tblRentRoll[[#This Row],[Annual_Rent_EUR]]</f>
        <v>0</v>
      </c>
      <c r="Z441" s="3"/>
    </row>
    <row r="442" spans="1:26" x14ac:dyDescent="0.35">
      <c r="A442" t="s">
        <v>56</v>
      </c>
      <c r="B442" t="s">
        <v>634</v>
      </c>
      <c r="C442" t="s">
        <v>14</v>
      </c>
      <c r="D442">
        <v>1037</v>
      </c>
      <c r="E442" t="s">
        <v>15</v>
      </c>
      <c r="F442" t="s">
        <v>212</v>
      </c>
      <c r="G442">
        <v>17823.32</v>
      </c>
      <c r="H442">
        <v>213879.84</v>
      </c>
      <c r="I442" s="2">
        <f>tblRentRoll[[#This Row],[Monthly_Rent_EUR]]*12</f>
        <v>213879.84</v>
      </c>
      <c r="J442" s="2" t="str">
        <f>IF(tblRentRoll[[#This Row],[Annual_Rent_EUR]]&lt;&gt;tblRentRoll[[#This Row],[Jahresrente_EUR]], "FALSCH", "")</f>
        <v/>
      </c>
      <c r="K442" s="1">
        <v>44973</v>
      </c>
      <c r="L442" s="1">
        <v>45763</v>
      </c>
      <c r="M442">
        <v>1084.42</v>
      </c>
      <c r="N442">
        <v>1108.29</v>
      </c>
      <c r="O44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2" t="str">
        <f>IF(tblRentRoll[[#This Row],[Area_sqm]]&lt;=0,"Area&lt;=0","")</f>
        <v/>
      </c>
      <c r="Q442" t="str">
        <f>IF(tblRentRoll[[#This Row],[Monthly_Rent_EUR]]&lt;=0,"Rent&lt;=0","")</f>
        <v/>
      </c>
      <c r="R442">
        <f>IF(AND(tblRentRoll[[#This Row],[Status]]="Occupied", tblRentRoll[[#This Row],[Area_sqm]]&gt;0), tblRentRoll[[#This Row],[Annual_Rent_EUR]]/tblRentRoll[[#This Row],[Area_sqm]],"")</f>
        <v>206.24864030858245</v>
      </c>
      <c r="S442">
        <f>tblRentRoll[[#This Row],[Service_Charge_EUR]]+tblRentRoll[[#This Row],[Operating_Cost_EUR]]</f>
        <v>2192.71</v>
      </c>
      <c r="T442">
        <f>IF(tblRentRoll[[#This Row],[Annual_Rent_EUR]]&lt;&gt;0,tblRentRoll[[#This Row],[Annual_Rent_EUR]]-tblRentRoll[[#This Row],[Operating_Cost_EUR]], "")</f>
        <v>212771.55</v>
      </c>
      <c r="U442">
        <f ca="1">IF(AND(tblRentRoll[[#This Row],[Status]]="Occupied",tblRentRoll[[#This Row],[Lease_End]]&gt;=TODAY()),DATEDIF(TODAY(),tblRentRoll[[#This Row],[Lease_End]],"m"), 0)</f>
        <v>0</v>
      </c>
      <c r="V442" t="str">
        <f ca="1">IF(tblRentRoll[[#This Row],[Status]]&lt;&gt;"Occupied","", IF(tblRentRoll[[#This Row],[Month_to_Expiry]]&lt;=3, "0-3 Monaten",  IF(tblRentRoll[[#This Row],[Month_to_Expiry]]&lt;=6, "3-6 Monaten", IF(tblRentRoll[[#This Row],[Month_to_Expiry]]&lt;=12,"6-12 Monaten", IF(tblRentRoll[[#This Row],[Month_to_Expiry]]&gt;=12, "12 M+",)))))</f>
        <v>0-3 Monaten</v>
      </c>
      <c r="W442">
        <f>IF(tblRentRoll[[#This Row],[Status]]="Vacant", tblRentRoll[[#This Row],[Area_sqm]],0)</f>
        <v>0</v>
      </c>
      <c r="X442" s="3">
        <f>IF(tblRentRoll[[#This Row],[Status]]="Occupied", tblRentRoll[[#This Row],[Area_sqm]],0)</f>
        <v>1037</v>
      </c>
      <c r="Y442" s="3">
        <f ca="1">tblRentRoll[[#This Row],[Month_to_Expiry]]/12*tblRentRoll[[#This Row],[Annual_Rent_EUR]]</f>
        <v>0</v>
      </c>
      <c r="Z442" s="3"/>
    </row>
    <row r="443" spans="1:26" x14ac:dyDescent="0.35">
      <c r="A443" t="s">
        <v>56</v>
      </c>
      <c r="B443" t="s">
        <v>635</v>
      </c>
      <c r="C443" t="s">
        <v>29</v>
      </c>
      <c r="D443">
        <v>728</v>
      </c>
      <c r="E443" t="s">
        <v>15</v>
      </c>
      <c r="F443" t="s">
        <v>95</v>
      </c>
      <c r="G443">
        <v>5453.56</v>
      </c>
      <c r="H443">
        <v>65442.720000000001</v>
      </c>
      <c r="I443" s="2">
        <f>tblRentRoll[[#This Row],[Monthly_Rent_EUR]]*12</f>
        <v>65442.720000000001</v>
      </c>
      <c r="J443" s="2" t="str">
        <f>IF(tblRentRoll[[#This Row],[Annual_Rent_EUR]]&lt;&gt;tblRentRoll[[#This Row],[Jahresrente_EUR]], "FALSCH", "")</f>
        <v/>
      </c>
      <c r="K443" s="1">
        <v>44977</v>
      </c>
      <c r="L443" s="1">
        <v>46695</v>
      </c>
      <c r="M443">
        <v>2122.9499999999998</v>
      </c>
      <c r="N443">
        <v>1792.54</v>
      </c>
      <c r="O44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3" t="str">
        <f>IF(tblRentRoll[[#This Row],[Area_sqm]]&lt;=0,"Area&lt;=0","")</f>
        <v/>
      </c>
      <c r="Q443" t="str">
        <f>IF(tblRentRoll[[#This Row],[Monthly_Rent_EUR]]&lt;=0,"Rent&lt;=0","")</f>
        <v/>
      </c>
      <c r="R443">
        <f>IF(AND(tblRentRoll[[#This Row],[Status]]="Occupied", tblRentRoll[[#This Row],[Area_sqm]]&gt;0), tblRentRoll[[#This Row],[Annual_Rent_EUR]]/tblRentRoll[[#This Row],[Area_sqm]],"")</f>
        <v>89.893846153846155</v>
      </c>
      <c r="S443">
        <f>tblRentRoll[[#This Row],[Service_Charge_EUR]]+tblRentRoll[[#This Row],[Operating_Cost_EUR]]</f>
        <v>3915.49</v>
      </c>
      <c r="T443">
        <f>IF(tblRentRoll[[#This Row],[Annual_Rent_EUR]]&lt;&gt;0,tblRentRoll[[#This Row],[Annual_Rent_EUR]]-tblRentRoll[[#This Row],[Operating_Cost_EUR]], "")</f>
        <v>63650.18</v>
      </c>
      <c r="U443">
        <f ca="1">IF(AND(tblRentRoll[[#This Row],[Status]]="Occupied",tblRentRoll[[#This Row],[Lease_End]]&gt;=TODAY()),DATEDIF(TODAY(),tblRentRoll[[#This Row],[Lease_End]],"m"), 0)</f>
        <v>19</v>
      </c>
      <c r="V443" t="str">
        <f ca="1">IF(tblRentRoll[[#This Row],[Status]]&lt;&gt;"Occupied","", IF(tblRentRoll[[#This Row],[Month_to_Expiry]]&lt;=3, "0-3 Monaten",  IF(tblRentRoll[[#This Row],[Month_to_Expiry]]&lt;=6, "3-6 Monaten", IF(tblRentRoll[[#This Row],[Month_to_Expiry]]&lt;=12,"6-12 Monaten", IF(tblRentRoll[[#This Row],[Month_to_Expiry]]&gt;=12, "12 M+",)))))</f>
        <v>12 M+</v>
      </c>
      <c r="W443">
        <f>IF(tblRentRoll[[#This Row],[Status]]="Vacant", tblRentRoll[[#This Row],[Area_sqm]],0)</f>
        <v>0</v>
      </c>
      <c r="X443" s="3">
        <f>IF(tblRentRoll[[#This Row],[Status]]="Occupied", tblRentRoll[[#This Row],[Area_sqm]],0)</f>
        <v>728</v>
      </c>
      <c r="Y443" s="3">
        <f ca="1">tblRentRoll[[#This Row],[Month_to_Expiry]]/12*tblRentRoll[[#This Row],[Annual_Rent_EUR]]</f>
        <v>103617.64</v>
      </c>
      <c r="Z443" s="3"/>
    </row>
    <row r="444" spans="1:26" x14ac:dyDescent="0.35">
      <c r="A444" t="s">
        <v>27</v>
      </c>
      <c r="B444" t="s">
        <v>636</v>
      </c>
      <c r="C444" t="s">
        <v>33</v>
      </c>
      <c r="D444">
        <v>309</v>
      </c>
      <c r="E444" t="s">
        <v>20</v>
      </c>
      <c r="G444">
        <v>0</v>
      </c>
      <c r="H444">
        <v>0</v>
      </c>
      <c r="I444" s="2">
        <f>tblRentRoll[[#This Row],[Monthly_Rent_EUR]]*12</f>
        <v>0</v>
      </c>
      <c r="J444" s="2" t="str">
        <f>IF(tblRentRoll[[#This Row],[Annual_Rent_EUR]]&lt;&gt;tblRentRoll[[#This Row],[Jahresrente_EUR]], "FALSCH", "")</f>
        <v/>
      </c>
      <c r="M444">
        <v>668.25</v>
      </c>
      <c r="N444">
        <v>500.43</v>
      </c>
      <c r="O44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4" t="str">
        <f>IF(tblRentRoll[[#This Row],[Area_sqm]]&lt;=0,"Area&lt;=0","")</f>
        <v/>
      </c>
      <c r="Q444" t="str">
        <f>IF(tblRentRoll[[#This Row],[Monthly_Rent_EUR]]&lt;=0,"Rent&lt;=0","")</f>
        <v>Rent&lt;=0</v>
      </c>
      <c r="R444" t="str">
        <f>IF(AND(tblRentRoll[[#This Row],[Status]]="Occupied", tblRentRoll[[#This Row],[Area_sqm]]&gt;0), tblRentRoll[[#This Row],[Annual_Rent_EUR]]/tblRentRoll[[#This Row],[Area_sqm]],"")</f>
        <v/>
      </c>
      <c r="S444">
        <f>tblRentRoll[[#This Row],[Service_Charge_EUR]]+tblRentRoll[[#This Row],[Operating_Cost_EUR]]</f>
        <v>1168.68</v>
      </c>
      <c r="T444" t="str">
        <f>IF(tblRentRoll[[#This Row],[Annual_Rent_EUR]]&lt;&gt;0,tblRentRoll[[#This Row],[Annual_Rent_EUR]]-tblRentRoll[[#This Row],[Operating_Cost_EUR]], "")</f>
        <v/>
      </c>
      <c r="U444">
        <f ca="1">IF(AND(tblRentRoll[[#This Row],[Status]]="Occupied",tblRentRoll[[#This Row],[Lease_End]]&gt;=TODAY()),DATEDIF(TODAY(),tblRentRoll[[#This Row],[Lease_End]],"m"), 0)</f>
        <v>0</v>
      </c>
      <c r="V444" t="str">
        <f>IF(tblRentRoll[[#This Row],[Status]]&lt;&gt;"Occupied","", IF(tblRentRoll[[#This Row],[Month_to_Expiry]]&lt;=3, "0-3 Monaten",  IF(tblRentRoll[[#This Row],[Month_to_Expiry]]&lt;=6, "3-6 Monaten", IF(tblRentRoll[[#This Row],[Month_to_Expiry]]&lt;=12,"6-12 Monaten", IF(tblRentRoll[[#This Row],[Month_to_Expiry]]&gt;=12, "12 M+",)))))</f>
        <v/>
      </c>
      <c r="W444">
        <f>IF(tblRentRoll[[#This Row],[Status]]="Vacant", tblRentRoll[[#This Row],[Area_sqm]],0)</f>
        <v>309</v>
      </c>
      <c r="X444" s="3">
        <f>IF(tblRentRoll[[#This Row],[Status]]="Occupied", tblRentRoll[[#This Row],[Area_sqm]],0)</f>
        <v>0</v>
      </c>
      <c r="Y444" s="3">
        <f ca="1">tblRentRoll[[#This Row],[Month_to_Expiry]]/12*tblRentRoll[[#This Row],[Annual_Rent_EUR]]</f>
        <v>0</v>
      </c>
      <c r="Z444" s="3"/>
    </row>
    <row r="445" spans="1:26" x14ac:dyDescent="0.35">
      <c r="A445" t="s">
        <v>12</v>
      </c>
      <c r="B445" t="s">
        <v>637</v>
      </c>
      <c r="C445" t="s">
        <v>29</v>
      </c>
      <c r="D445">
        <v>1475</v>
      </c>
      <c r="E445" t="s">
        <v>15</v>
      </c>
      <c r="F445" t="s">
        <v>160</v>
      </c>
      <c r="G445">
        <v>22632.19</v>
      </c>
      <c r="H445">
        <v>271586.28000000003</v>
      </c>
      <c r="I445" s="2">
        <f>tblRentRoll[[#This Row],[Monthly_Rent_EUR]]*12</f>
        <v>271586.27999999997</v>
      </c>
      <c r="J445" s="2" t="str">
        <f>IF(tblRentRoll[[#This Row],[Annual_Rent_EUR]]&lt;&gt;tblRentRoll[[#This Row],[Jahresrente_EUR]], "FALSCH", "")</f>
        <v/>
      </c>
      <c r="K445" s="1">
        <v>45204</v>
      </c>
      <c r="L445" s="1">
        <v>46554</v>
      </c>
      <c r="M445">
        <v>3001.53</v>
      </c>
      <c r="N445">
        <v>2305.9299999999998</v>
      </c>
      <c r="O44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5" t="str">
        <f>IF(tblRentRoll[[#This Row],[Area_sqm]]&lt;=0,"Area&lt;=0","")</f>
        <v/>
      </c>
      <c r="Q445" t="str">
        <f>IF(tblRentRoll[[#This Row],[Monthly_Rent_EUR]]&lt;=0,"Rent&lt;=0","")</f>
        <v/>
      </c>
      <c r="R445">
        <f>IF(AND(tblRentRoll[[#This Row],[Status]]="Occupied", tblRentRoll[[#This Row],[Area_sqm]]&gt;0), tblRentRoll[[#This Row],[Annual_Rent_EUR]]/tblRentRoll[[#This Row],[Area_sqm]],"")</f>
        <v>184.12629152542374</v>
      </c>
      <c r="S445">
        <f>tblRentRoll[[#This Row],[Service_Charge_EUR]]+tblRentRoll[[#This Row],[Operating_Cost_EUR]]</f>
        <v>5307.46</v>
      </c>
      <c r="T445">
        <f>IF(tblRentRoll[[#This Row],[Annual_Rent_EUR]]&lt;&gt;0,tblRentRoll[[#This Row],[Annual_Rent_EUR]]-tblRentRoll[[#This Row],[Operating_Cost_EUR]], "")</f>
        <v>269280.35000000003</v>
      </c>
      <c r="U445">
        <f ca="1">IF(AND(tblRentRoll[[#This Row],[Status]]="Occupied",tblRentRoll[[#This Row],[Lease_End]]&gt;=TODAY()),DATEDIF(TODAY(),tblRentRoll[[#This Row],[Lease_End]],"m"), 0)</f>
        <v>15</v>
      </c>
      <c r="V445" t="str">
        <f ca="1">IF(tblRentRoll[[#This Row],[Status]]&lt;&gt;"Occupied","", IF(tblRentRoll[[#This Row],[Month_to_Expiry]]&lt;=3, "0-3 Monaten",  IF(tblRentRoll[[#This Row],[Month_to_Expiry]]&lt;=6, "3-6 Monaten", IF(tblRentRoll[[#This Row],[Month_to_Expiry]]&lt;=12,"6-12 Monaten", IF(tblRentRoll[[#This Row],[Month_to_Expiry]]&gt;=12, "12 M+",)))))</f>
        <v>12 M+</v>
      </c>
      <c r="W445">
        <f>IF(tblRentRoll[[#This Row],[Status]]="Vacant", tblRentRoll[[#This Row],[Area_sqm]],0)</f>
        <v>0</v>
      </c>
      <c r="X445" s="3">
        <f>IF(tblRentRoll[[#This Row],[Status]]="Occupied", tblRentRoll[[#This Row],[Area_sqm]],0)</f>
        <v>1475</v>
      </c>
      <c r="Y445" s="3">
        <f ca="1">tblRentRoll[[#This Row],[Month_to_Expiry]]/12*tblRentRoll[[#This Row],[Annual_Rent_EUR]]</f>
        <v>339482.85000000003</v>
      </c>
      <c r="Z445" s="3"/>
    </row>
    <row r="446" spans="1:26" x14ac:dyDescent="0.35">
      <c r="A446" t="s">
        <v>27</v>
      </c>
      <c r="B446" t="s">
        <v>638</v>
      </c>
      <c r="C446" t="s">
        <v>14</v>
      </c>
      <c r="D446">
        <v>355</v>
      </c>
      <c r="E446" t="s">
        <v>15</v>
      </c>
      <c r="F446" t="s">
        <v>134</v>
      </c>
      <c r="G446">
        <v>3630.86</v>
      </c>
      <c r="H446">
        <v>43570.32</v>
      </c>
      <c r="I446" s="2">
        <f>tblRentRoll[[#This Row],[Monthly_Rent_EUR]]*12</f>
        <v>43570.32</v>
      </c>
      <c r="J446" s="2" t="str">
        <f>IF(tblRentRoll[[#This Row],[Annual_Rent_EUR]]&lt;&gt;tblRentRoll[[#This Row],[Jahresrente_EUR]], "FALSCH", "")</f>
        <v/>
      </c>
      <c r="K446" s="1">
        <v>45117</v>
      </c>
      <c r="L446" s="1">
        <v>45993</v>
      </c>
      <c r="M446">
        <v>574.75</v>
      </c>
      <c r="N446">
        <v>309.58</v>
      </c>
      <c r="O44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6" t="str">
        <f>IF(tblRentRoll[[#This Row],[Area_sqm]]&lt;=0,"Area&lt;=0","")</f>
        <v/>
      </c>
      <c r="Q446" t="str">
        <f>IF(tblRentRoll[[#This Row],[Monthly_Rent_EUR]]&lt;=0,"Rent&lt;=0","")</f>
        <v/>
      </c>
      <c r="R446">
        <f>IF(AND(tblRentRoll[[#This Row],[Status]]="Occupied", tblRentRoll[[#This Row],[Area_sqm]]&gt;0), tblRentRoll[[#This Row],[Annual_Rent_EUR]]/tblRentRoll[[#This Row],[Area_sqm]],"")</f>
        <v>122.73329577464789</v>
      </c>
      <c r="S446">
        <f>tblRentRoll[[#This Row],[Service_Charge_EUR]]+tblRentRoll[[#This Row],[Operating_Cost_EUR]]</f>
        <v>884.32999999999993</v>
      </c>
      <c r="T446">
        <f>IF(tblRentRoll[[#This Row],[Annual_Rent_EUR]]&lt;&gt;0,tblRentRoll[[#This Row],[Annual_Rent_EUR]]-tblRentRoll[[#This Row],[Operating_Cost_EUR]], "")</f>
        <v>43260.74</v>
      </c>
      <c r="U446">
        <f ca="1">IF(AND(tblRentRoll[[#This Row],[Status]]="Occupied",tblRentRoll[[#This Row],[Lease_End]]&gt;=TODAY()),DATEDIF(TODAY(),tblRentRoll[[#This Row],[Lease_End]],"m"), 0)</f>
        <v>0</v>
      </c>
      <c r="V446" t="str">
        <f ca="1">IF(tblRentRoll[[#This Row],[Status]]&lt;&gt;"Occupied","", IF(tblRentRoll[[#This Row],[Month_to_Expiry]]&lt;=3, "0-3 Monaten",  IF(tblRentRoll[[#This Row],[Month_to_Expiry]]&lt;=6, "3-6 Monaten", IF(tblRentRoll[[#This Row],[Month_to_Expiry]]&lt;=12,"6-12 Monaten", IF(tblRentRoll[[#This Row],[Month_to_Expiry]]&gt;=12, "12 M+",)))))</f>
        <v>0-3 Monaten</v>
      </c>
      <c r="W446">
        <f>IF(tblRentRoll[[#This Row],[Status]]="Vacant", tblRentRoll[[#This Row],[Area_sqm]],0)</f>
        <v>0</v>
      </c>
      <c r="X446" s="3">
        <f>IF(tblRentRoll[[#This Row],[Status]]="Occupied", tblRentRoll[[#This Row],[Area_sqm]],0)</f>
        <v>355</v>
      </c>
      <c r="Y446" s="3">
        <f ca="1">tblRentRoll[[#This Row],[Month_to_Expiry]]/12*tblRentRoll[[#This Row],[Annual_Rent_EUR]]</f>
        <v>0</v>
      </c>
      <c r="Z446" s="3"/>
    </row>
    <row r="447" spans="1:26" x14ac:dyDescent="0.35">
      <c r="A447" t="s">
        <v>44</v>
      </c>
      <c r="B447" t="s">
        <v>639</v>
      </c>
      <c r="C447" t="s">
        <v>14</v>
      </c>
      <c r="D447">
        <v>1053</v>
      </c>
      <c r="E447" t="s">
        <v>15</v>
      </c>
      <c r="F447" t="s">
        <v>74</v>
      </c>
      <c r="G447">
        <v>14959.17</v>
      </c>
      <c r="H447">
        <v>179510.04</v>
      </c>
      <c r="I447" s="2">
        <f>tblRentRoll[[#This Row],[Monthly_Rent_EUR]]*12</f>
        <v>179510.04</v>
      </c>
      <c r="J447" s="2" t="str">
        <f>IF(tblRentRoll[[#This Row],[Annual_Rent_EUR]]&lt;&gt;tblRentRoll[[#This Row],[Jahresrente_EUR]], "FALSCH", "")</f>
        <v/>
      </c>
      <c r="K447" s="1">
        <v>45276</v>
      </c>
      <c r="L447" s="1">
        <v>46645</v>
      </c>
      <c r="M447">
        <v>2741.85</v>
      </c>
      <c r="N447">
        <v>1601.84</v>
      </c>
      <c r="O44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7" t="str">
        <f>IF(tblRentRoll[[#This Row],[Area_sqm]]&lt;=0,"Area&lt;=0","")</f>
        <v/>
      </c>
      <c r="Q447" t="str">
        <f>IF(tblRentRoll[[#This Row],[Monthly_Rent_EUR]]&lt;=0,"Rent&lt;=0","")</f>
        <v/>
      </c>
      <c r="R447">
        <f>IF(AND(tblRentRoll[[#This Row],[Status]]="Occupied", tblRentRoll[[#This Row],[Area_sqm]]&gt;0), tblRentRoll[[#This Row],[Annual_Rent_EUR]]/tblRentRoll[[#This Row],[Area_sqm]],"")</f>
        <v>170.4748717948718</v>
      </c>
      <c r="S447">
        <f>tblRentRoll[[#This Row],[Service_Charge_EUR]]+tblRentRoll[[#This Row],[Operating_Cost_EUR]]</f>
        <v>4343.6899999999996</v>
      </c>
      <c r="T447">
        <f>IF(tblRentRoll[[#This Row],[Annual_Rent_EUR]]&lt;&gt;0,tblRentRoll[[#This Row],[Annual_Rent_EUR]]-tblRentRoll[[#This Row],[Operating_Cost_EUR]], "")</f>
        <v>177908.2</v>
      </c>
      <c r="U447">
        <f ca="1">IF(AND(tblRentRoll[[#This Row],[Status]]="Occupied",tblRentRoll[[#This Row],[Lease_End]]&gt;=TODAY()),DATEDIF(TODAY(),tblRentRoll[[#This Row],[Lease_End]],"m"), 0)</f>
        <v>18</v>
      </c>
      <c r="V447" t="str">
        <f ca="1">IF(tblRentRoll[[#This Row],[Status]]&lt;&gt;"Occupied","", IF(tblRentRoll[[#This Row],[Month_to_Expiry]]&lt;=3, "0-3 Monaten",  IF(tblRentRoll[[#This Row],[Month_to_Expiry]]&lt;=6, "3-6 Monaten", IF(tblRentRoll[[#This Row],[Month_to_Expiry]]&lt;=12,"6-12 Monaten", IF(tblRentRoll[[#This Row],[Month_to_Expiry]]&gt;=12, "12 M+",)))))</f>
        <v>12 M+</v>
      </c>
      <c r="W447">
        <f>IF(tblRentRoll[[#This Row],[Status]]="Vacant", tblRentRoll[[#This Row],[Area_sqm]],0)</f>
        <v>0</v>
      </c>
      <c r="X447" s="3">
        <f>IF(tblRentRoll[[#This Row],[Status]]="Occupied", tblRentRoll[[#This Row],[Area_sqm]],0)</f>
        <v>1053</v>
      </c>
      <c r="Y447" s="3">
        <f ca="1">tblRentRoll[[#This Row],[Month_to_Expiry]]/12*tblRentRoll[[#This Row],[Annual_Rent_EUR]]</f>
        <v>269265.06</v>
      </c>
      <c r="Z447" s="3"/>
    </row>
    <row r="448" spans="1:26" x14ac:dyDescent="0.35">
      <c r="A448" t="s">
        <v>21</v>
      </c>
      <c r="B448" t="s">
        <v>640</v>
      </c>
      <c r="C448" t="s">
        <v>33</v>
      </c>
      <c r="D448">
        <v>137</v>
      </c>
      <c r="E448" t="s">
        <v>15</v>
      </c>
      <c r="F448" t="s">
        <v>23</v>
      </c>
      <c r="G448">
        <v>1105.8399999999999</v>
      </c>
      <c r="H448">
        <v>13270.08</v>
      </c>
      <c r="I448" s="2">
        <f>tblRentRoll[[#This Row],[Monthly_Rent_EUR]]*12</f>
        <v>13270.079999999998</v>
      </c>
      <c r="J448" s="2" t="str">
        <f>IF(tblRentRoll[[#This Row],[Annual_Rent_EUR]]&lt;&gt;tblRentRoll[[#This Row],[Jahresrente_EUR]], "FALSCH", "")</f>
        <v/>
      </c>
      <c r="K448" s="1">
        <v>44308</v>
      </c>
      <c r="L448" s="1">
        <v>45948</v>
      </c>
      <c r="M448">
        <v>344.7</v>
      </c>
      <c r="N448">
        <v>235.24</v>
      </c>
      <c r="O44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8" t="str">
        <f>IF(tblRentRoll[[#This Row],[Area_sqm]]&lt;=0,"Area&lt;=0","")</f>
        <v/>
      </c>
      <c r="Q448" t="str">
        <f>IF(tblRentRoll[[#This Row],[Monthly_Rent_EUR]]&lt;=0,"Rent&lt;=0","")</f>
        <v/>
      </c>
      <c r="R448">
        <f>IF(AND(tblRentRoll[[#This Row],[Status]]="Occupied", tblRentRoll[[#This Row],[Area_sqm]]&gt;0), tblRentRoll[[#This Row],[Annual_Rent_EUR]]/tblRentRoll[[#This Row],[Area_sqm]],"")</f>
        <v>96.861897810218977</v>
      </c>
      <c r="S448">
        <f>tblRentRoll[[#This Row],[Service_Charge_EUR]]+tblRentRoll[[#This Row],[Operating_Cost_EUR]]</f>
        <v>579.94000000000005</v>
      </c>
      <c r="T448">
        <f>IF(tblRentRoll[[#This Row],[Annual_Rent_EUR]]&lt;&gt;0,tblRentRoll[[#This Row],[Annual_Rent_EUR]]-tblRentRoll[[#This Row],[Operating_Cost_EUR]], "")</f>
        <v>13034.84</v>
      </c>
      <c r="U448">
        <f ca="1">IF(AND(tblRentRoll[[#This Row],[Status]]="Occupied",tblRentRoll[[#This Row],[Lease_End]]&gt;=TODAY()),DATEDIF(TODAY(),tblRentRoll[[#This Row],[Lease_End]],"m"), 0)</f>
        <v>0</v>
      </c>
      <c r="V448" t="str">
        <f ca="1">IF(tblRentRoll[[#This Row],[Status]]&lt;&gt;"Occupied","", IF(tblRentRoll[[#This Row],[Month_to_Expiry]]&lt;=3, "0-3 Monaten",  IF(tblRentRoll[[#This Row],[Month_to_Expiry]]&lt;=6, "3-6 Monaten", IF(tblRentRoll[[#This Row],[Month_to_Expiry]]&lt;=12,"6-12 Monaten", IF(tblRentRoll[[#This Row],[Month_to_Expiry]]&gt;=12, "12 M+",)))))</f>
        <v>0-3 Monaten</v>
      </c>
      <c r="W448">
        <f>IF(tblRentRoll[[#This Row],[Status]]="Vacant", tblRentRoll[[#This Row],[Area_sqm]],0)</f>
        <v>0</v>
      </c>
      <c r="X448" s="3">
        <f>IF(tblRentRoll[[#This Row],[Status]]="Occupied", tblRentRoll[[#This Row],[Area_sqm]],0)</f>
        <v>137</v>
      </c>
      <c r="Y448" s="3">
        <f ca="1">tblRentRoll[[#This Row],[Month_to_Expiry]]/12*tblRentRoll[[#This Row],[Annual_Rent_EUR]]</f>
        <v>0</v>
      </c>
      <c r="Z448" s="3"/>
    </row>
    <row r="449" spans="1:26" x14ac:dyDescent="0.35">
      <c r="A449" t="s">
        <v>56</v>
      </c>
      <c r="B449" t="s">
        <v>641</v>
      </c>
      <c r="C449" t="s">
        <v>29</v>
      </c>
      <c r="D449">
        <v>823</v>
      </c>
      <c r="E449" t="s">
        <v>20</v>
      </c>
      <c r="G449">
        <v>0</v>
      </c>
      <c r="H449">
        <v>0</v>
      </c>
      <c r="I449" s="2">
        <f>tblRentRoll[[#This Row],[Monthly_Rent_EUR]]*12</f>
        <v>0</v>
      </c>
      <c r="J449" s="2" t="str">
        <f>IF(tblRentRoll[[#This Row],[Annual_Rent_EUR]]&lt;&gt;tblRentRoll[[#This Row],[Jahresrente_EUR]], "FALSCH", "")</f>
        <v/>
      </c>
      <c r="M449">
        <v>1620.6</v>
      </c>
      <c r="N449">
        <v>445.72</v>
      </c>
      <c r="O44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49" t="str">
        <f>IF(tblRentRoll[[#This Row],[Area_sqm]]&lt;=0,"Area&lt;=0","")</f>
        <v/>
      </c>
      <c r="Q449" t="str">
        <f>IF(tblRentRoll[[#This Row],[Monthly_Rent_EUR]]&lt;=0,"Rent&lt;=0","")</f>
        <v>Rent&lt;=0</v>
      </c>
      <c r="R449" t="str">
        <f>IF(AND(tblRentRoll[[#This Row],[Status]]="Occupied", tblRentRoll[[#This Row],[Area_sqm]]&gt;0), tblRentRoll[[#This Row],[Annual_Rent_EUR]]/tblRentRoll[[#This Row],[Area_sqm]],"")</f>
        <v/>
      </c>
      <c r="S449">
        <f>tblRentRoll[[#This Row],[Service_Charge_EUR]]+tblRentRoll[[#This Row],[Operating_Cost_EUR]]</f>
        <v>2066.3199999999997</v>
      </c>
      <c r="T449" t="str">
        <f>IF(tblRentRoll[[#This Row],[Annual_Rent_EUR]]&lt;&gt;0,tblRentRoll[[#This Row],[Annual_Rent_EUR]]-tblRentRoll[[#This Row],[Operating_Cost_EUR]], "")</f>
        <v/>
      </c>
      <c r="U449">
        <f ca="1">IF(AND(tblRentRoll[[#This Row],[Status]]="Occupied",tblRentRoll[[#This Row],[Lease_End]]&gt;=TODAY()),DATEDIF(TODAY(),tblRentRoll[[#This Row],[Lease_End]],"m"), 0)</f>
        <v>0</v>
      </c>
      <c r="V449" t="str">
        <f>IF(tblRentRoll[[#This Row],[Status]]&lt;&gt;"Occupied","", IF(tblRentRoll[[#This Row],[Month_to_Expiry]]&lt;=3, "0-3 Monaten",  IF(tblRentRoll[[#This Row],[Month_to_Expiry]]&lt;=6, "3-6 Monaten", IF(tblRentRoll[[#This Row],[Month_to_Expiry]]&lt;=12,"6-12 Monaten", IF(tblRentRoll[[#This Row],[Month_to_Expiry]]&gt;=12, "12 M+",)))))</f>
        <v/>
      </c>
      <c r="W449">
        <f>IF(tblRentRoll[[#This Row],[Status]]="Vacant", tblRentRoll[[#This Row],[Area_sqm]],0)</f>
        <v>823</v>
      </c>
      <c r="X449" s="3">
        <f>IF(tblRentRoll[[#This Row],[Status]]="Occupied", tblRentRoll[[#This Row],[Area_sqm]],0)</f>
        <v>0</v>
      </c>
      <c r="Y449" s="3">
        <f ca="1">tblRentRoll[[#This Row],[Month_to_Expiry]]/12*tblRentRoll[[#This Row],[Annual_Rent_EUR]]</f>
        <v>0</v>
      </c>
      <c r="Z449" s="3"/>
    </row>
    <row r="450" spans="1:26" x14ac:dyDescent="0.35">
      <c r="A450" t="s">
        <v>21</v>
      </c>
      <c r="B450" t="s">
        <v>642</v>
      </c>
      <c r="C450" t="s">
        <v>14</v>
      </c>
      <c r="D450">
        <v>601</v>
      </c>
      <c r="E450" t="s">
        <v>20</v>
      </c>
      <c r="G450">
        <v>0</v>
      </c>
      <c r="H450">
        <v>0</v>
      </c>
      <c r="I450" s="2">
        <f>tblRentRoll[[#This Row],[Monthly_Rent_EUR]]*12</f>
        <v>0</v>
      </c>
      <c r="J450" s="2" t="str">
        <f>IF(tblRentRoll[[#This Row],[Annual_Rent_EUR]]&lt;&gt;tblRentRoll[[#This Row],[Jahresrente_EUR]], "FALSCH", "")</f>
        <v/>
      </c>
      <c r="M450">
        <v>911</v>
      </c>
      <c r="N450">
        <v>1393.96</v>
      </c>
      <c r="O45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0" t="str">
        <f>IF(tblRentRoll[[#This Row],[Area_sqm]]&lt;=0,"Area&lt;=0","")</f>
        <v/>
      </c>
      <c r="Q450" t="str">
        <f>IF(tblRentRoll[[#This Row],[Monthly_Rent_EUR]]&lt;=0,"Rent&lt;=0","")</f>
        <v>Rent&lt;=0</v>
      </c>
      <c r="R450" t="str">
        <f>IF(AND(tblRentRoll[[#This Row],[Status]]="Occupied", tblRentRoll[[#This Row],[Area_sqm]]&gt;0), tblRentRoll[[#This Row],[Annual_Rent_EUR]]/tblRentRoll[[#This Row],[Area_sqm]],"")</f>
        <v/>
      </c>
      <c r="S450">
        <f>tblRentRoll[[#This Row],[Service_Charge_EUR]]+tblRentRoll[[#This Row],[Operating_Cost_EUR]]</f>
        <v>2304.96</v>
      </c>
      <c r="T450" t="str">
        <f>IF(tblRentRoll[[#This Row],[Annual_Rent_EUR]]&lt;&gt;0,tblRentRoll[[#This Row],[Annual_Rent_EUR]]-tblRentRoll[[#This Row],[Operating_Cost_EUR]], "")</f>
        <v/>
      </c>
      <c r="U450">
        <f ca="1">IF(AND(tblRentRoll[[#This Row],[Status]]="Occupied",tblRentRoll[[#This Row],[Lease_End]]&gt;=TODAY()),DATEDIF(TODAY(),tblRentRoll[[#This Row],[Lease_End]],"m"), 0)</f>
        <v>0</v>
      </c>
      <c r="V450" t="str">
        <f>IF(tblRentRoll[[#This Row],[Status]]&lt;&gt;"Occupied","", IF(tblRentRoll[[#This Row],[Month_to_Expiry]]&lt;=3, "0-3 Monaten",  IF(tblRentRoll[[#This Row],[Month_to_Expiry]]&lt;=6, "3-6 Monaten", IF(tblRentRoll[[#This Row],[Month_to_Expiry]]&lt;=12,"6-12 Monaten", IF(tblRentRoll[[#This Row],[Month_to_Expiry]]&gt;=12, "12 M+",)))))</f>
        <v/>
      </c>
      <c r="W450">
        <f>IF(tblRentRoll[[#This Row],[Status]]="Vacant", tblRentRoll[[#This Row],[Area_sqm]],0)</f>
        <v>601</v>
      </c>
      <c r="X450" s="3">
        <f>IF(tblRentRoll[[#This Row],[Status]]="Occupied", tblRentRoll[[#This Row],[Area_sqm]],0)</f>
        <v>0</v>
      </c>
      <c r="Y450" s="3">
        <f ca="1">tblRentRoll[[#This Row],[Month_to_Expiry]]/12*tblRentRoll[[#This Row],[Annual_Rent_EUR]]</f>
        <v>0</v>
      </c>
      <c r="Z450" s="3"/>
    </row>
    <row r="451" spans="1:26" x14ac:dyDescent="0.35">
      <c r="A451" t="s">
        <v>27</v>
      </c>
      <c r="B451" t="s">
        <v>643</v>
      </c>
      <c r="C451" t="s">
        <v>33</v>
      </c>
      <c r="D451">
        <v>1047</v>
      </c>
      <c r="E451" t="s">
        <v>20</v>
      </c>
      <c r="G451">
        <v>0</v>
      </c>
      <c r="H451">
        <v>0</v>
      </c>
      <c r="I451" s="2">
        <f>tblRentRoll[[#This Row],[Monthly_Rent_EUR]]*12</f>
        <v>0</v>
      </c>
      <c r="J451" s="2" t="str">
        <f>IF(tblRentRoll[[#This Row],[Annual_Rent_EUR]]&lt;&gt;tblRentRoll[[#This Row],[Jahresrente_EUR]], "FALSCH", "")</f>
        <v/>
      </c>
      <c r="M451">
        <v>1197.58</v>
      </c>
      <c r="N451">
        <v>2187.56</v>
      </c>
      <c r="O45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1" t="str">
        <f>IF(tblRentRoll[[#This Row],[Area_sqm]]&lt;=0,"Area&lt;=0","")</f>
        <v/>
      </c>
      <c r="Q451" t="str">
        <f>IF(tblRentRoll[[#This Row],[Monthly_Rent_EUR]]&lt;=0,"Rent&lt;=0","")</f>
        <v>Rent&lt;=0</v>
      </c>
      <c r="R451" t="str">
        <f>IF(AND(tblRentRoll[[#This Row],[Status]]="Occupied", tblRentRoll[[#This Row],[Area_sqm]]&gt;0), tblRentRoll[[#This Row],[Annual_Rent_EUR]]/tblRentRoll[[#This Row],[Area_sqm]],"")</f>
        <v/>
      </c>
      <c r="S451">
        <f>tblRentRoll[[#This Row],[Service_Charge_EUR]]+tblRentRoll[[#This Row],[Operating_Cost_EUR]]</f>
        <v>3385.14</v>
      </c>
      <c r="T451" t="str">
        <f>IF(tblRentRoll[[#This Row],[Annual_Rent_EUR]]&lt;&gt;0,tblRentRoll[[#This Row],[Annual_Rent_EUR]]-tblRentRoll[[#This Row],[Operating_Cost_EUR]], "")</f>
        <v/>
      </c>
      <c r="U451">
        <f ca="1">IF(AND(tblRentRoll[[#This Row],[Status]]="Occupied",tblRentRoll[[#This Row],[Lease_End]]&gt;=TODAY()),DATEDIF(TODAY(),tblRentRoll[[#This Row],[Lease_End]],"m"), 0)</f>
        <v>0</v>
      </c>
      <c r="V451" t="str">
        <f>IF(tblRentRoll[[#This Row],[Status]]&lt;&gt;"Occupied","", IF(tblRentRoll[[#This Row],[Month_to_Expiry]]&lt;=3, "0-3 Monaten",  IF(tblRentRoll[[#This Row],[Month_to_Expiry]]&lt;=6, "3-6 Monaten", IF(tblRentRoll[[#This Row],[Month_to_Expiry]]&lt;=12,"6-12 Monaten", IF(tblRentRoll[[#This Row],[Month_to_Expiry]]&gt;=12, "12 M+",)))))</f>
        <v/>
      </c>
      <c r="W451">
        <f>IF(tblRentRoll[[#This Row],[Status]]="Vacant", tblRentRoll[[#This Row],[Area_sqm]],0)</f>
        <v>1047</v>
      </c>
      <c r="X451" s="3">
        <f>IF(tblRentRoll[[#This Row],[Status]]="Occupied", tblRentRoll[[#This Row],[Area_sqm]],0)</f>
        <v>0</v>
      </c>
      <c r="Y451" s="3">
        <f ca="1">tblRentRoll[[#This Row],[Month_to_Expiry]]/12*tblRentRoll[[#This Row],[Annual_Rent_EUR]]</f>
        <v>0</v>
      </c>
      <c r="Z451" s="3"/>
    </row>
    <row r="452" spans="1:26" x14ac:dyDescent="0.35">
      <c r="A452" t="s">
        <v>17</v>
      </c>
      <c r="B452" t="s">
        <v>644</v>
      </c>
      <c r="C452" t="s">
        <v>29</v>
      </c>
      <c r="D452">
        <v>245</v>
      </c>
      <c r="E452" t="s">
        <v>15</v>
      </c>
      <c r="F452" t="s">
        <v>645</v>
      </c>
      <c r="G452">
        <v>4094.65</v>
      </c>
      <c r="H452">
        <v>49135.8</v>
      </c>
      <c r="I452" s="2">
        <f>tblRentRoll[[#This Row],[Monthly_Rent_EUR]]*12</f>
        <v>49135.8</v>
      </c>
      <c r="J452" s="2" t="str">
        <f>IF(tblRentRoll[[#This Row],[Annual_Rent_EUR]]&lt;&gt;tblRentRoll[[#This Row],[Jahresrente_EUR]], "FALSCH", "")</f>
        <v/>
      </c>
      <c r="K452" s="1">
        <v>44625</v>
      </c>
      <c r="L452" s="1">
        <v>44863</v>
      </c>
      <c r="M452">
        <v>721.65</v>
      </c>
      <c r="N452">
        <v>314.47000000000003</v>
      </c>
      <c r="O45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2" t="str">
        <f>IF(tblRentRoll[[#This Row],[Area_sqm]]&lt;=0,"Area&lt;=0","")</f>
        <v/>
      </c>
      <c r="Q452" t="str">
        <f>IF(tblRentRoll[[#This Row],[Monthly_Rent_EUR]]&lt;=0,"Rent&lt;=0","")</f>
        <v/>
      </c>
      <c r="R452">
        <f>IF(AND(tblRentRoll[[#This Row],[Status]]="Occupied", tblRentRoll[[#This Row],[Area_sqm]]&gt;0), tblRentRoll[[#This Row],[Annual_Rent_EUR]]/tblRentRoll[[#This Row],[Area_sqm]],"")</f>
        <v>200.55428571428573</v>
      </c>
      <c r="S452">
        <f>tblRentRoll[[#This Row],[Service_Charge_EUR]]+tblRentRoll[[#This Row],[Operating_Cost_EUR]]</f>
        <v>1036.1199999999999</v>
      </c>
      <c r="T452">
        <f>IF(tblRentRoll[[#This Row],[Annual_Rent_EUR]]&lt;&gt;0,tblRentRoll[[#This Row],[Annual_Rent_EUR]]-tblRentRoll[[#This Row],[Operating_Cost_EUR]], "")</f>
        <v>48821.33</v>
      </c>
      <c r="U452">
        <f ca="1">IF(AND(tblRentRoll[[#This Row],[Status]]="Occupied",tblRentRoll[[#This Row],[Lease_End]]&gt;=TODAY()),DATEDIF(TODAY(),tblRentRoll[[#This Row],[Lease_End]],"m"), 0)</f>
        <v>0</v>
      </c>
      <c r="V452" t="str">
        <f ca="1">IF(tblRentRoll[[#This Row],[Status]]&lt;&gt;"Occupied","", IF(tblRentRoll[[#This Row],[Month_to_Expiry]]&lt;=3, "0-3 Monaten",  IF(tblRentRoll[[#This Row],[Month_to_Expiry]]&lt;=6, "3-6 Monaten", IF(tblRentRoll[[#This Row],[Month_to_Expiry]]&lt;=12,"6-12 Monaten", IF(tblRentRoll[[#This Row],[Month_to_Expiry]]&gt;=12, "12 M+",)))))</f>
        <v>0-3 Monaten</v>
      </c>
      <c r="W452">
        <f>IF(tblRentRoll[[#This Row],[Status]]="Vacant", tblRentRoll[[#This Row],[Area_sqm]],0)</f>
        <v>0</v>
      </c>
      <c r="X452" s="3">
        <f>IF(tblRentRoll[[#This Row],[Status]]="Occupied", tblRentRoll[[#This Row],[Area_sqm]],0)</f>
        <v>245</v>
      </c>
      <c r="Y452" s="3">
        <f ca="1">tblRentRoll[[#This Row],[Month_to_Expiry]]/12*tblRentRoll[[#This Row],[Annual_Rent_EUR]]</f>
        <v>0</v>
      </c>
      <c r="Z452" s="3"/>
    </row>
    <row r="453" spans="1:26" x14ac:dyDescent="0.35">
      <c r="A453" t="s">
        <v>44</v>
      </c>
      <c r="B453" t="s">
        <v>646</v>
      </c>
      <c r="C453" t="s">
        <v>19</v>
      </c>
      <c r="D453">
        <v>661</v>
      </c>
      <c r="E453" t="s">
        <v>15</v>
      </c>
      <c r="F453" t="s">
        <v>411</v>
      </c>
      <c r="G453">
        <v>5733.5</v>
      </c>
      <c r="H453">
        <v>68802</v>
      </c>
      <c r="I453" s="2">
        <f>tblRentRoll[[#This Row],[Monthly_Rent_EUR]]*12</f>
        <v>68802</v>
      </c>
      <c r="J453" s="2" t="str">
        <f>IF(tblRentRoll[[#This Row],[Annual_Rent_EUR]]&lt;&gt;tblRentRoll[[#This Row],[Jahresrente_EUR]], "FALSCH", "")</f>
        <v/>
      </c>
      <c r="K453" s="1">
        <v>44596</v>
      </c>
      <c r="L453" s="1">
        <v>45217</v>
      </c>
      <c r="M453">
        <v>1282.1199999999999</v>
      </c>
      <c r="N453">
        <v>1624.64</v>
      </c>
      <c r="O45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3" t="str">
        <f>IF(tblRentRoll[[#This Row],[Area_sqm]]&lt;=0,"Area&lt;=0","")</f>
        <v/>
      </c>
      <c r="Q453" t="str">
        <f>IF(tblRentRoll[[#This Row],[Monthly_Rent_EUR]]&lt;=0,"Rent&lt;=0","")</f>
        <v/>
      </c>
      <c r="R453">
        <f>IF(AND(tblRentRoll[[#This Row],[Status]]="Occupied", tblRentRoll[[#This Row],[Area_sqm]]&gt;0), tblRentRoll[[#This Row],[Annual_Rent_EUR]]/tblRentRoll[[#This Row],[Area_sqm]],"")</f>
        <v>104.08774583963691</v>
      </c>
      <c r="S453">
        <f>tblRentRoll[[#This Row],[Service_Charge_EUR]]+tblRentRoll[[#This Row],[Operating_Cost_EUR]]</f>
        <v>2906.76</v>
      </c>
      <c r="T453">
        <f>IF(tblRentRoll[[#This Row],[Annual_Rent_EUR]]&lt;&gt;0,tblRentRoll[[#This Row],[Annual_Rent_EUR]]-tblRentRoll[[#This Row],[Operating_Cost_EUR]], "")</f>
        <v>67177.36</v>
      </c>
      <c r="U453">
        <f ca="1">IF(AND(tblRentRoll[[#This Row],[Status]]="Occupied",tblRentRoll[[#This Row],[Lease_End]]&gt;=TODAY()),DATEDIF(TODAY(),tblRentRoll[[#This Row],[Lease_End]],"m"), 0)</f>
        <v>0</v>
      </c>
      <c r="V453" t="str">
        <f ca="1">IF(tblRentRoll[[#This Row],[Status]]&lt;&gt;"Occupied","", IF(tblRentRoll[[#This Row],[Month_to_Expiry]]&lt;=3, "0-3 Monaten",  IF(tblRentRoll[[#This Row],[Month_to_Expiry]]&lt;=6, "3-6 Monaten", IF(tblRentRoll[[#This Row],[Month_to_Expiry]]&lt;=12,"6-12 Monaten", IF(tblRentRoll[[#This Row],[Month_to_Expiry]]&gt;=12, "12 M+",)))))</f>
        <v>0-3 Monaten</v>
      </c>
      <c r="W453">
        <f>IF(tblRentRoll[[#This Row],[Status]]="Vacant", tblRentRoll[[#This Row],[Area_sqm]],0)</f>
        <v>0</v>
      </c>
      <c r="X453" s="3">
        <f>IF(tblRentRoll[[#This Row],[Status]]="Occupied", tblRentRoll[[#This Row],[Area_sqm]],0)</f>
        <v>661</v>
      </c>
      <c r="Y453" s="3">
        <f ca="1">tblRentRoll[[#This Row],[Month_to_Expiry]]/12*tblRentRoll[[#This Row],[Annual_Rent_EUR]]</f>
        <v>0</v>
      </c>
      <c r="Z453" s="3"/>
    </row>
    <row r="454" spans="1:26" x14ac:dyDescent="0.35">
      <c r="A454" t="s">
        <v>56</v>
      </c>
      <c r="B454" t="s">
        <v>647</v>
      </c>
      <c r="C454" t="s">
        <v>29</v>
      </c>
      <c r="D454">
        <v>1324</v>
      </c>
      <c r="E454" t="s">
        <v>20</v>
      </c>
      <c r="G454">
        <v>0</v>
      </c>
      <c r="H454">
        <v>0</v>
      </c>
      <c r="I454" s="2">
        <f>tblRentRoll[[#This Row],[Monthly_Rent_EUR]]*12</f>
        <v>0</v>
      </c>
      <c r="J454" s="2" t="str">
        <f>IF(tblRentRoll[[#This Row],[Annual_Rent_EUR]]&lt;&gt;tblRentRoll[[#This Row],[Jahresrente_EUR]], "FALSCH", "")</f>
        <v/>
      </c>
      <c r="M454">
        <v>1391.72</v>
      </c>
      <c r="N454">
        <v>1840.7</v>
      </c>
      <c r="O45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4" t="str">
        <f>IF(tblRentRoll[[#This Row],[Area_sqm]]&lt;=0,"Area&lt;=0","")</f>
        <v/>
      </c>
      <c r="Q454" t="str">
        <f>IF(tblRentRoll[[#This Row],[Monthly_Rent_EUR]]&lt;=0,"Rent&lt;=0","")</f>
        <v>Rent&lt;=0</v>
      </c>
      <c r="R454" t="str">
        <f>IF(AND(tblRentRoll[[#This Row],[Status]]="Occupied", tblRentRoll[[#This Row],[Area_sqm]]&gt;0), tblRentRoll[[#This Row],[Annual_Rent_EUR]]/tblRentRoll[[#This Row],[Area_sqm]],"")</f>
        <v/>
      </c>
      <c r="S454">
        <f>tblRentRoll[[#This Row],[Service_Charge_EUR]]+tblRentRoll[[#This Row],[Operating_Cost_EUR]]</f>
        <v>3232.42</v>
      </c>
      <c r="T454" t="str">
        <f>IF(tblRentRoll[[#This Row],[Annual_Rent_EUR]]&lt;&gt;0,tblRentRoll[[#This Row],[Annual_Rent_EUR]]-tblRentRoll[[#This Row],[Operating_Cost_EUR]], "")</f>
        <v/>
      </c>
      <c r="U454">
        <f ca="1">IF(AND(tblRentRoll[[#This Row],[Status]]="Occupied",tblRentRoll[[#This Row],[Lease_End]]&gt;=TODAY()),DATEDIF(TODAY(),tblRentRoll[[#This Row],[Lease_End]],"m"), 0)</f>
        <v>0</v>
      </c>
      <c r="V454" t="str">
        <f>IF(tblRentRoll[[#This Row],[Status]]&lt;&gt;"Occupied","", IF(tblRentRoll[[#This Row],[Month_to_Expiry]]&lt;=3, "0-3 Monaten",  IF(tblRentRoll[[#This Row],[Month_to_Expiry]]&lt;=6, "3-6 Monaten", IF(tblRentRoll[[#This Row],[Month_to_Expiry]]&lt;=12,"6-12 Monaten", IF(tblRentRoll[[#This Row],[Month_to_Expiry]]&gt;=12, "12 M+",)))))</f>
        <v/>
      </c>
      <c r="W454">
        <f>IF(tblRentRoll[[#This Row],[Status]]="Vacant", tblRentRoll[[#This Row],[Area_sqm]],0)</f>
        <v>1324</v>
      </c>
      <c r="X454" s="3">
        <f>IF(tblRentRoll[[#This Row],[Status]]="Occupied", tblRentRoll[[#This Row],[Area_sqm]],0)</f>
        <v>0</v>
      </c>
      <c r="Y454" s="3">
        <f ca="1">tblRentRoll[[#This Row],[Month_to_Expiry]]/12*tblRentRoll[[#This Row],[Annual_Rent_EUR]]</f>
        <v>0</v>
      </c>
      <c r="Z454" s="3"/>
    </row>
    <row r="455" spans="1:26" x14ac:dyDescent="0.35">
      <c r="A455" t="s">
        <v>24</v>
      </c>
      <c r="B455" t="s">
        <v>648</v>
      </c>
      <c r="C455" t="s">
        <v>33</v>
      </c>
      <c r="D455">
        <v>138</v>
      </c>
      <c r="E455" t="s">
        <v>20</v>
      </c>
      <c r="G455">
        <v>0</v>
      </c>
      <c r="H455">
        <v>0</v>
      </c>
      <c r="I455" s="2">
        <f>tblRentRoll[[#This Row],[Monthly_Rent_EUR]]*12</f>
        <v>0</v>
      </c>
      <c r="J455" s="2" t="str">
        <f>IF(tblRentRoll[[#This Row],[Annual_Rent_EUR]]&lt;&gt;tblRentRoll[[#This Row],[Jahresrente_EUR]], "FALSCH", "")</f>
        <v/>
      </c>
      <c r="M455">
        <v>299.39</v>
      </c>
      <c r="N455">
        <v>327.54000000000002</v>
      </c>
      <c r="O45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5" t="str">
        <f>IF(tblRentRoll[[#This Row],[Area_sqm]]&lt;=0,"Area&lt;=0","")</f>
        <v/>
      </c>
      <c r="Q455" t="str">
        <f>IF(tblRentRoll[[#This Row],[Monthly_Rent_EUR]]&lt;=0,"Rent&lt;=0","")</f>
        <v>Rent&lt;=0</v>
      </c>
      <c r="R455" t="str">
        <f>IF(AND(tblRentRoll[[#This Row],[Status]]="Occupied", tblRentRoll[[#This Row],[Area_sqm]]&gt;0), tblRentRoll[[#This Row],[Annual_Rent_EUR]]/tblRentRoll[[#This Row],[Area_sqm]],"")</f>
        <v/>
      </c>
      <c r="S455">
        <f>tblRentRoll[[#This Row],[Service_Charge_EUR]]+tblRentRoll[[#This Row],[Operating_Cost_EUR]]</f>
        <v>626.93000000000006</v>
      </c>
      <c r="T455" t="str">
        <f>IF(tblRentRoll[[#This Row],[Annual_Rent_EUR]]&lt;&gt;0,tblRentRoll[[#This Row],[Annual_Rent_EUR]]-tblRentRoll[[#This Row],[Operating_Cost_EUR]], "")</f>
        <v/>
      </c>
      <c r="U455">
        <f ca="1">IF(AND(tblRentRoll[[#This Row],[Status]]="Occupied",tblRentRoll[[#This Row],[Lease_End]]&gt;=TODAY()),DATEDIF(TODAY(),tblRentRoll[[#This Row],[Lease_End]],"m"), 0)</f>
        <v>0</v>
      </c>
      <c r="V455" t="str">
        <f>IF(tblRentRoll[[#This Row],[Status]]&lt;&gt;"Occupied","", IF(tblRentRoll[[#This Row],[Month_to_Expiry]]&lt;=3, "0-3 Monaten",  IF(tblRentRoll[[#This Row],[Month_to_Expiry]]&lt;=6, "3-6 Monaten", IF(tblRentRoll[[#This Row],[Month_to_Expiry]]&lt;=12,"6-12 Monaten", IF(tblRentRoll[[#This Row],[Month_to_Expiry]]&gt;=12, "12 M+",)))))</f>
        <v/>
      </c>
      <c r="W455">
        <f>IF(tblRentRoll[[#This Row],[Status]]="Vacant", tblRentRoll[[#This Row],[Area_sqm]],0)</f>
        <v>138</v>
      </c>
      <c r="X455" s="3">
        <f>IF(tblRentRoll[[#This Row],[Status]]="Occupied", tblRentRoll[[#This Row],[Area_sqm]],0)</f>
        <v>0</v>
      </c>
      <c r="Y455" s="3">
        <f ca="1">tblRentRoll[[#This Row],[Month_to_Expiry]]/12*tblRentRoll[[#This Row],[Annual_Rent_EUR]]</f>
        <v>0</v>
      </c>
      <c r="Z455" s="3"/>
    </row>
    <row r="456" spans="1:26" x14ac:dyDescent="0.35">
      <c r="A456" t="s">
        <v>56</v>
      </c>
      <c r="B456" t="s">
        <v>649</v>
      </c>
      <c r="C456" t="s">
        <v>19</v>
      </c>
      <c r="D456">
        <v>1488</v>
      </c>
      <c r="E456" t="s">
        <v>15</v>
      </c>
      <c r="F456" t="s">
        <v>276</v>
      </c>
      <c r="G456">
        <v>15233.5</v>
      </c>
      <c r="H456">
        <v>182802</v>
      </c>
      <c r="I456" s="2">
        <f>tblRentRoll[[#This Row],[Monthly_Rent_EUR]]*12</f>
        <v>182802</v>
      </c>
      <c r="J456" s="2" t="str">
        <f>IF(tblRentRoll[[#This Row],[Annual_Rent_EUR]]&lt;&gt;tblRentRoll[[#This Row],[Jahresrente_EUR]], "FALSCH", "")</f>
        <v/>
      </c>
      <c r="K456" s="1">
        <v>44847</v>
      </c>
      <c r="L456" s="1">
        <v>45961</v>
      </c>
      <c r="M456">
        <v>2363.21</v>
      </c>
      <c r="N456">
        <v>3643.21</v>
      </c>
      <c r="O45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6" t="str">
        <f>IF(tblRentRoll[[#This Row],[Area_sqm]]&lt;=0,"Area&lt;=0","")</f>
        <v/>
      </c>
      <c r="Q456" t="str">
        <f>IF(tblRentRoll[[#This Row],[Monthly_Rent_EUR]]&lt;=0,"Rent&lt;=0","")</f>
        <v/>
      </c>
      <c r="R456">
        <f>IF(AND(tblRentRoll[[#This Row],[Status]]="Occupied", tblRentRoll[[#This Row],[Area_sqm]]&gt;0), tblRentRoll[[#This Row],[Annual_Rent_EUR]]/tblRentRoll[[#This Row],[Area_sqm]],"")</f>
        <v>122.8508064516129</v>
      </c>
      <c r="S456">
        <f>tblRentRoll[[#This Row],[Service_Charge_EUR]]+tblRentRoll[[#This Row],[Operating_Cost_EUR]]</f>
        <v>6006.42</v>
      </c>
      <c r="T456">
        <f>IF(tblRentRoll[[#This Row],[Annual_Rent_EUR]]&lt;&gt;0,tblRentRoll[[#This Row],[Annual_Rent_EUR]]-tblRentRoll[[#This Row],[Operating_Cost_EUR]], "")</f>
        <v>179158.79</v>
      </c>
      <c r="U456">
        <f ca="1">IF(AND(tblRentRoll[[#This Row],[Status]]="Occupied",tblRentRoll[[#This Row],[Lease_End]]&gt;=TODAY()),DATEDIF(TODAY(),tblRentRoll[[#This Row],[Lease_End]],"m"), 0)</f>
        <v>0</v>
      </c>
      <c r="V456" t="str">
        <f ca="1">IF(tblRentRoll[[#This Row],[Status]]&lt;&gt;"Occupied","", IF(tblRentRoll[[#This Row],[Month_to_Expiry]]&lt;=3, "0-3 Monaten",  IF(tblRentRoll[[#This Row],[Month_to_Expiry]]&lt;=6, "3-6 Monaten", IF(tblRentRoll[[#This Row],[Month_to_Expiry]]&lt;=12,"6-12 Monaten", IF(tblRentRoll[[#This Row],[Month_to_Expiry]]&gt;=12, "12 M+",)))))</f>
        <v>0-3 Monaten</v>
      </c>
      <c r="W456">
        <f>IF(tblRentRoll[[#This Row],[Status]]="Vacant", tblRentRoll[[#This Row],[Area_sqm]],0)</f>
        <v>0</v>
      </c>
      <c r="X456" s="3">
        <f>IF(tblRentRoll[[#This Row],[Status]]="Occupied", tblRentRoll[[#This Row],[Area_sqm]],0)</f>
        <v>1488</v>
      </c>
      <c r="Y456" s="3">
        <f ca="1">tblRentRoll[[#This Row],[Month_to_Expiry]]/12*tblRentRoll[[#This Row],[Annual_Rent_EUR]]</f>
        <v>0</v>
      </c>
      <c r="Z456" s="3"/>
    </row>
    <row r="457" spans="1:26" x14ac:dyDescent="0.35">
      <c r="A457" t="s">
        <v>56</v>
      </c>
      <c r="B457" t="s">
        <v>650</v>
      </c>
      <c r="C457" t="s">
        <v>14</v>
      </c>
      <c r="D457">
        <v>258</v>
      </c>
      <c r="E457" t="s">
        <v>20</v>
      </c>
      <c r="G457">
        <v>0</v>
      </c>
      <c r="H457">
        <v>0</v>
      </c>
      <c r="I457" s="2">
        <f>tblRentRoll[[#This Row],[Monthly_Rent_EUR]]*12</f>
        <v>0</v>
      </c>
      <c r="J457" s="2" t="str">
        <f>IF(tblRentRoll[[#This Row],[Annual_Rent_EUR]]&lt;&gt;tblRentRoll[[#This Row],[Jahresrente_EUR]], "FALSCH", "")</f>
        <v/>
      </c>
      <c r="M457">
        <v>445.01</v>
      </c>
      <c r="N457">
        <v>627.15</v>
      </c>
      <c r="O45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7" t="str">
        <f>IF(tblRentRoll[[#This Row],[Area_sqm]]&lt;=0,"Area&lt;=0","")</f>
        <v/>
      </c>
      <c r="Q457" t="str">
        <f>IF(tblRentRoll[[#This Row],[Monthly_Rent_EUR]]&lt;=0,"Rent&lt;=0","")</f>
        <v>Rent&lt;=0</v>
      </c>
      <c r="R457" t="str">
        <f>IF(AND(tblRentRoll[[#This Row],[Status]]="Occupied", tblRentRoll[[#This Row],[Area_sqm]]&gt;0), tblRentRoll[[#This Row],[Annual_Rent_EUR]]/tblRentRoll[[#This Row],[Area_sqm]],"")</f>
        <v/>
      </c>
      <c r="S457">
        <f>tblRentRoll[[#This Row],[Service_Charge_EUR]]+tblRentRoll[[#This Row],[Operating_Cost_EUR]]</f>
        <v>1072.1599999999999</v>
      </c>
      <c r="T457" t="str">
        <f>IF(tblRentRoll[[#This Row],[Annual_Rent_EUR]]&lt;&gt;0,tblRentRoll[[#This Row],[Annual_Rent_EUR]]-tblRentRoll[[#This Row],[Operating_Cost_EUR]], "")</f>
        <v/>
      </c>
      <c r="U457">
        <f ca="1">IF(AND(tblRentRoll[[#This Row],[Status]]="Occupied",tblRentRoll[[#This Row],[Lease_End]]&gt;=TODAY()),DATEDIF(TODAY(),tblRentRoll[[#This Row],[Lease_End]],"m"), 0)</f>
        <v>0</v>
      </c>
      <c r="V457" t="str">
        <f>IF(tblRentRoll[[#This Row],[Status]]&lt;&gt;"Occupied","", IF(tblRentRoll[[#This Row],[Month_to_Expiry]]&lt;=3, "0-3 Monaten",  IF(tblRentRoll[[#This Row],[Month_to_Expiry]]&lt;=6, "3-6 Monaten", IF(tblRentRoll[[#This Row],[Month_to_Expiry]]&lt;=12,"6-12 Monaten", IF(tblRentRoll[[#This Row],[Month_to_Expiry]]&gt;=12, "12 M+",)))))</f>
        <v/>
      </c>
      <c r="W457">
        <f>IF(tblRentRoll[[#This Row],[Status]]="Vacant", tblRentRoll[[#This Row],[Area_sqm]],0)</f>
        <v>258</v>
      </c>
      <c r="X457" s="3">
        <f>IF(tblRentRoll[[#This Row],[Status]]="Occupied", tblRentRoll[[#This Row],[Area_sqm]],0)</f>
        <v>0</v>
      </c>
      <c r="Y457" s="3">
        <f ca="1">tblRentRoll[[#This Row],[Month_to_Expiry]]/12*tblRentRoll[[#This Row],[Annual_Rent_EUR]]</f>
        <v>0</v>
      </c>
      <c r="Z457" s="3"/>
    </row>
    <row r="458" spans="1:26" x14ac:dyDescent="0.35">
      <c r="A458" t="s">
        <v>24</v>
      </c>
      <c r="B458" t="s">
        <v>651</v>
      </c>
      <c r="C458" t="s">
        <v>33</v>
      </c>
      <c r="D458">
        <v>1053</v>
      </c>
      <c r="E458" t="s">
        <v>15</v>
      </c>
      <c r="F458" t="s">
        <v>317</v>
      </c>
      <c r="G458">
        <v>15035.03</v>
      </c>
      <c r="H458">
        <v>180420.36</v>
      </c>
      <c r="I458" s="2">
        <f>tblRentRoll[[#This Row],[Monthly_Rent_EUR]]*12</f>
        <v>180420.36000000002</v>
      </c>
      <c r="J458" s="2" t="str">
        <f>IF(tblRentRoll[[#This Row],[Annual_Rent_EUR]]&lt;&gt;tblRentRoll[[#This Row],[Jahresrente_EUR]], "FALSCH", "")</f>
        <v/>
      </c>
      <c r="K458" s="1">
        <v>44817</v>
      </c>
      <c r="L458" s="1">
        <v>46080</v>
      </c>
      <c r="M458">
        <v>2785.38</v>
      </c>
      <c r="N458">
        <v>540.88</v>
      </c>
      <c r="O45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8" t="str">
        <f>IF(tblRentRoll[[#This Row],[Area_sqm]]&lt;=0,"Area&lt;=0","")</f>
        <v/>
      </c>
      <c r="Q458" t="str">
        <f>IF(tblRentRoll[[#This Row],[Monthly_Rent_EUR]]&lt;=0,"Rent&lt;=0","")</f>
        <v/>
      </c>
      <c r="R458">
        <f>IF(AND(tblRentRoll[[#This Row],[Status]]="Occupied", tblRentRoll[[#This Row],[Area_sqm]]&gt;0), tblRentRoll[[#This Row],[Annual_Rent_EUR]]/tblRentRoll[[#This Row],[Area_sqm]],"")</f>
        <v>171.33937321937321</v>
      </c>
      <c r="S458">
        <f>tblRentRoll[[#This Row],[Service_Charge_EUR]]+tblRentRoll[[#This Row],[Operating_Cost_EUR]]</f>
        <v>3326.26</v>
      </c>
      <c r="T458">
        <f>IF(tblRentRoll[[#This Row],[Annual_Rent_EUR]]&lt;&gt;0,tblRentRoll[[#This Row],[Annual_Rent_EUR]]-tblRentRoll[[#This Row],[Operating_Cost_EUR]], "")</f>
        <v>179879.47999999998</v>
      </c>
      <c r="U458">
        <f ca="1">IF(AND(tblRentRoll[[#This Row],[Status]]="Occupied",tblRentRoll[[#This Row],[Lease_End]]&gt;=TODAY()),DATEDIF(TODAY(),tblRentRoll[[#This Row],[Lease_End]],"m"), 0)</f>
        <v>0</v>
      </c>
      <c r="V458" t="str">
        <f ca="1">IF(tblRentRoll[[#This Row],[Status]]&lt;&gt;"Occupied","", IF(tblRentRoll[[#This Row],[Month_to_Expiry]]&lt;=3, "0-3 Monaten",  IF(tblRentRoll[[#This Row],[Month_to_Expiry]]&lt;=6, "3-6 Monaten", IF(tblRentRoll[[#This Row],[Month_to_Expiry]]&lt;=12,"6-12 Monaten", IF(tblRentRoll[[#This Row],[Month_to_Expiry]]&gt;=12, "12 M+",)))))</f>
        <v>0-3 Monaten</v>
      </c>
      <c r="W458">
        <f>IF(tblRentRoll[[#This Row],[Status]]="Vacant", tblRentRoll[[#This Row],[Area_sqm]],0)</f>
        <v>0</v>
      </c>
      <c r="X458" s="3">
        <f>IF(tblRentRoll[[#This Row],[Status]]="Occupied", tblRentRoll[[#This Row],[Area_sqm]],0)</f>
        <v>1053</v>
      </c>
      <c r="Y458" s="3">
        <f ca="1">tblRentRoll[[#This Row],[Month_to_Expiry]]/12*tblRentRoll[[#This Row],[Annual_Rent_EUR]]</f>
        <v>0</v>
      </c>
      <c r="Z458" s="3"/>
    </row>
    <row r="459" spans="1:26" x14ac:dyDescent="0.35">
      <c r="A459" t="s">
        <v>31</v>
      </c>
      <c r="B459" t="s">
        <v>652</v>
      </c>
      <c r="C459" t="s">
        <v>33</v>
      </c>
      <c r="D459">
        <v>1416</v>
      </c>
      <c r="E459" t="s">
        <v>15</v>
      </c>
      <c r="F459" t="s">
        <v>128</v>
      </c>
      <c r="G459">
        <v>14922.56</v>
      </c>
      <c r="H459">
        <v>179070.72</v>
      </c>
      <c r="I459" s="2">
        <f>tblRentRoll[[#This Row],[Monthly_Rent_EUR]]*12</f>
        <v>179070.72</v>
      </c>
      <c r="J459" s="2" t="str">
        <f>IF(tblRentRoll[[#This Row],[Annual_Rent_EUR]]&lt;&gt;tblRentRoll[[#This Row],[Jahresrente_EUR]], "FALSCH", "")</f>
        <v/>
      </c>
      <c r="K459" s="1">
        <v>45155</v>
      </c>
      <c r="L459" s="1">
        <v>46491</v>
      </c>
      <c r="M459">
        <v>2506.4</v>
      </c>
      <c r="N459">
        <v>1418.52</v>
      </c>
      <c r="O45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59" t="str">
        <f>IF(tblRentRoll[[#This Row],[Area_sqm]]&lt;=0,"Area&lt;=0","")</f>
        <v/>
      </c>
      <c r="Q459" t="str">
        <f>IF(tblRentRoll[[#This Row],[Monthly_Rent_EUR]]&lt;=0,"Rent&lt;=0","")</f>
        <v/>
      </c>
      <c r="R459">
        <f>IF(AND(tblRentRoll[[#This Row],[Status]]="Occupied", tblRentRoll[[#This Row],[Area_sqm]]&gt;0), tblRentRoll[[#This Row],[Annual_Rent_EUR]]/tblRentRoll[[#This Row],[Area_sqm]],"")</f>
        <v>126.46237288135593</v>
      </c>
      <c r="S459">
        <f>tblRentRoll[[#This Row],[Service_Charge_EUR]]+tblRentRoll[[#This Row],[Operating_Cost_EUR]]</f>
        <v>3924.92</v>
      </c>
      <c r="T459">
        <f>IF(tblRentRoll[[#This Row],[Annual_Rent_EUR]]&lt;&gt;0,tblRentRoll[[#This Row],[Annual_Rent_EUR]]-tblRentRoll[[#This Row],[Operating_Cost_EUR]], "")</f>
        <v>177652.2</v>
      </c>
      <c r="U459">
        <f ca="1">IF(AND(tblRentRoll[[#This Row],[Status]]="Occupied",tblRentRoll[[#This Row],[Lease_End]]&gt;=TODAY()),DATEDIF(TODAY(),tblRentRoll[[#This Row],[Lease_End]],"m"), 0)</f>
        <v>13</v>
      </c>
      <c r="V459" t="str">
        <f ca="1">IF(tblRentRoll[[#This Row],[Status]]&lt;&gt;"Occupied","", IF(tblRentRoll[[#This Row],[Month_to_Expiry]]&lt;=3, "0-3 Monaten",  IF(tblRentRoll[[#This Row],[Month_to_Expiry]]&lt;=6, "3-6 Monaten", IF(tblRentRoll[[#This Row],[Month_to_Expiry]]&lt;=12,"6-12 Monaten", IF(tblRentRoll[[#This Row],[Month_to_Expiry]]&gt;=12, "12 M+",)))))</f>
        <v>12 M+</v>
      </c>
      <c r="W459">
        <f>IF(tblRentRoll[[#This Row],[Status]]="Vacant", tblRentRoll[[#This Row],[Area_sqm]],0)</f>
        <v>0</v>
      </c>
      <c r="X459" s="3">
        <f>IF(tblRentRoll[[#This Row],[Status]]="Occupied", tblRentRoll[[#This Row],[Area_sqm]],0)</f>
        <v>1416</v>
      </c>
      <c r="Y459" s="3">
        <f ca="1">tblRentRoll[[#This Row],[Month_to_Expiry]]/12*tblRentRoll[[#This Row],[Annual_Rent_EUR]]</f>
        <v>193993.28</v>
      </c>
      <c r="Z459" s="3"/>
    </row>
    <row r="460" spans="1:26" x14ac:dyDescent="0.35">
      <c r="A460" t="s">
        <v>27</v>
      </c>
      <c r="B460" t="s">
        <v>653</v>
      </c>
      <c r="C460" t="s">
        <v>14</v>
      </c>
      <c r="D460">
        <v>425</v>
      </c>
      <c r="E460" t="s">
        <v>20</v>
      </c>
      <c r="G460">
        <v>0</v>
      </c>
      <c r="H460">
        <v>0</v>
      </c>
      <c r="I460" s="2">
        <f>tblRentRoll[[#This Row],[Monthly_Rent_EUR]]*12</f>
        <v>0</v>
      </c>
      <c r="J460" s="2" t="str">
        <f>IF(tblRentRoll[[#This Row],[Annual_Rent_EUR]]&lt;&gt;tblRentRoll[[#This Row],[Jahresrente_EUR]], "FALSCH", "")</f>
        <v/>
      </c>
      <c r="M460">
        <v>851.61</v>
      </c>
      <c r="N460">
        <v>447.14</v>
      </c>
      <c r="O46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0" t="str">
        <f>IF(tblRentRoll[[#This Row],[Area_sqm]]&lt;=0,"Area&lt;=0","")</f>
        <v/>
      </c>
      <c r="Q460" t="str">
        <f>IF(tblRentRoll[[#This Row],[Monthly_Rent_EUR]]&lt;=0,"Rent&lt;=0","")</f>
        <v>Rent&lt;=0</v>
      </c>
      <c r="R460" t="str">
        <f>IF(AND(tblRentRoll[[#This Row],[Status]]="Occupied", tblRentRoll[[#This Row],[Area_sqm]]&gt;0), tblRentRoll[[#This Row],[Annual_Rent_EUR]]/tblRentRoll[[#This Row],[Area_sqm]],"")</f>
        <v/>
      </c>
      <c r="S460">
        <f>tblRentRoll[[#This Row],[Service_Charge_EUR]]+tblRentRoll[[#This Row],[Operating_Cost_EUR]]</f>
        <v>1298.75</v>
      </c>
      <c r="T460" t="str">
        <f>IF(tblRentRoll[[#This Row],[Annual_Rent_EUR]]&lt;&gt;0,tblRentRoll[[#This Row],[Annual_Rent_EUR]]-tblRentRoll[[#This Row],[Operating_Cost_EUR]], "")</f>
        <v/>
      </c>
      <c r="U460">
        <f ca="1">IF(AND(tblRentRoll[[#This Row],[Status]]="Occupied",tblRentRoll[[#This Row],[Lease_End]]&gt;=TODAY()),DATEDIF(TODAY(),tblRentRoll[[#This Row],[Lease_End]],"m"), 0)</f>
        <v>0</v>
      </c>
      <c r="V460" t="str">
        <f>IF(tblRentRoll[[#This Row],[Status]]&lt;&gt;"Occupied","", IF(tblRentRoll[[#This Row],[Month_to_Expiry]]&lt;=3, "0-3 Monaten",  IF(tblRentRoll[[#This Row],[Month_to_Expiry]]&lt;=6, "3-6 Monaten", IF(tblRentRoll[[#This Row],[Month_to_Expiry]]&lt;=12,"6-12 Monaten", IF(tblRentRoll[[#This Row],[Month_to_Expiry]]&gt;=12, "12 M+",)))))</f>
        <v/>
      </c>
      <c r="W460">
        <f>IF(tblRentRoll[[#This Row],[Status]]="Vacant", tblRentRoll[[#This Row],[Area_sqm]],0)</f>
        <v>425</v>
      </c>
      <c r="X460" s="3">
        <f>IF(tblRentRoll[[#This Row],[Status]]="Occupied", tblRentRoll[[#This Row],[Area_sqm]],0)</f>
        <v>0</v>
      </c>
      <c r="Y460" s="3">
        <f ca="1">tblRentRoll[[#This Row],[Month_to_Expiry]]/12*tblRentRoll[[#This Row],[Annual_Rent_EUR]]</f>
        <v>0</v>
      </c>
      <c r="Z460" s="3"/>
    </row>
    <row r="461" spans="1:26" x14ac:dyDescent="0.35">
      <c r="A461" t="s">
        <v>56</v>
      </c>
      <c r="B461" t="s">
        <v>654</v>
      </c>
      <c r="C461" t="s">
        <v>14</v>
      </c>
      <c r="D461">
        <v>1347</v>
      </c>
      <c r="E461" t="s">
        <v>20</v>
      </c>
      <c r="G461">
        <v>0</v>
      </c>
      <c r="H461">
        <v>0</v>
      </c>
      <c r="I461" s="2">
        <f>tblRentRoll[[#This Row],[Monthly_Rent_EUR]]*12</f>
        <v>0</v>
      </c>
      <c r="J461" s="2" t="str">
        <f>IF(tblRentRoll[[#This Row],[Annual_Rent_EUR]]&lt;&gt;tblRentRoll[[#This Row],[Jahresrente_EUR]], "FALSCH", "")</f>
        <v/>
      </c>
      <c r="M461">
        <v>1456.09</v>
      </c>
      <c r="N461">
        <v>2333.91</v>
      </c>
      <c r="O46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1" t="str">
        <f>IF(tblRentRoll[[#This Row],[Area_sqm]]&lt;=0,"Area&lt;=0","")</f>
        <v/>
      </c>
      <c r="Q461" t="str">
        <f>IF(tblRentRoll[[#This Row],[Monthly_Rent_EUR]]&lt;=0,"Rent&lt;=0","")</f>
        <v>Rent&lt;=0</v>
      </c>
      <c r="R461" t="str">
        <f>IF(AND(tblRentRoll[[#This Row],[Status]]="Occupied", tblRentRoll[[#This Row],[Area_sqm]]&gt;0), tblRentRoll[[#This Row],[Annual_Rent_EUR]]/tblRentRoll[[#This Row],[Area_sqm]],"")</f>
        <v/>
      </c>
      <c r="S461">
        <f>tblRentRoll[[#This Row],[Service_Charge_EUR]]+tblRentRoll[[#This Row],[Operating_Cost_EUR]]</f>
        <v>3790</v>
      </c>
      <c r="T461" t="str">
        <f>IF(tblRentRoll[[#This Row],[Annual_Rent_EUR]]&lt;&gt;0,tblRentRoll[[#This Row],[Annual_Rent_EUR]]-tblRentRoll[[#This Row],[Operating_Cost_EUR]], "")</f>
        <v/>
      </c>
      <c r="U461">
        <f ca="1">IF(AND(tblRentRoll[[#This Row],[Status]]="Occupied",tblRentRoll[[#This Row],[Lease_End]]&gt;=TODAY()),DATEDIF(TODAY(),tblRentRoll[[#This Row],[Lease_End]],"m"), 0)</f>
        <v>0</v>
      </c>
      <c r="V461" t="str">
        <f>IF(tblRentRoll[[#This Row],[Status]]&lt;&gt;"Occupied","", IF(tblRentRoll[[#This Row],[Month_to_Expiry]]&lt;=3, "0-3 Monaten",  IF(tblRentRoll[[#This Row],[Month_to_Expiry]]&lt;=6, "3-6 Monaten", IF(tblRentRoll[[#This Row],[Month_to_Expiry]]&lt;=12,"6-12 Monaten", IF(tblRentRoll[[#This Row],[Month_to_Expiry]]&gt;=12, "12 M+",)))))</f>
        <v/>
      </c>
      <c r="W461">
        <f>IF(tblRentRoll[[#This Row],[Status]]="Vacant", tblRentRoll[[#This Row],[Area_sqm]],0)</f>
        <v>1347</v>
      </c>
      <c r="X461" s="3">
        <f>IF(tblRentRoll[[#This Row],[Status]]="Occupied", tblRentRoll[[#This Row],[Area_sqm]],0)</f>
        <v>0</v>
      </c>
      <c r="Y461" s="3">
        <f ca="1">tblRentRoll[[#This Row],[Month_to_Expiry]]/12*tblRentRoll[[#This Row],[Annual_Rent_EUR]]</f>
        <v>0</v>
      </c>
      <c r="Z461" s="3"/>
    </row>
    <row r="462" spans="1:26" x14ac:dyDescent="0.35">
      <c r="A462" t="s">
        <v>56</v>
      </c>
      <c r="B462" t="s">
        <v>655</v>
      </c>
      <c r="C462" t="s">
        <v>14</v>
      </c>
      <c r="D462">
        <v>460</v>
      </c>
      <c r="E462" t="s">
        <v>15</v>
      </c>
      <c r="F462" t="s">
        <v>122</v>
      </c>
      <c r="G462">
        <v>5589.31</v>
      </c>
      <c r="H462">
        <v>67071.72</v>
      </c>
      <c r="I462" s="2">
        <f>tblRentRoll[[#This Row],[Monthly_Rent_EUR]]*12</f>
        <v>67071.72</v>
      </c>
      <c r="J462" s="2" t="str">
        <f>IF(tblRentRoll[[#This Row],[Annual_Rent_EUR]]&lt;&gt;tblRentRoll[[#This Row],[Jahresrente_EUR]], "FALSCH", "")</f>
        <v/>
      </c>
      <c r="K462" s="1">
        <v>44738</v>
      </c>
      <c r="L462" s="1">
        <v>46552</v>
      </c>
      <c r="M462">
        <v>793.42</v>
      </c>
      <c r="N462">
        <v>626.48</v>
      </c>
      <c r="O46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2" t="str">
        <f>IF(tblRentRoll[[#This Row],[Area_sqm]]&lt;=0,"Area&lt;=0","")</f>
        <v/>
      </c>
      <c r="Q462" t="str">
        <f>IF(tblRentRoll[[#This Row],[Monthly_Rent_EUR]]&lt;=0,"Rent&lt;=0","")</f>
        <v/>
      </c>
      <c r="R462">
        <f>IF(AND(tblRentRoll[[#This Row],[Status]]="Occupied", tblRentRoll[[#This Row],[Area_sqm]]&gt;0), tblRentRoll[[#This Row],[Annual_Rent_EUR]]/tblRentRoll[[#This Row],[Area_sqm]],"")</f>
        <v>145.80808695652175</v>
      </c>
      <c r="S462">
        <f>tblRentRoll[[#This Row],[Service_Charge_EUR]]+tblRentRoll[[#This Row],[Operating_Cost_EUR]]</f>
        <v>1419.9</v>
      </c>
      <c r="T462">
        <f>IF(tblRentRoll[[#This Row],[Annual_Rent_EUR]]&lt;&gt;0,tblRentRoll[[#This Row],[Annual_Rent_EUR]]-tblRentRoll[[#This Row],[Operating_Cost_EUR]], "")</f>
        <v>66445.240000000005</v>
      </c>
      <c r="U462">
        <f ca="1">IF(AND(tblRentRoll[[#This Row],[Status]]="Occupied",tblRentRoll[[#This Row],[Lease_End]]&gt;=TODAY()),DATEDIF(TODAY(),tblRentRoll[[#This Row],[Lease_End]],"m"), 0)</f>
        <v>15</v>
      </c>
      <c r="V462" t="str">
        <f ca="1">IF(tblRentRoll[[#This Row],[Status]]&lt;&gt;"Occupied","", IF(tblRentRoll[[#This Row],[Month_to_Expiry]]&lt;=3, "0-3 Monaten",  IF(tblRentRoll[[#This Row],[Month_to_Expiry]]&lt;=6, "3-6 Monaten", IF(tblRentRoll[[#This Row],[Month_to_Expiry]]&lt;=12,"6-12 Monaten", IF(tblRentRoll[[#This Row],[Month_to_Expiry]]&gt;=12, "12 M+",)))))</f>
        <v>12 M+</v>
      </c>
      <c r="W462">
        <f>IF(tblRentRoll[[#This Row],[Status]]="Vacant", tblRentRoll[[#This Row],[Area_sqm]],0)</f>
        <v>0</v>
      </c>
      <c r="X462" s="3">
        <f>IF(tblRentRoll[[#This Row],[Status]]="Occupied", tblRentRoll[[#This Row],[Area_sqm]],0)</f>
        <v>460</v>
      </c>
      <c r="Y462" s="3">
        <f ca="1">tblRentRoll[[#This Row],[Month_to_Expiry]]/12*tblRentRoll[[#This Row],[Annual_Rent_EUR]]</f>
        <v>83839.649999999994</v>
      </c>
      <c r="Z462" s="3"/>
    </row>
    <row r="463" spans="1:26" x14ac:dyDescent="0.35">
      <c r="A463" t="s">
        <v>24</v>
      </c>
      <c r="B463" t="s">
        <v>656</v>
      </c>
      <c r="C463" t="s">
        <v>33</v>
      </c>
      <c r="D463">
        <v>1179</v>
      </c>
      <c r="E463" t="s">
        <v>15</v>
      </c>
      <c r="F463" t="s">
        <v>317</v>
      </c>
      <c r="G463">
        <v>11773.97</v>
      </c>
      <c r="H463">
        <v>141287.64000000001</v>
      </c>
      <c r="I463" s="2">
        <f>tblRentRoll[[#This Row],[Monthly_Rent_EUR]]*12</f>
        <v>141287.63999999998</v>
      </c>
      <c r="J463" s="2" t="str">
        <f>IF(tblRentRoll[[#This Row],[Annual_Rent_EUR]]&lt;&gt;tblRentRoll[[#This Row],[Jahresrente_EUR]], "FALSCH", "")</f>
        <v/>
      </c>
      <c r="K463" s="1">
        <v>44530</v>
      </c>
      <c r="L463" s="1">
        <v>46028</v>
      </c>
      <c r="M463">
        <v>3380.37</v>
      </c>
      <c r="N463">
        <v>788.56</v>
      </c>
      <c r="O46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3" t="str">
        <f>IF(tblRentRoll[[#This Row],[Area_sqm]]&lt;=0,"Area&lt;=0","")</f>
        <v/>
      </c>
      <c r="Q463" t="str">
        <f>IF(tblRentRoll[[#This Row],[Monthly_Rent_EUR]]&lt;=0,"Rent&lt;=0","")</f>
        <v/>
      </c>
      <c r="R463">
        <f>IF(AND(tblRentRoll[[#This Row],[Status]]="Occupied", tblRentRoll[[#This Row],[Area_sqm]]&gt;0), tblRentRoll[[#This Row],[Annual_Rent_EUR]]/tblRentRoll[[#This Row],[Area_sqm]],"")</f>
        <v>119.83684478371502</v>
      </c>
      <c r="S463">
        <f>tblRentRoll[[#This Row],[Service_Charge_EUR]]+tblRentRoll[[#This Row],[Operating_Cost_EUR]]</f>
        <v>4168.93</v>
      </c>
      <c r="T463">
        <f>IF(tblRentRoll[[#This Row],[Annual_Rent_EUR]]&lt;&gt;0,tblRentRoll[[#This Row],[Annual_Rent_EUR]]-tblRentRoll[[#This Row],[Operating_Cost_EUR]], "")</f>
        <v>140499.08000000002</v>
      </c>
      <c r="U463">
        <f ca="1">IF(AND(tblRentRoll[[#This Row],[Status]]="Occupied",tblRentRoll[[#This Row],[Lease_End]]&gt;=TODAY()),DATEDIF(TODAY(),tblRentRoll[[#This Row],[Lease_End]],"m"), 0)</f>
        <v>0</v>
      </c>
      <c r="V463" t="str">
        <f ca="1">IF(tblRentRoll[[#This Row],[Status]]&lt;&gt;"Occupied","", IF(tblRentRoll[[#This Row],[Month_to_Expiry]]&lt;=3, "0-3 Monaten",  IF(tblRentRoll[[#This Row],[Month_to_Expiry]]&lt;=6, "3-6 Monaten", IF(tblRentRoll[[#This Row],[Month_to_Expiry]]&lt;=12,"6-12 Monaten", IF(tblRentRoll[[#This Row],[Month_to_Expiry]]&gt;=12, "12 M+",)))))</f>
        <v>0-3 Monaten</v>
      </c>
      <c r="W463">
        <f>IF(tblRentRoll[[#This Row],[Status]]="Vacant", tblRentRoll[[#This Row],[Area_sqm]],0)</f>
        <v>0</v>
      </c>
      <c r="X463" s="3">
        <f>IF(tblRentRoll[[#This Row],[Status]]="Occupied", tblRentRoll[[#This Row],[Area_sqm]],0)</f>
        <v>1179</v>
      </c>
      <c r="Y463" s="3">
        <f ca="1">tblRentRoll[[#This Row],[Month_to_Expiry]]/12*tblRentRoll[[#This Row],[Annual_Rent_EUR]]</f>
        <v>0</v>
      </c>
      <c r="Z463" s="3"/>
    </row>
    <row r="464" spans="1:26" x14ac:dyDescent="0.35">
      <c r="A464" t="s">
        <v>44</v>
      </c>
      <c r="B464" t="s">
        <v>657</v>
      </c>
      <c r="C464" t="s">
        <v>33</v>
      </c>
      <c r="D464">
        <v>46</v>
      </c>
      <c r="E464" t="s">
        <v>15</v>
      </c>
      <c r="F464" t="s">
        <v>294</v>
      </c>
      <c r="G464">
        <v>293.83999999999997</v>
      </c>
      <c r="H464">
        <v>3526.08</v>
      </c>
      <c r="I464" s="2">
        <f>tblRentRoll[[#This Row],[Monthly_Rent_EUR]]*12</f>
        <v>3526.08</v>
      </c>
      <c r="J464" s="2" t="str">
        <f>IF(tblRentRoll[[#This Row],[Annual_Rent_EUR]]&lt;&gt;tblRentRoll[[#This Row],[Jahresrente_EUR]], "FALSCH", "")</f>
        <v/>
      </c>
      <c r="K464" s="1">
        <v>44396</v>
      </c>
      <c r="L464" s="1">
        <v>44889</v>
      </c>
      <c r="M464">
        <v>61.13</v>
      </c>
      <c r="N464">
        <v>46.13</v>
      </c>
      <c r="O46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4" t="str">
        <f>IF(tblRentRoll[[#This Row],[Area_sqm]]&lt;=0,"Area&lt;=0","")</f>
        <v/>
      </c>
      <c r="Q464" t="str">
        <f>IF(tblRentRoll[[#This Row],[Monthly_Rent_EUR]]&lt;=0,"Rent&lt;=0","")</f>
        <v/>
      </c>
      <c r="R464">
        <f>IF(AND(tblRentRoll[[#This Row],[Status]]="Occupied", tblRentRoll[[#This Row],[Area_sqm]]&gt;0), tblRentRoll[[#This Row],[Annual_Rent_EUR]]/tblRentRoll[[#This Row],[Area_sqm]],"")</f>
        <v>76.653913043478255</v>
      </c>
      <c r="S464">
        <f>tblRentRoll[[#This Row],[Service_Charge_EUR]]+tblRentRoll[[#This Row],[Operating_Cost_EUR]]</f>
        <v>107.26</v>
      </c>
      <c r="T464">
        <f>IF(tblRentRoll[[#This Row],[Annual_Rent_EUR]]&lt;&gt;0,tblRentRoll[[#This Row],[Annual_Rent_EUR]]-tblRentRoll[[#This Row],[Operating_Cost_EUR]], "")</f>
        <v>3479.95</v>
      </c>
      <c r="U464">
        <f ca="1">IF(AND(tblRentRoll[[#This Row],[Status]]="Occupied",tblRentRoll[[#This Row],[Lease_End]]&gt;=TODAY()),DATEDIF(TODAY(),tblRentRoll[[#This Row],[Lease_End]],"m"), 0)</f>
        <v>0</v>
      </c>
      <c r="V464" t="str">
        <f ca="1">IF(tblRentRoll[[#This Row],[Status]]&lt;&gt;"Occupied","", IF(tblRentRoll[[#This Row],[Month_to_Expiry]]&lt;=3, "0-3 Monaten",  IF(tblRentRoll[[#This Row],[Month_to_Expiry]]&lt;=6, "3-6 Monaten", IF(tblRentRoll[[#This Row],[Month_to_Expiry]]&lt;=12,"6-12 Monaten", IF(tblRentRoll[[#This Row],[Month_to_Expiry]]&gt;=12, "12 M+",)))))</f>
        <v>0-3 Monaten</v>
      </c>
      <c r="W464">
        <f>IF(tblRentRoll[[#This Row],[Status]]="Vacant", tblRentRoll[[#This Row],[Area_sqm]],0)</f>
        <v>0</v>
      </c>
      <c r="X464" s="3">
        <f>IF(tblRentRoll[[#This Row],[Status]]="Occupied", tblRentRoll[[#This Row],[Area_sqm]],0)</f>
        <v>46</v>
      </c>
      <c r="Y464" s="3">
        <f ca="1">tblRentRoll[[#This Row],[Month_to_Expiry]]/12*tblRentRoll[[#This Row],[Annual_Rent_EUR]]</f>
        <v>0</v>
      </c>
      <c r="Z464" s="3"/>
    </row>
    <row r="465" spans="1:26" x14ac:dyDescent="0.35">
      <c r="A465" t="s">
        <v>12</v>
      </c>
      <c r="B465" t="s">
        <v>658</v>
      </c>
      <c r="C465" t="s">
        <v>33</v>
      </c>
      <c r="D465">
        <v>705</v>
      </c>
      <c r="E465" t="s">
        <v>15</v>
      </c>
      <c r="F465" t="s">
        <v>90</v>
      </c>
      <c r="G465">
        <v>9229.11</v>
      </c>
      <c r="H465">
        <v>110749.32</v>
      </c>
      <c r="I465" s="2">
        <f>tblRentRoll[[#This Row],[Monthly_Rent_EUR]]*12</f>
        <v>110749.32</v>
      </c>
      <c r="J465" s="2" t="str">
        <f>IF(tblRentRoll[[#This Row],[Annual_Rent_EUR]]&lt;&gt;tblRentRoll[[#This Row],[Jahresrente_EUR]], "FALSCH", "")</f>
        <v/>
      </c>
      <c r="K465" s="1">
        <v>44977</v>
      </c>
      <c r="L465" s="1">
        <v>46795</v>
      </c>
      <c r="M465">
        <v>1698.09</v>
      </c>
      <c r="N465">
        <v>505.19</v>
      </c>
      <c r="O46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5" t="str">
        <f>IF(tblRentRoll[[#This Row],[Area_sqm]]&lt;=0,"Area&lt;=0","")</f>
        <v/>
      </c>
      <c r="Q465" t="str">
        <f>IF(tblRentRoll[[#This Row],[Monthly_Rent_EUR]]&lt;=0,"Rent&lt;=0","")</f>
        <v/>
      </c>
      <c r="R465">
        <f>IF(AND(tblRentRoll[[#This Row],[Status]]="Occupied", tblRentRoll[[#This Row],[Area_sqm]]&gt;0), tblRentRoll[[#This Row],[Annual_Rent_EUR]]/tblRentRoll[[#This Row],[Area_sqm]],"")</f>
        <v>157.0912340425532</v>
      </c>
      <c r="S465">
        <f>tblRentRoll[[#This Row],[Service_Charge_EUR]]+tblRentRoll[[#This Row],[Operating_Cost_EUR]]</f>
        <v>2203.2799999999997</v>
      </c>
      <c r="T465">
        <f>IF(tblRentRoll[[#This Row],[Annual_Rent_EUR]]&lt;&gt;0,tblRentRoll[[#This Row],[Annual_Rent_EUR]]-tblRentRoll[[#This Row],[Operating_Cost_EUR]], "")</f>
        <v>110244.13</v>
      </c>
      <c r="U465">
        <f ca="1">IF(AND(tblRentRoll[[#This Row],[Status]]="Occupied",tblRentRoll[[#This Row],[Lease_End]]&gt;=TODAY()),DATEDIF(TODAY(),tblRentRoll[[#This Row],[Lease_End]],"m"), 0)</f>
        <v>23</v>
      </c>
      <c r="V465" t="str">
        <f ca="1">IF(tblRentRoll[[#This Row],[Status]]&lt;&gt;"Occupied","", IF(tblRentRoll[[#This Row],[Month_to_Expiry]]&lt;=3, "0-3 Monaten",  IF(tblRentRoll[[#This Row],[Month_to_Expiry]]&lt;=6, "3-6 Monaten", IF(tblRentRoll[[#This Row],[Month_to_Expiry]]&lt;=12,"6-12 Monaten", IF(tblRentRoll[[#This Row],[Month_to_Expiry]]&gt;=12, "12 M+",)))))</f>
        <v>12 M+</v>
      </c>
      <c r="W465">
        <f>IF(tblRentRoll[[#This Row],[Status]]="Vacant", tblRentRoll[[#This Row],[Area_sqm]],0)</f>
        <v>0</v>
      </c>
      <c r="X465" s="3">
        <f>IF(tblRentRoll[[#This Row],[Status]]="Occupied", tblRentRoll[[#This Row],[Area_sqm]],0)</f>
        <v>705</v>
      </c>
      <c r="Y465" s="3">
        <f ca="1">tblRentRoll[[#This Row],[Month_to_Expiry]]/12*tblRentRoll[[#This Row],[Annual_Rent_EUR]]</f>
        <v>212269.53000000003</v>
      </c>
      <c r="Z465" s="3"/>
    </row>
    <row r="466" spans="1:26" x14ac:dyDescent="0.35">
      <c r="A466" t="s">
        <v>12</v>
      </c>
      <c r="B466" t="s">
        <v>659</v>
      </c>
      <c r="C466" t="s">
        <v>29</v>
      </c>
      <c r="D466">
        <v>1239</v>
      </c>
      <c r="E466" t="s">
        <v>15</v>
      </c>
      <c r="F466" t="s">
        <v>319</v>
      </c>
      <c r="G466">
        <v>11343.87</v>
      </c>
      <c r="H466">
        <v>136126.44</v>
      </c>
      <c r="I466" s="2">
        <f>tblRentRoll[[#This Row],[Monthly_Rent_EUR]]*12</f>
        <v>136126.44</v>
      </c>
      <c r="J466" s="2" t="str">
        <f>IF(tblRentRoll[[#This Row],[Annual_Rent_EUR]]&lt;&gt;tblRentRoll[[#This Row],[Jahresrente_EUR]], "FALSCH", "")</f>
        <v/>
      </c>
      <c r="K466" s="1">
        <v>44959</v>
      </c>
      <c r="L466" s="1">
        <v>46540</v>
      </c>
      <c r="M466">
        <v>3297.84</v>
      </c>
      <c r="N466">
        <v>2564.13</v>
      </c>
      <c r="O46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6" t="str">
        <f>IF(tblRentRoll[[#This Row],[Area_sqm]]&lt;=0,"Area&lt;=0","")</f>
        <v/>
      </c>
      <c r="Q466" t="str">
        <f>IF(tblRentRoll[[#This Row],[Monthly_Rent_EUR]]&lt;=0,"Rent&lt;=0","")</f>
        <v/>
      </c>
      <c r="R466">
        <f>IF(AND(tblRentRoll[[#This Row],[Status]]="Occupied", tblRentRoll[[#This Row],[Area_sqm]]&gt;0), tblRentRoll[[#This Row],[Annual_Rent_EUR]]/tblRentRoll[[#This Row],[Area_sqm]],"")</f>
        <v>109.86799031476998</v>
      </c>
      <c r="S466">
        <f>tblRentRoll[[#This Row],[Service_Charge_EUR]]+tblRentRoll[[#This Row],[Operating_Cost_EUR]]</f>
        <v>5861.97</v>
      </c>
      <c r="T466">
        <f>IF(tblRentRoll[[#This Row],[Annual_Rent_EUR]]&lt;&gt;0,tblRentRoll[[#This Row],[Annual_Rent_EUR]]-tblRentRoll[[#This Row],[Operating_Cost_EUR]], "")</f>
        <v>133562.31</v>
      </c>
      <c r="U466">
        <f ca="1">IF(AND(tblRentRoll[[#This Row],[Status]]="Occupied",tblRentRoll[[#This Row],[Lease_End]]&gt;=TODAY()),DATEDIF(TODAY(),tblRentRoll[[#This Row],[Lease_End]],"m"), 0)</f>
        <v>14</v>
      </c>
      <c r="V466" t="str">
        <f ca="1">IF(tblRentRoll[[#This Row],[Status]]&lt;&gt;"Occupied","", IF(tblRentRoll[[#This Row],[Month_to_Expiry]]&lt;=3, "0-3 Monaten",  IF(tblRentRoll[[#This Row],[Month_to_Expiry]]&lt;=6, "3-6 Monaten", IF(tblRentRoll[[#This Row],[Month_to_Expiry]]&lt;=12,"6-12 Monaten", IF(tblRentRoll[[#This Row],[Month_to_Expiry]]&gt;=12, "12 M+",)))))</f>
        <v>12 M+</v>
      </c>
      <c r="W466">
        <f>IF(tblRentRoll[[#This Row],[Status]]="Vacant", tblRentRoll[[#This Row],[Area_sqm]],0)</f>
        <v>0</v>
      </c>
      <c r="X466" s="3">
        <f>IF(tblRentRoll[[#This Row],[Status]]="Occupied", tblRentRoll[[#This Row],[Area_sqm]],0)</f>
        <v>1239</v>
      </c>
      <c r="Y466" s="3">
        <f ca="1">tblRentRoll[[#This Row],[Month_to_Expiry]]/12*tblRentRoll[[#This Row],[Annual_Rent_EUR]]</f>
        <v>158814.18000000002</v>
      </c>
      <c r="Z466" s="3"/>
    </row>
    <row r="467" spans="1:26" x14ac:dyDescent="0.35">
      <c r="A467" t="s">
        <v>17</v>
      </c>
      <c r="B467" t="s">
        <v>660</v>
      </c>
      <c r="C467" t="s">
        <v>29</v>
      </c>
      <c r="D467">
        <v>330</v>
      </c>
      <c r="E467" t="s">
        <v>15</v>
      </c>
      <c r="F467" t="s">
        <v>104</v>
      </c>
      <c r="G467">
        <v>5311.71</v>
      </c>
      <c r="H467">
        <v>63740.52</v>
      </c>
      <c r="I467" s="2">
        <f>tblRentRoll[[#This Row],[Monthly_Rent_EUR]]*12</f>
        <v>63740.520000000004</v>
      </c>
      <c r="J467" s="2" t="str">
        <f>IF(tblRentRoll[[#This Row],[Annual_Rent_EUR]]&lt;&gt;tblRentRoll[[#This Row],[Jahresrente_EUR]], "FALSCH", "")</f>
        <v/>
      </c>
      <c r="K467" s="1">
        <v>44948</v>
      </c>
      <c r="L467" s="1">
        <v>46306</v>
      </c>
      <c r="M467">
        <v>698.24</v>
      </c>
      <c r="N467">
        <v>413.22</v>
      </c>
      <c r="O46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7" t="str">
        <f>IF(tblRentRoll[[#This Row],[Area_sqm]]&lt;=0,"Area&lt;=0","")</f>
        <v/>
      </c>
      <c r="Q467" t="str">
        <f>IF(tblRentRoll[[#This Row],[Monthly_Rent_EUR]]&lt;=0,"Rent&lt;=0","")</f>
        <v/>
      </c>
      <c r="R467">
        <f>IF(AND(tblRentRoll[[#This Row],[Status]]="Occupied", tblRentRoll[[#This Row],[Area_sqm]]&gt;0), tblRentRoll[[#This Row],[Annual_Rent_EUR]]/tblRentRoll[[#This Row],[Area_sqm]],"")</f>
        <v>193.15309090909091</v>
      </c>
      <c r="S467">
        <f>tblRentRoll[[#This Row],[Service_Charge_EUR]]+tblRentRoll[[#This Row],[Operating_Cost_EUR]]</f>
        <v>1111.46</v>
      </c>
      <c r="T467">
        <f>IF(tblRentRoll[[#This Row],[Annual_Rent_EUR]]&lt;&gt;0,tblRentRoll[[#This Row],[Annual_Rent_EUR]]-tblRentRoll[[#This Row],[Operating_Cost_EUR]], "")</f>
        <v>63327.299999999996</v>
      </c>
      <c r="U467">
        <f ca="1">IF(AND(tblRentRoll[[#This Row],[Status]]="Occupied",tblRentRoll[[#This Row],[Lease_End]]&gt;=TODAY()),DATEDIF(TODAY(),tblRentRoll[[#This Row],[Lease_End]],"m"), 0)</f>
        <v>6</v>
      </c>
      <c r="V467" t="str">
        <f ca="1">IF(tblRentRoll[[#This Row],[Status]]&lt;&gt;"Occupied","", IF(tblRentRoll[[#This Row],[Month_to_Expiry]]&lt;=3, "0-3 Monaten",  IF(tblRentRoll[[#This Row],[Month_to_Expiry]]&lt;=6, "3-6 Monaten", IF(tblRentRoll[[#This Row],[Month_to_Expiry]]&lt;=12,"6-12 Monaten", IF(tblRentRoll[[#This Row],[Month_to_Expiry]]&gt;=12, "12 M+",)))))</f>
        <v>3-6 Monaten</v>
      </c>
      <c r="W467">
        <f>IF(tblRentRoll[[#This Row],[Status]]="Vacant", tblRentRoll[[#This Row],[Area_sqm]],0)</f>
        <v>0</v>
      </c>
      <c r="X467" s="3">
        <f>IF(tblRentRoll[[#This Row],[Status]]="Occupied", tblRentRoll[[#This Row],[Area_sqm]],0)</f>
        <v>330</v>
      </c>
      <c r="Y467" s="3">
        <f ca="1">tblRentRoll[[#This Row],[Month_to_Expiry]]/12*tblRentRoll[[#This Row],[Annual_Rent_EUR]]</f>
        <v>31870.26</v>
      </c>
      <c r="Z467" s="3"/>
    </row>
    <row r="468" spans="1:26" x14ac:dyDescent="0.35">
      <c r="A468" t="s">
        <v>12</v>
      </c>
      <c r="B468" t="s">
        <v>661</v>
      </c>
      <c r="C468" t="s">
        <v>14</v>
      </c>
      <c r="D468">
        <v>931</v>
      </c>
      <c r="E468" t="s">
        <v>15</v>
      </c>
      <c r="F468" t="s">
        <v>76</v>
      </c>
      <c r="G468">
        <v>11865.18</v>
      </c>
      <c r="H468">
        <v>142382.16</v>
      </c>
      <c r="I468" s="2">
        <f>tblRentRoll[[#This Row],[Monthly_Rent_EUR]]*12</f>
        <v>142382.16</v>
      </c>
      <c r="J468" s="2" t="str">
        <f>IF(tblRentRoll[[#This Row],[Annual_Rent_EUR]]&lt;&gt;tblRentRoll[[#This Row],[Jahresrente_EUR]], "FALSCH", "")</f>
        <v/>
      </c>
      <c r="K468" s="1">
        <v>44973</v>
      </c>
      <c r="L468" s="1">
        <v>46407</v>
      </c>
      <c r="M468">
        <v>1047.76</v>
      </c>
      <c r="N468">
        <v>1883.2</v>
      </c>
      <c r="O46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8" t="str">
        <f>IF(tblRentRoll[[#This Row],[Area_sqm]]&lt;=0,"Area&lt;=0","")</f>
        <v/>
      </c>
      <c r="Q468" t="str">
        <f>IF(tblRentRoll[[#This Row],[Monthly_Rent_EUR]]&lt;=0,"Rent&lt;=0","")</f>
        <v/>
      </c>
      <c r="R468">
        <f>IF(AND(tblRentRoll[[#This Row],[Status]]="Occupied", tblRentRoll[[#This Row],[Area_sqm]]&gt;0), tblRentRoll[[#This Row],[Annual_Rent_EUR]]/tblRentRoll[[#This Row],[Area_sqm]],"")</f>
        <v>152.93465091299677</v>
      </c>
      <c r="S468">
        <f>tblRentRoll[[#This Row],[Service_Charge_EUR]]+tblRentRoll[[#This Row],[Operating_Cost_EUR]]</f>
        <v>2930.96</v>
      </c>
      <c r="T468">
        <f>IF(tblRentRoll[[#This Row],[Annual_Rent_EUR]]&lt;&gt;0,tblRentRoll[[#This Row],[Annual_Rent_EUR]]-tblRentRoll[[#This Row],[Operating_Cost_EUR]], "")</f>
        <v>140498.96</v>
      </c>
      <c r="U468">
        <f ca="1">IF(AND(tblRentRoll[[#This Row],[Status]]="Occupied",tblRentRoll[[#This Row],[Lease_End]]&gt;=TODAY()),DATEDIF(TODAY(),tblRentRoll[[#This Row],[Lease_End]],"m"), 0)</f>
        <v>10</v>
      </c>
      <c r="V468" t="str">
        <f ca="1">IF(tblRentRoll[[#This Row],[Status]]&lt;&gt;"Occupied","", IF(tblRentRoll[[#This Row],[Month_to_Expiry]]&lt;=3, "0-3 Monaten",  IF(tblRentRoll[[#This Row],[Month_to_Expiry]]&lt;=6, "3-6 Monaten", IF(tblRentRoll[[#This Row],[Month_to_Expiry]]&lt;=12,"6-12 Monaten", IF(tblRentRoll[[#This Row],[Month_to_Expiry]]&gt;=12, "12 M+",)))))</f>
        <v>6-12 Monaten</v>
      </c>
      <c r="W468">
        <f>IF(tblRentRoll[[#This Row],[Status]]="Vacant", tblRentRoll[[#This Row],[Area_sqm]],0)</f>
        <v>0</v>
      </c>
      <c r="X468" s="3">
        <f>IF(tblRentRoll[[#This Row],[Status]]="Occupied", tblRentRoll[[#This Row],[Area_sqm]],0)</f>
        <v>931</v>
      </c>
      <c r="Y468" s="3">
        <f ca="1">tblRentRoll[[#This Row],[Month_to_Expiry]]/12*tblRentRoll[[#This Row],[Annual_Rent_EUR]]</f>
        <v>118651.8</v>
      </c>
      <c r="Z468" s="3"/>
    </row>
    <row r="469" spans="1:26" x14ac:dyDescent="0.35">
      <c r="A469" t="s">
        <v>21</v>
      </c>
      <c r="B469" t="s">
        <v>662</v>
      </c>
      <c r="C469" t="s">
        <v>19</v>
      </c>
      <c r="D469">
        <v>905</v>
      </c>
      <c r="E469" t="s">
        <v>15</v>
      </c>
      <c r="F469" t="s">
        <v>164</v>
      </c>
      <c r="G469">
        <v>11050.86</v>
      </c>
      <c r="H469">
        <v>132610.32</v>
      </c>
      <c r="I469" s="2">
        <f>tblRentRoll[[#This Row],[Monthly_Rent_EUR]]*12</f>
        <v>132610.32</v>
      </c>
      <c r="J469" s="2" t="str">
        <f>IF(tblRentRoll[[#This Row],[Annual_Rent_EUR]]&lt;&gt;tblRentRoll[[#This Row],[Jahresrente_EUR]], "FALSCH", "")</f>
        <v/>
      </c>
      <c r="K469" s="1">
        <v>45282</v>
      </c>
      <c r="L469" s="1">
        <v>45594</v>
      </c>
      <c r="M469">
        <v>1289.67</v>
      </c>
      <c r="N469">
        <v>1832.28</v>
      </c>
      <c r="O46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69" t="str">
        <f>IF(tblRentRoll[[#This Row],[Area_sqm]]&lt;=0,"Area&lt;=0","")</f>
        <v/>
      </c>
      <c r="Q469" t="str">
        <f>IF(tblRentRoll[[#This Row],[Monthly_Rent_EUR]]&lt;=0,"Rent&lt;=0","")</f>
        <v/>
      </c>
      <c r="R469">
        <f>IF(AND(tblRentRoll[[#This Row],[Status]]="Occupied", tblRentRoll[[#This Row],[Area_sqm]]&gt;0), tblRentRoll[[#This Row],[Annual_Rent_EUR]]/tblRentRoll[[#This Row],[Area_sqm]],"")</f>
        <v>146.53074033149173</v>
      </c>
      <c r="S469">
        <f>tblRentRoll[[#This Row],[Service_Charge_EUR]]+tblRentRoll[[#This Row],[Operating_Cost_EUR]]</f>
        <v>3121.95</v>
      </c>
      <c r="T469">
        <f>IF(tblRentRoll[[#This Row],[Annual_Rent_EUR]]&lt;&gt;0,tblRentRoll[[#This Row],[Annual_Rent_EUR]]-tblRentRoll[[#This Row],[Operating_Cost_EUR]], "")</f>
        <v>130778.04000000001</v>
      </c>
      <c r="U469">
        <f ca="1">IF(AND(tblRentRoll[[#This Row],[Status]]="Occupied",tblRentRoll[[#This Row],[Lease_End]]&gt;=TODAY()),DATEDIF(TODAY(),tblRentRoll[[#This Row],[Lease_End]],"m"), 0)</f>
        <v>0</v>
      </c>
      <c r="V469" t="str">
        <f ca="1">IF(tblRentRoll[[#This Row],[Status]]&lt;&gt;"Occupied","", IF(tblRentRoll[[#This Row],[Month_to_Expiry]]&lt;=3, "0-3 Monaten",  IF(tblRentRoll[[#This Row],[Month_to_Expiry]]&lt;=6, "3-6 Monaten", IF(tblRentRoll[[#This Row],[Month_to_Expiry]]&lt;=12,"6-12 Monaten", IF(tblRentRoll[[#This Row],[Month_to_Expiry]]&gt;=12, "12 M+",)))))</f>
        <v>0-3 Monaten</v>
      </c>
      <c r="W469">
        <f>IF(tblRentRoll[[#This Row],[Status]]="Vacant", tblRentRoll[[#This Row],[Area_sqm]],0)</f>
        <v>0</v>
      </c>
      <c r="X469" s="3">
        <f>IF(tblRentRoll[[#This Row],[Status]]="Occupied", tblRentRoll[[#This Row],[Area_sqm]],0)</f>
        <v>905</v>
      </c>
      <c r="Y469" s="3">
        <f ca="1">tblRentRoll[[#This Row],[Month_to_Expiry]]/12*tblRentRoll[[#This Row],[Annual_Rent_EUR]]</f>
        <v>0</v>
      </c>
      <c r="Z469" s="3"/>
    </row>
    <row r="470" spans="1:26" x14ac:dyDescent="0.35">
      <c r="A470" t="s">
        <v>56</v>
      </c>
      <c r="B470" t="s">
        <v>663</v>
      </c>
      <c r="C470" t="s">
        <v>19</v>
      </c>
      <c r="D470">
        <v>773</v>
      </c>
      <c r="E470" t="s">
        <v>15</v>
      </c>
      <c r="F470" t="s">
        <v>499</v>
      </c>
      <c r="G470">
        <v>6038.58</v>
      </c>
      <c r="H470">
        <v>72462.960000000006</v>
      </c>
      <c r="I470" s="2">
        <f>tblRentRoll[[#This Row],[Monthly_Rent_EUR]]*12</f>
        <v>72462.959999999992</v>
      </c>
      <c r="J470" s="2" t="str">
        <f>IF(tblRentRoll[[#This Row],[Annual_Rent_EUR]]&lt;&gt;tblRentRoll[[#This Row],[Jahresrente_EUR]], "FALSCH", "")</f>
        <v/>
      </c>
      <c r="K470" s="1">
        <v>44644</v>
      </c>
      <c r="L470" s="1">
        <v>45809</v>
      </c>
      <c r="M470">
        <v>2175.7600000000002</v>
      </c>
      <c r="N470">
        <v>1644.01</v>
      </c>
      <c r="O47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0" t="str">
        <f>IF(tblRentRoll[[#This Row],[Area_sqm]]&lt;=0,"Area&lt;=0","")</f>
        <v/>
      </c>
      <c r="Q470" t="str">
        <f>IF(tblRentRoll[[#This Row],[Monthly_Rent_EUR]]&lt;=0,"Rent&lt;=0","")</f>
        <v/>
      </c>
      <c r="R470">
        <f>IF(AND(tblRentRoll[[#This Row],[Status]]="Occupied", tblRentRoll[[#This Row],[Area_sqm]]&gt;0), tblRentRoll[[#This Row],[Annual_Rent_EUR]]/tblRentRoll[[#This Row],[Area_sqm]],"")</f>
        <v>93.742509702457966</v>
      </c>
      <c r="S470">
        <f>tblRentRoll[[#This Row],[Service_Charge_EUR]]+tblRentRoll[[#This Row],[Operating_Cost_EUR]]</f>
        <v>3819.7700000000004</v>
      </c>
      <c r="T470">
        <f>IF(tblRentRoll[[#This Row],[Annual_Rent_EUR]]&lt;&gt;0,tblRentRoll[[#This Row],[Annual_Rent_EUR]]-tblRentRoll[[#This Row],[Operating_Cost_EUR]], "")</f>
        <v>70818.950000000012</v>
      </c>
      <c r="U470">
        <f ca="1">IF(AND(tblRentRoll[[#This Row],[Status]]="Occupied",tblRentRoll[[#This Row],[Lease_End]]&gt;=TODAY()),DATEDIF(TODAY(),tblRentRoll[[#This Row],[Lease_End]],"m"), 0)</f>
        <v>0</v>
      </c>
      <c r="V470" t="str">
        <f ca="1">IF(tblRentRoll[[#This Row],[Status]]&lt;&gt;"Occupied","", IF(tblRentRoll[[#This Row],[Month_to_Expiry]]&lt;=3, "0-3 Monaten",  IF(tblRentRoll[[#This Row],[Month_to_Expiry]]&lt;=6, "3-6 Monaten", IF(tblRentRoll[[#This Row],[Month_to_Expiry]]&lt;=12,"6-12 Monaten", IF(tblRentRoll[[#This Row],[Month_to_Expiry]]&gt;=12, "12 M+",)))))</f>
        <v>0-3 Monaten</v>
      </c>
      <c r="W470">
        <f>IF(tblRentRoll[[#This Row],[Status]]="Vacant", tblRentRoll[[#This Row],[Area_sqm]],0)</f>
        <v>0</v>
      </c>
      <c r="X470" s="3">
        <f>IF(tblRentRoll[[#This Row],[Status]]="Occupied", tblRentRoll[[#This Row],[Area_sqm]],0)</f>
        <v>773</v>
      </c>
      <c r="Y470" s="3">
        <f ca="1">tblRentRoll[[#This Row],[Month_to_Expiry]]/12*tblRentRoll[[#This Row],[Annual_Rent_EUR]]</f>
        <v>0</v>
      </c>
      <c r="Z470" s="3"/>
    </row>
    <row r="471" spans="1:26" x14ac:dyDescent="0.35">
      <c r="A471" t="s">
        <v>17</v>
      </c>
      <c r="B471" t="s">
        <v>664</v>
      </c>
      <c r="C471" t="s">
        <v>29</v>
      </c>
      <c r="D471">
        <v>949</v>
      </c>
      <c r="E471" t="s">
        <v>15</v>
      </c>
      <c r="F471" t="s">
        <v>452</v>
      </c>
      <c r="G471">
        <v>8142.02</v>
      </c>
      <c r="H471">
        <v>97704.24</v>
      </c>
      <c r="I471" s="2">
        <f>tblRentRoll[[#This Row],[Monthly_Rent_EUR]]*12</f>
        <v>97704.24</v>
      </c>
      <c r="J471" s="2" t="str">
        <f>IF(tblRentRoll[[#This Row],[Annual_Rent_EUR]]&lt;&gt;tblRentRoll[[#This Row],[Jahresrente_EUR]], "FALSCH", "")</f>
        <v/>
      </c>
      <c r="K471" s="1">
        <v>44970</v>
      </c>
      <c r="L471" s="1">
        <v>45568</v>
      </c>
      <c r="M471">
        <v>2818.74</v>
      </c>
      <c r="N471">
        <v>1971.93</v>
      </c>
      <c r="O47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1" t="str">
        <f>IF(tblRentRoll[[#This Row],[Area_sqm]]&lt;=0,"Area&lt;=0","")</f>
        <v/>
      </c>
      <c r="Q471" t="str">
        <f>IF(tblRentRoll[[#This Row],[Monthly_Rent_EUR]]&lt;=0,"Rent&lt;=0","")</f>
        <v/>
      </c>
      <c r="R471">
        <f>IF(AND(tblRentRoll[[#This Row],[Status]]="Occupied", tblRentRoll[[#This Row],[Area_sqm]]&gt;0), tblRentRoll[[#This Row],[Annual_Rent_EUR]]/tblRentRoll[[#This Row],[Area_sqm]],"")</f>
        <v>102.95494204425712</v>
      </c>
      <c r="S471">
        <f>tblRentRoll[[#This Row],[Service_Charge_EUR]]+tblRentRoll[[#This Row],[Operating_Cost_EUR]]</f>
        <v>4790.67</v>
      </c>
      <c r="T471">
        <f>IF(tblRentRoll[[#This Row],[Annual_Rent_EUR]]&lt;&gt;0,tblRentRoll[[#This Row],[Annual_Rent_EUR]]-tblRentRoll[[#This Row],[Operating_Cost_EUR]], "")</f>
        <v>95732.310000000012</v>
      </c>
      <c r="U471">
        <f ca="1">IF(AND(tblRentRoll[[#This Row],[Status]]="Occupied",tblRentRoll[[#This Row],[Lease_End]]&gt;=TODAY()),DATEDIF(TODAY(),tblRentRoll[[#This Row],[Lease_End]],"m"), 0)</f>
        <v>0</v>
      </c>
      <c r="V471" t="str">
        <f ca="1">IF(tblRentRoll[[#This Row],[Status]]&lt;&gt;"Occupied","", IF(tblRentRoll[[#This Row],[Month_to_Expiry]]&lt;=3, "0-3 Monaten",  IF(tblRentRoll[[#This Row],[Month_to_Expiry]]&lt;=6, "3-6 Monaten", IF(tblRentRoll[[#This Row],[Month_to_Expiry]]&lt;=12,"6-12 Monaten", IF(tblRentRoll[[#This Row],[Month_to_Expiry]]&gt;=12, "12 M+",)))))</f>
        <v>0-3 Monaten</v>
      </c>
      <c r="W471">
        <f>IF(tblRentRoll[[#This Row],[Status]]="Vacant", tblRentRoll[[#This Row],[Area_sqm]],0)</f>
        <v>0</v>
      </c>
      <c r="X471" s="3">
        <f>IF(tblRentRoll[[#This Row],[Status]]="Occupied", tblRentRoll[[#This Row],[Area_sqm]],0)</f>
        <v>949</v>
      </c>
      <c r="Y471" s="3">
        <f ca="1">tblRentRoll[[#This Row],[Month_to_Expiry]]/12*tblRentRoll[[#This Row],[Annual_Rent_EUR]]</f>
        <v>0</v>
      </c>
      <c r="Z471" s="3"/>
    </row>
    <row r="472" spans="1:26" x14ac:dyDescent="0.35">
      <c r="A472" t="s">
        <v>27</v>
      </c>
      <c r="B472" t="s">
        <v>665</v>
      </c>
      <c r="C472" t="s">
        <v>29</v>
      </c>
      <c r="D472">
        <v>172</v>
      </c>
      <c r="E472" t="s">
        <v>15</v>
      </c>
      <c r="F472" t="s">
        <v>177</v>
      </c>
      <c r="G472">
        <v>2031.12</v>
      </c>
      <c r="H472">
        <v>24373.439999999999</v>
      </c>
      <c r="I472" s="2">
        <f>tblRentRoll[[#This Row],[Monthly_Rent_EUR]]*12</f>
        <v>24373.439999999999</v>
      </c>
      <c r="J472" s="2" t="str">
        <f>IF(tblRentRoll[[#This Row],[Annual_Rent_EUR]]&lt;&gt;tblRentRoll[[#This Row],[Jahresrente_EUR]], "FALSCH", "")</f>
        <v/>
      </c>
      <c r="K472" s="1">
        <v>45033</v>
      </c>
      <c r="L472" s="1">
        <v>46726</v>
      </c>
      <c r="M472">
        <v>375.02</v>
      </c>
      <c r="N472">
        <v>146.05000000000001</v>
      </c>
      <c r="O47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2" t="str">
        <f>IF(tblRentRoll[[#This Row],[Area_sqm]]&lt;=0,"Area&lt;=0","")</f>
        <v/>
      </c>
      <c r="Q472" t="str">
        <f>IF(tblRentRoll[[#This Row],[Monthly_Rent_EUR]]&lt;=0,"Rent&lt;=0","")</f>
        <v/>
      </c>
      <c r="R472">
        <f>IF(AND(tblRentRoll[[#This Row],[Status]]="Occupied", tblRentRoll[[#This Row],[Area_sqm]]&gt;0), tblRentRoll[[#This Row],[Annual_Rent_EUR]]/tblRentRoll[[#This Row],[Area_sqm]],"")</f>
        <v>141.7060465116279</v>
      </c>
      <c r="S472">
        <f>tblRentRoll[[#This Row],[Service_Charge_EUR]]+tblRentRoll[[#This Row],[Operating_Cost_EUR]]</f>
        <v>521.06999999999994</v>
      </c>
      <c r="T472">
        <f>IF(tblRentRoll[[#This Row],[Annual_Rent_EUR]]&lt;&gt;0,tblRentRoll[[#This Row],[Annual_Rent_EUR]]-tblRentRoll[[#This Row],[Operating_Cost_EUR]], "")</f>
        <v>24227.39</v>
      </c>
      <c r="U472">
        <f ca="1">IF(AND(tblRentRoll[[#This Row],[Status]]="Occupied",tblRentRoll[[#This Row],[Lease_End]]&gt;=TODAY()),DATEDIF(TODAY(),tblRentRoll[[#This Row],[Lease_End]],"m"), 0)</f>
        <v>20</v>
      </c>
      <c r="V472" t="str">
        <f ca="1">IF(tblRentRoll[[#This Row],[Status]]&lt;&gt;"Occupied","", IF(tblRentRoll[[#This Row],[Month_to_Expiry]]&lt;=3, "0-3 Monaten",  IF(tblRentRoll[[#This Row],[Month_to_Expiry]]&lt;=6, "3-6 Monaten", IF(tblRentRoll[[#This Row],[Month_to_Expiry]]&lt;=12,"6-12 Monaten", IF(tblRentRoll[[#This Row],[Month_to_Expiry]]&gt;=12, "12 M+",)))))</f>
        <v>12 M+</v>
      </c>
      <c r="W472">
        <f>IF(tblRentRoll[[#This Row],[Status]]="Vacant", tblRentRoll[[#This Row],[Area_sqm]],0)</f>
        <v>0</v>
      </c>
      <c r="X472" s="3">
        <f>IF(tblRentRoll[[#This Row],[Status]]="Occupied", tblRentRoll[[#This Row],[Area_sqm]],0)</f>
        <v>172</v>
      </c>
      <c r="Y472" s="3">
        <f ca="1">tblRentRoll[[#This Row],[Month_to_Expiry]]/12*tblRentRoll[[#This Row],[Annual_Rent_EUR]]</f>
        <v>40622.400000000001</v>
      </c>
      <c r="Z472" s="3"/>
    </row>
    <row r="473" spans="1:26" x14ac:dyDescent="0.35">
      <c r="A473" t="s">
        <v>17</v>
      </c>
      <c r="B473" t="s">
        <v>666</v>
      </c>
      <c r="C473" t="s">
        <v>14</v>
      </c>
      <c r="D473">
        <v>297</v>
      </c>
      <c r="E473" t="s">
        <v>15</v>
      </c>
      <c r="F473" t="s">
        <v>374</v>
      </c>
      <c r="G473">
        <v>4088.3</v>
      </c>
      <c r="H473">
        <v>49059.6</v>
      </c>
      <c r="I473" s="2">
        <f>tblRentRoll[[#This Row],[Monthly_Rent_EUR]]*12</f>
        <v>49059.600000000006</v>
      </c>
      <c r="J473" s="2" t="str">
        <f>IF(tblRentRoll[[#This Row],[Annual_Rent_EUR]]&lt;&gt;tblRentRoll[[#This Row],[Jahresrente_EUR]], "FALSCH", "")</f>
        <v/>
      </c>
      <c r="K473" s="1">
        <v>45234</v>
      </c>
      <c r="L473" s="1">
        <v>46586</v>
      </c>
      <c r="M473">
        <v>642.5</v>
      </c>
      <c r="N473">
        <v>149.47</v>
      </c>
      <c r="O47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3" t="str">
        <f>IF(tblRentRoll[[#This Row],[Area_sqm]]&lt;=0,"Area&lt;=0","")</f>
        <v/>
      </c>
      <c r="Q473" t="str">
        <f>IF(tblRentRoll[[#This Row],[Monthly_Rent_EUR]]&lt;=0,"Rent&lt;=0","")</f>
        <v/>
      </c>
      <c r="R473">
        <f>IF(AND(tblRentRoll[[#This Row],[Status]]="Occupied", tblRentRoll[[#This Row],[Area_sqm]]&gt;0), tblRentRoll[[#This Row],[Annual_Rent_EUR]]/tblRentRoll[[#This Row],[Area_sqm]],"")</f>
        <v>165.18383838383838</v>
      </c>
      <c r="S473">
        <f>tblRentRoll[[#This Row],[Service_Charge_EUR]]+tblRentRoll[[#This Row],[Operating_Cost_EUR]]</f>
        <v>791.97</v>
      </c>
      <c r="T473">
        <f>IF(tblRentRoll[[#This Row],[Annual_Rent_EUR]]&lt;&gt;0,tblRentRoll[[#This Row],[Annual_Rent_EUR]]-tblRentRoll[[#This Row],[Operating_Cost_EUR]], "")</f>
        <v>48910.13</v>
      </c>
      <c r="U473">
        <f ca="1">IF(AND(tblRentRoll[[#This Row],[Status]]="Occupied",tblRentRoll[[#This Row],[Lease_End]]&gt;=TODAY()),DATEDIF(TODAY(),tblRentRoll[[#This Row],[Lease_End]],"m"), 0)</f>
        <v>16</v>
      </c>
      <c r="V473" t="str">
        <f ca="1">IF(tblRentRoll[[#This Row],[Status]]&lt;&gt;"Occupied","", IF(tblRentRoll[[#This Row],[Month_to_Expiry]]&lt;=3, "0-3 Monaten",  IF(tblRentRoll[[#This Row],[Month_to_Expiry]]&lt;=6, "3-6 Monaten", IF(tblRentRoll[[#This Row],[Month_to_Expiry]]&lt;=12,"6-12 Monaten", IF(tblRentRoll[[#This Row],[Month_to_Expiry]]&gt;=12, "12 M+",)))))</f>
        <v>12 M+</v>
      </c>
      <c r="W473">
        <f>IF(tblRentRoll[[#This Row],[Status]]="Vacant", tblRentRoll[[#This Row],[Area_sqm]],0)</f>
        <v>0</v>
      </c>
      <c r="X473" s="3">
        <f>IF(tblRentRoll[[#This Row],[Status]]="Occupied", tblRentRoll[[#This Row],[Area_sqm]],0)</f>
        <v>297</v>
      </c>
      <c r="Y473" s="3">
        <f ca="1">tblRentRoll[[#This Row],[Month_to_Expiry]]/12*tblRentRoll[[#This Row],[Annual_Rent_EUR]]</f>
        <v>65412.799999999996</v>
      </c>
      <c r="Z473" s="3"/>
    </row>
    <row r="474" spans="1:26" x14ac:dyDescent="0.35">
      <c r="A474" t="s">
        <v>31</v>
      </c>
      <c r="B474" t="s">
        <v>667</v>
      </c>
      <c r="C474" t="s">
        <v>14</v>
      </c>
      <c r="D474">
        <v>497</v>
      </c>
      <c r="E474" t="s">
        <v>15</v>
      </c>
      <c r="F474" t="s">
        <v>95</v>
      </c>
      <c r="G474">
        <v>3632.07</v>
      </c>
      <c r="H474">
        <v>43584.84</v>
      </c>
      <c r="I474" s="2">
        <f>tblRentRoll[[#This Row],[Monthly_Rent_EUR]]*12</f>
        <v>43584.840000000004</v>
      </c>
      <c r="J474" s="2" t="str">
        <f>IF(tblRentRoll[[#This Row],[Annual_Rent_EUR]]&lt;&gt;tblRentRoll[[#This Row],[Jahresrente_EUR]], "FALSCH", "")</f>
        <v/>
      </c>
      <c r="K474" s="1">
        <v>44361</v>
      </c>
      <c r="L474" s="1">
        <v>45102</v>
      </c>
      <c r="M474">
        <v>1488.95</v>
      </c>
      <c r="N474">
        <v>1011.57</v>
      </c>
      <c r="O47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4" t="str">
        <f>IF(tblRentRoll[[#This Row],[Area_sqm]]&lt;=0,"Area&lt;=0","")</f>
        <v/>
      </c>
      <c r="Q474" t="str">
        <f>IF(tblRentRoll[[#This Row],[Monthly_Rent_EUR]]&lt;=0,"Rent&lt;=0","")</f>
        <v/>
      </c>
      <c r="R474">
        <f>IF(AND(tblRentRoll[[#This Row],[Status]]="Occupied", tblRentRoll[[#This Row],[Area_sqm]]&gt;0), tblRentRoll[[#This Row],[Annual_Rent_EUR]]/tblRentRoll[[#This Row],[Area_sqm]],"")</f>
        <v>87.695855130784707</v>
      </c>
      <c r="S474">
        <f>tblRentRoll[[#This Row],[Service_Charge_EUR]]+tblRentRoll[[#This Row],[Operating_Cost_EUR]]</f>
        <v>2500.52</v>
      </c>
      <c r="T474">
        <f>IF(tblRentRoll[[#This Row],[Annual_Rent_EUR]]&lt;&gt;0,tblRentRoll[[#This Row],[Annual_Rent_EUR]]-tblRentRoll[[#This Row],[Operating_Cost_EUR]], "")</f>
        <v>42573.27</v>
      </c>
      <c r="U474">
        <f ca="1">IF(AND(tblRentRoll[[#This Row],[Status]]="Occupied",tblRentRoll[[#This Row],[Lease_End]]&gt;=TODAY()),DATEDIF(TODAY(),tblRentRoll[[#This Row],[Lease_End]],"m"), 0)</f>
        <v>0</v>
      </c>
      <c r="V474" t="str">
        <f ca="1">IF(tblRentRoll[[#This Row],[Status]]&lt;&gt;"Occupied","", IF(tblRentRoll[[#This Row],[Month_to_Expiry]]&lt;=3, "0-3 Monaten",  IF(tblRentRoll[[#This Row],[Month_to_Expiry]]&lt;=6, "3-6 Monaten", IF(tblRentRoll[[#This Row],[Month_to_Expiry]]&lt;=12,"6-12 Monaten", IF(tblRentRoll[[#This Row],[Month_to_Expiry]]&gt;=12, "12 M+",)))))</f>
        <v>0-3 Monaten</v>
      </c>
      <c r="W474">
        <f>IF(tblRentRoll[[#This Row],[Status]]="Vacant", tblRentRoll[[#This Row],[Area_sqm]],0)</f>
        <v>0</v>
      </c>
      <c r="X474" s="3">
        <f>IF(tblRentRoll[[#This Row],[Status]]="Occupied", tblRentRoll[[#This Row],[Area_sqm]],0)</f>
        <v>497</v>
      </c>
      <c r="Y474" s="3">
        <f ca="1">tblRentRoll[[#This Row],[Month_to_Expiry]]/12*tblRentRoll[[#This Row],[Annual_Rent_EUR]]</f>
        <v>0</v>
      </c>
      <c r="Z474" s="3"/>
    </row>
    <row r="475" spans="1:26" x14ac:dyDescent="0.35">
      <c r="A475" t="s">
        <v>44</v>
      </c>
      <c r="B475" t="s">
        <v>668</v>
      </c>
      <c r="C475" t="s">
        <v>29</v>
      </c>
      <c r="D475">
        <v>1255</v>
      </c>
      <c r="E475" t="s">
        <v>20</v>
      </c>
      <c r="G475">
        <v>0</v>
      </c>
      <c r="H475">
        <v>0</v>
      </c>
      <c r="I475" s="2">
        <f>tblRentRoll[[#This Row],[Monthly_Rent_EUR]]*12</f>
        <v>0</v>
      </c>
      <c r="J475" s="2" t="str">
        <f>IF(tblRentRoll[[#This Row],[Annual_Rent_EUR]]&lt;&gt;tblRentRoll[[#This Row],[Jahresrente_EUR]], "FALSCH", "")</f>
        <v/>
      </c>
      <c r="M475">
        <v>2724.85</v>
      </c>
      <c r="N475">
        <v>992.82</v>
      </c>
      <c r="O47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5" t="str">
        <f>IF(tblRentRoll[[#This Row],[Area_sqm]]&lt;=0,"Area&lt;=0","")</f>
        <v/>
      </c>
      <c r="Q475" t="str">
        <f>IF(tblRentRoll[[#This Row],[Monthly_Rent_EUR]]&lt;=0,"Rent&lt;=0","")</f>
        <v>Rent&lt;=0</v>
      </c>
      <c r="R475" t="str">
        <f>IF(AND(tblRentRoll[[#This Row],[Status]]="Occupied", tblRentRoll[[#This Row],[Area_sqm]]&gt;0), tblRentRoll[[#This Row],[Annual_Rent_EUR]]/tblRentRoll[[#This Row],[Area_sqm]],"")</f>
        <v/>
      </c>
      <c r="S475">
        <f>tblRentRoll[[#This Row],[Service_Charge_EUR]]+tblRentRoll[[#This Row],[Operating_Cost_EUR]]</f>
        <v>3717.67</v>
      </c>
      <c r="T475" t="str">
        <f>IF(tblRentRoll[[#This Row],[Annual_Rent_EUR]]&lt;&gt;0,tblRentRoll[[#This Row],[Annual_Rent_EUR]]-tblRentRoll[[#This Row],[Operating_Cost_EUR]], "")</f>
        <v/>
      </c>
      <c r="U475">
        <f ca="1">IF(AND(tblRentRoll[[#This Row],[Status]]="Occupied",tblRentRoll[[#This Row],[Lease_End]]&gt;=TODAY()),DATEDIF(TODAY(),tblRentRoll[[#This Row],[Lease_End]],"m"), 0)</f>
        <v>0</v>
      </c>
      <c r="V475" t="str">
        <f>IF(tblRentRoll[[#This Row],[Status]]&lt;&gt;"Occupied","", IF(tblRentRoll[[#This Row],[Month_to_Expiry]]&lt;=3, "0-3 Monaten",  IF(tblRentRoll[[#This Row],[Month_to_Expiry]]&lt;=6, "3-6 Monaten", IF(tblRentRoll[[#This Row],[Month_to_Expiry]]&lt;=12,"6-12 Monaten", IF(tblRentRoll[[#This Row],[Month_to_Expiry]]&gt;=12, "12 M+",)))))</f>
        <v/>
      </c>
      <c r="W475">
        <f>IF(tblRentRoll[[#This Row],[Status]]="Vacant", tblRentRoll[[#This Row],[Area_sqm]],0)</f>
        <v>1255</v>
      </c>
      <c r="X475" s="3">
        <f>IF(tblRentRoll[[#This Row],[Status]]="Occupied", tblRentRoll[[#This Row],[Area_sqm]],0)</f>
        <v>0</v>
      </c>
      <c r="Y475" s="3">
        <f ca="1">tblRentRoll[[#This Row],[Month_to_Expiry]]/12*tblRentRoll[[#This Row],[Annual_Rent_EUR]]</f>
        <v>0</v>
      </c>
      <c r="Z475" s="3"/>
    </row>
    <row r="476" spans="1:26" x14ac:dyDescent="0.35">
      <c r="A476" t="s">
        <v>31</v>
      </c>
      <c r="B476" t="s">
        <v>669</v>
      </c>
      <c r="C476" t="s">
        <v>29</v>
      </c>
      <c r="D476">
        <v>1344</v>
      </c>
      <c r="E476" t="s">
        <v>15</v>
      </c>
      <c r="F476" t="s">
        <v>670</v>
      </c>
      <c r="G476">
        <v>20003.39</v>
      </c>
      <c r="H476">
        <v>240040.68</v>
      </c>
      <c r="I476" s="2">
        <f>tblRentRoll[[#This Row],[Monthly_Rent_EUR]]*12</f>
        <v>240040.68</v>
      </c>
      <c r="J476" s="2" t="str">
        <f>IF(tblRentRoll[[#This Row],[Annual_Rent_EUR]]&lt;&gt;tblRentRoll[[#This Row],[Jahresrente_EUR]], "FALSCH", "")</f>
        <v/>
      </c>
      <c r="K476" s="1">
        <v>44723</v>
      </c>
      <c r="L476" s="1">
        <v>45941</v>
      </c>
      <c r="M476">
        <v>2783.92</v>
      </c>
      <c r="N476">
        <v>1713.63</v>
      </c>
      <c r="O47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6" t="str">
        <f>IF(tblRentRoll[[#This Row],[Area_sqm]]&lt;=0,"Area&lt;=0","")</f>
        <v/>
      </c>
      <c r="Q476" t="str">
        <f>IF(tblRentRoll[[#This Row],[Monthly_Rent_EUR]]&lt;=0,"Rent&lt;=0","")</f>
        <v/>
      </c>
      <c r="R476">
        <f>IF(AND(tblRentRoll[[#This Row],[Status]]="Occupied", tblRentRoll[[#This Row],[Area_sqm]]&gt;0), tblRentRoll[[#This Row],[Annual_Rent_EUR]]/tblRentRoll[[#This Row],[Area_sqm]],"")</f>
        <v>178.60169642857142</v>
      </c>
      <c r="S476">
        <f>tblRentRoll[[#This Row],[Service_Charge_EUR]]+tblRentRoll[[#This Row],[Operating_Cost_EUR]]</f>
        <v>4497.55</v>
      </c>
      <c r="T476">
        <f>IF(tblRentRoll[[#This Row],[Annual_Rent_EUR]]&lt;&gt;0,tblRentRoll[[#This Row],[Annual_Rent_EUR]]-tblRentRoll[[#This Row],[Operating_Cost_EUR]], "")</f>
        <v>238327.05</v>
      </c>
      <c r="U476">
        <f ca="1">IF(AND(tblRentRoll[[#This Row],[Status]]="Occupied",tblRentRoll[[#This Row],[Lease_End]]&gt;=TODAY()),DATEDIF(TODAY(),tblRentRoll[[#This Row],[Lease_End]],"m"), 0)</f>
        <v>0</v>
      </c>
      <c r="V476" t="str">
        <f ca="1">IF(tblRentRoll[[#This Row],[Status]]&lt;&gt;"Occupied","", IF(tblRentRoll[[#This Row],[Month_to_Expiry]]&lt;=3, "0-3 Monaten",  IF(tblRentRoll[[#This Row],[Month_to_Expiry]]&lt;=6, "3-6 Monaten", IF(tblRentRoll[[#This Row],[Month_to_Expiry]]&lt;=12,"6-12 Monaten", IF(tblRentRoll[[#This Row],[Month_to_Expiry]]&gt;=12, "12 M+",)))))</f>
        <v>0-3 Monaten</v>
      </c>
      <c r="W476">
        <f>IF(tblRentRoll[[#This Row],[Status]]="Vacant", tblRentRoll[[#This Row],[Area_sqm]],0)</f>
        <v>0</v>
      </c>
      <c r="X476" s="3">
        <f>IF(tblRentRoll[[#This Row],[Status]]="Occupied", tblRentRoll[[#This Row],[Area_sqm]],0)</f>
        <v>1344</v>
      </c>
      <c r="Y476" s="3">
        <f ca="1">tblRentRoll[[#This Row],[Month_to_Expiry]]/12*tblRentRoll[[#This Row],[Annual_Rent_EUR]]</f>
        <v>0</v>
      </c>
      <c r="Z476" s="3"/>
    </row>
    <row r="477" spans="1:26" x14ac:dyDescent="0.35">
      <c r="A477" t="s">
        <v>44</v>
      </c>
      <c r="B477" t="s">
        <v>671</v>
      </c>
      <c r="C477" t="s">
        <v>19</v>
      </c>
      <c r="D477">
        <v>1069</v>
      </c>
      <c r="E477" t="s">
        <v>15</v>
      </c>
      <c r="F477" t="s">
        <v>282</v>
      </c>
      <c r="G477">
        <v>11668.17</v>
      </c>
      <c r="H477">
        <v>140018.04</v>
      </c>
      <c r="I477" s="2">
        <f>tblRentRoll[[#This Row],[Monthly_Rent_EUR]]*12</f>
        <v>140018.04</v>
      </c>
      <c r="J477" s="2" t="str">
        <f>IF(tblRentRoll[[#This Row],[Annual_Rent_EUR]]&lt;&gt;tblRentRoll[[#This Row],[Jahresrente_EUR]], "FALSCH", "")</f>
        <v/>
      </c>
      <c r="K477" s="1">
        <v>44489</v>
      </c>
      <c r="L477" s="1">
        <v>45129</v>
      </c>
      <c r="M477">
        <v>2099.33</v>
      </c>
      <c r="N477">
        <v>1298.1099999999999</v>
      </c>
      <c r="O47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7" t="str">
        <f>IF(tblRentRoll[[#This Row],[Area_sqm]]&lt;=0,"Area&lt;=0","")</f>
        <v/>
      </c>
      <c r="Q477" t="str">
        <f>IF(tblRentRoll[[#This Row],[Monthly_Rent_EUR]]&lt;=0,"Rent&lt;=0","")</f>
        <v/>
      </c>
      <c r="R477">
        <f>IF(AND(tblRentRoll[[#This Row],[Status]]="Occupied", tblRentRoll[[#This Row],[Area_sqm]]&gt;0), tblRentRoll[[#This Row],[Annual_Rent_EUR]]/tblRentRoll[[#This Row],[Area_sqm]],"")</f>
        <v>130.98039289055191</v>
      </c>
      <c r="S477">
        <f>tblRentRoll[[#This Row],[Service_Charge_EUR]]+tblRentRoll[[#This Row],[Operating_Cost_EUR]]</f>
        <v>3397.4399999999996</v>
      </c>
      <c r="T477">
        <f>IF(tblRentRoll[[#This Row],[Annual_Rent_EUR]]&lt;&gt;0,tblRentRoll[[#This Row],[Annual_Rent_EUR]]-tblRentRoll[[#This Row],[Operating_Cost_EUR]], "")</f>
        <v>138719.93000000002</v>
      </c>
      <c r="U477">
        <f ca="1">IF(AND(tblRentRoll[[#This Row],[Status]]="Occupied",tblRentRoll[[#This Row],[Lease_End]]&gt;=TODAY()),DATEDIF(TODAY(),tblRentRoll[[#This Row],[Lease_End]],"m"), 0)</f>
        <v>0</v>
      </c>
      <c r="V477" t="str">
        <f ca="1">IF(tblRentRoll[[#This Row],[Status]]&lt;&gt;"Occupied","", IF(tblRentRoll[[#This Row],[Month_to_Expiry]]&lt;=3, "0-3 Monaten",  IF(tblRentRoll[[#This Row],[Month_to_Expiry]]&lt;=6, "3-6 Monaten", IF(tblRentRoll[[#This Row],[Month_to_Expiry]]&lt;=12,"6-12 Monaten", IF(tblRentRoll[[#This Row],[Month_to_Expiry]]&gt;=12, "12 M+",)))))</f>
        <v>0-3 Monaten</v>
      </c>
      <c r="W477">
        <f>IF(tblRentRoll[[#This Row],[Status]]="Vacant", tblRentRoll[[#This Row],[Area_sqm]],0)</f>
        <v>0</v>
      </c>
      <c r="X477" s="3">
        <f>IF(tblRentRoll[[#This Row],[Status]]="Occupied", tblRentRoll[[#This Row],[Area_sqm]],0)</f>
        <v>1069</v>
      </c>
      <c r="Y477" s="3">
        <f ca="1">tblRentRoll[[#This Row],[Month_to_Expiry]]/12*tblRentRoll[[#This Row],[Annual_Rent_EUR]]</f>
        <v>0</v>
      </c>
      <c r="Z477" s="3"/>
    </row>
    <row r="478" spans="1:26" x14ac:dyDescent="0.35">
      <c r="A478" t="s">
        <v>12</v>
      </c>
      <c r="B478" t="s">
        <v>672</v>
      </c>
      <c r="C478" t="s">
        <v>29</v>
      </c>
      <c r="D478">
        <v>72</v>
      </c>
      <c r="E478" t="s">
        <v>15</v>
      </c>
      <c r="F478" t="s">
        <v>237</v>
      </c>
      <c r="G478">
        <v>1057.75</v>
      </c>
      <c r="H478">
        <v>12693</v>
      </c>
      <c r="I478" s="2">
        <f>tblRentRoll[[#This Row],[Monthly_Rent_EUR]]*12</f>
        <v>12693</v>
      </c>
      <c r="J478" s="2" t="str">
        <f>IF(tblRentRoll[[#This Row],[Annual_Rent_EUR]]&lt;&gt;tblRentRoll[[#This Row],[Jahresrente_EUR]], "FALSCH", "")</f>
        <v/>
      </c>
      <c r="K478" s="1">
        <v>44413</v>
      </c>
      <c r="L478" s="1">
        <v>44604</v>
      </c>
      <c r="M478">
        <v>85.4</v>
      </c>
      <c r="N478">
        <v>108.58</v>
      </c>
      <c r="O47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8" t="str">
        <f>IF(tblRentRoll[[#This Row],[Area_sqm]]&lt;=0,"Area&lt;=0","")</f>
        <v/>
      </c>
      <c r="Q478" t="str">
        <f>IF(tblRentRoll[[#This Row],[Monthly_Rent_EUR]]&lt;=0,"Rent&lt;=0","")</f>
        <v/>
      </c>
      <c r="R478">
        <f>IF(AND(tblRentRoll[[#This Row],[Status]]="Occupied", tblRentRoll[[#This Row],[Area_sqm]]&gt;0), tblRentRoll[[#This Row],[Annual_Rent_EUR]]/tblRentRoll[[#This Row],[Area_sqm]],"")</f>
        <v>176.29166666666666</v>
      </c>
      <c r="S478">
        <f>tblRentRoll[[#This Row],[Service_Charge_EUR]]+tblRentRoll[[#This Row],[Operating_Cost_EUR]]</f>
        <v>193.98000000000002</v>
      </c>
      <c r="T478">
        <f>IF(tblRentRoll[[#This Row],[Annual_Rent_EUR]]&lt;&gt;0,tblRentRoll[[#This Row],[Annual_Rent_EUR]]-tblRentRoll[[#This Row],[Operating_Cost_EUR]], "")</f>
        <v>12584.42</v>
      </c>
      <c r="U478">
        <f ca="1">IF(AND(tblRentRoll[[#This Row],[Status]]="Occupied",tblRentRoll[[#This Row],[Lease_End]]&gt;=TODAY()),DATEDIF(TODAY(),tblRentRoll[[#This Row],[Lease_End]],"m"), 0)</f>
        <v>0</v>
      </c>
      <c r="V478" t="str">
        <f ca="1">IF(tblRentRoll[[#This Row],[Status]]&lt;&gt;"Occupied","", IF(tblRentRoll[[#This Row],[Month_to_Expiry]]&lt;=3, "0-3 Monaten",  IF(tblRentRoll[[#This Row],[Month_to_Expiry]]&lt;=6, "3-6 Monaten", IF(tblRentRoll[[#This Row],[Month_to_Expiry]]&lt;=12,"6-12 Monaten", IF(tblRentRoll[[#This Row],[Month_to_Expiry]]&gt;=12, "12 M+",)))))</f>
        <v>0-3 Monaten</v>
      </c>
      <c r="W478">
        <f>IF(tblRentRoll[[#This Row],[Status]]="Vacant", tblRentRoll[[#This Row],[Area_sqm]],0)</f>
        <v>0</v>
      </c>
      <c r="X478" s="3">
        <f>IF(tblRentRoll[[#This Row],[Status]]="Occupied", tblRentRoll[[#This Row],[Area_sqm]],0)</f>
        <v>72</v>
      </c>
      <c r="Y478" s="3">
        <f ca="1">tblRentRoll[[#This Row],[Month_to_Expiry]]/12*tblRentRoll[[#This Row],[Annual_Rent_EUR]]</f>
        <v>0</v>
      </c>
      <c r="Z478" s="3"/>
    </row>
    <row r="479" spans="1:26" x14ac:dyDescent="0.35">
      <c r="A479" t="s">
        <v>56</v>
      </c>
      <c r="B479" t="s">
        <v>673</v>
      </c>
      <c r="C479" t="s">
        <v>29</v>
      </c>
      <c r="D479">
        <v>165</v>
      </c>
      <c r="E479" t="s">
        <v>15</v>
      </c>
      <c r="F479" t="s">
        <v>587</v>
      </c>
      <c r="G479">
        <v>1329.9</v>
      </c>
      <c r="H479">
        <v>15958.8</v>
      </c>
      <c r="I479" s="2">
        <f>tblRentRoll[[#This Row],[Monthly_Rent_EUR]]*12</f>
        <v>15958.800000000001</v>
      </c>
      <c r="J479" s="2" t="str">
        <f>IF(tblRentRoll[[#This Row],[Annual_Rent_EUR]]&lt;&gt;tblRentRoll[[#This Row],[Jahresrente_EUR]], "FALSCH", "")</f>
        <v/>
      </c>
      <c r="K479" s="1">
        <v>45162</v>
      </c>
      <c r="L479" s="1">
        <v>46338</v>
      </c>
      <c r="M479">
        <v>238.18</v>
      </c>
      <c r="N479">
        <v>348.31</v>
      </c>
      <c r="O47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79" t="str">
        <f>IF(tblRentRoll[[#This Row],[Area_sqm]]&lt;=0,"Area&lt;=0","")</f>
        <v/>
      </c>
      <c r="Q479" t="str">
        <f>IF(tblRentRoll[[#This Row],[Monthly_Rent_EUR]]&lt;=0,"Rent&lt;=0","")</f>
        <v/>
      </c>
      <c r="R479">
        <f>IF(AND(tblRentRoll[[#This Row],[Status]]="Occupied", tblRentRoll[[#This Row],[Area_sqm]]&gt;0), tblRentRoll[[#This Row],[Annual_Rent_EUR]]/tblRentRoll[[#This Row],[Area_sqm]],"")</f>
        <v>96.72</v>
      </c>
      <c r="S479">
        <f>tblRentRoll[[#This Row],[Service_Charge_EUR]]+tblRentRoll[[#This Row],[Operating_Cost_EUR]]</f>
        <v>586.49</v>
      </c>
      <c r="T479">
        <f>IF(tblRentRoll[[#This Row],[Annual_Rent_EUR]]&lt;&gt;0,tblRentRoll[[#This Row],[Annual_Rent_EUR]]-tblRentRoll[[#This Row],[Operating_Cost_EUR]], "")</f>
        <v>15610.49</v>
      </c>
      <c r="U479">
        <f ca="1">IF(AND(tblRentRoll[[#This Row],[Status]]="Occupied",tblRentRoll[[#This Row],[Lease_End]]&gt;=TODAY()),DATEDIF(TODAY(),tblRentRoll[[#This Row],[Lease_End]],"m"), 0)</f>
        <v>8</v>
      </c>
      <c r="V479" t="str">
        <f ca="1">IF(tblRentRoll[[#This Row],[Status]]&lt;&gt;"Occupied","", IF(tblRentRoll[[#This Row],[Month_to_Expiry]]&lt;=3, "0-3 Monaten",  IF(tblRentRoll[[#This Row],[Month_to_Expiry]]&lt;=6, "3-6 Monaten", IF(tblRentRoll[[#This Row],[Month_to_Expiry]]&lt;=12,"6-12 Monaten", IF(tblRentRoll[[#This Row],[Month_to_Expiry]]&gt;=12, "12 M+",)))))</f>
        <v>6-12 Monaten</v>
      </c>
      <c r="W479">
        <f>IF(tblRentRoll[[#This Row],[Status]]="Vacant", tblRentRoll[[#This Row],[Area_sqm]],0)</f>
        <v>0</v>
      </c>
      <c r="X479" s="3">
        <f>IF(tblRentRoll[[#This Row],[Status]]="Occupied", tblRentRoll[[#This Row],[Area_sqm]],0)</f>
        <v>165</v>
      </c>
      <c r="Y479" s="3">
        <f ca="1">tblRentRoll[[#This Row],[Month_to_Expiry]]/12*tblRentRoll[[#This Row],[Annual_Rent_EUR]]</f>
        <v>10639.199999999999</v>
      </c>
      <c r="Z479" s="3"/>
    </row>
    <row r="480" spans="1:26" x14ac:dyDescent="0.35">
      <c r="A480" t="s">
        <v>21</v>
      </c>
      <c r="B480" t="s">
        <v>674</v>
      </c>
      <c r="C480" t="s">
        <v>19</v>
      </c>
      <c r="D480">
        <v>116</v>
      </c>
      <c r="E480" t="s">
        <v>15</v>
      </c>
      <c r="F480" t="s">
        <v>169</v>
      </c>
      <c r="G480">
        <v>1421.8</v>
      </c>
      <c r="H480">
        <v>17061.599999999999</v>
      </c>
      <c r="I480" s="2">
        <f>tblRentRoll[[#This Row],[Monthly_Rent_EUR]]*12</f>
        <v>17061.599999999999</v>
      </c>
      <c r="J480" s="2" t="str">
        <f>IF(tblRentRoll[[#This Row],[Annual_Rent_EUR]]&lt;&gt;tblRentRoll[[#This Row],[Jahresrente_EUR]], "FALSCH", "")</f>
        <v/>
      </c>
      <c r="K480" s="1">
        <v>44539</v>
      </c>
      <c r="L480" s="1">
        <v>45127</v>
      </c>
      <c r="M480">
        <v>207.49</v>
      </c>
      <c r="N480">
        <v>95.39</v>
      </c>
      <c r="O48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0" t="str">
        <f>IF(tblRentRoll[[#This Row],[Area_sqm]]&lt;=0,"Area&lt;=0","")</f>
        <v/>
      </c>
      <c r="Q480" t="str">
        <f>IF(tblRentRoll[[#This Row],[Monthly_Rent_EUR]]&lt;=0,"Rent&lt;=0","")</f>
        <v/>
      </c>
      <c r="R480">
        <f>IF(AND(tblRentRoll[[#This Row],[Status]]="Occupied", tblRentRoll[[#This Row],[Area_sqm]]&gt;0), tblRentRoll[[#This Row],[Annual_Rent_EUR]]/tblRentRoll[[#This Row],[Area_sqm]],"")</f>
        <v>147.08275862068965</v>
      </c>
      <c r="S480">
        <f>tblRentRoll[[#This Row],[Service_Charge_EUR]]+tblRentRoll[[#This Row],[Operating_Cost_EUR]]</f>
        <v>302.88</v>
      </c>
      <c r="T480">
        <f>IF(tblRentRoll[[#This Row],[Annual_Rent_EUR]]&lt;&gt;0,tblRentRoll[[#This Row],[Annual_Rent_EUR]]-tblRentRoll[[#This Row],[Operating_Cost_EUR]], "")</f>
        <v>16966.21</v>
      </c>
      <c r="U480">
        <f ca="1">IF(AND(tblRentRoll[[#This Row],[Status]]="Occupied",tblRentRoll[[#This Row],[Lease_End]]&gt;=TODAY()),DATEDIF(TODAY(),tblRentRoll[[#This Row],[Lease_End]],"m"), 0)</f>
        <v>0</v>
      </c>
      <c r="V480" t="str">
        <f ca="1">IF(tblRentRoll[[#This Row],[Status]]&lt;&gt;"Occupied","", IF(tblRentRoll[[#This Row],[Month_to_Expiry]]&lt;=3, "0-3 Monaten",  IF(tblRentRoll[[#This Row],[Month_to_Expiry]]&lt;=6, "3-6 Monaten", IF(tblRentRoll[[#This Row],[Month_to_Expiry]]&lt;=12,"6-12 Monaten", IF(tblRentRoll[[#This Row],[Month_to_Expiry]]&gt;=12, "12 M+",)))))</f>
        <v>0-3 Monaten</v>
      </c>
      <c r="W480">
        <f>IF(tblRentRoll[[#This Row],[Status]]="Vacant", tblRentRoll[[#This Row],[Area_sqm]],0)</f>
        <v>0</v>
      </c>
      <c r="X480" s="3">
        <f>IF(tblRentRoll[[#This Row],[Status]]="Occupied", tblRentRoll[[#This Row],[Area_sqm]],0)</f>
        <v>116</v>
      </c>
      <c r="Y480" s="3">
        <f ca="1">tblRentRoll[[#This Row],[Month_to_Expiry]]/12*tblRentRoll[[#This Row],[Annual_Rent_EUR]]</f>
        <v>0</v>
      </c>
      <c r="Z480" s="3"/>
    </row>
    <row r="481" spans="1:26" x14ac:dyDescent="0.35">
      <c r="A481" t="s">
        <v>31</v>
      </c>
      <c r="B481" t="s">
        <v>675</v>
      </c>
      <c r="C481" t="s">
        <v>19</v>
      </c>
      <c r="D481">
        <v>1190</v>
      </c>
      <c r="E481" t="s">
        <v>15</v>
      </c>
      <c r="F481" t="s">
        <v>39</v>
      </c>
      <c r="G481">
        <v>16230.87</v>
      </c>
      <c r="H481">
        <v>194770.44</v>
      </c>
      <c r="I481" s="2">
        <f>tblRentRoll[[#This Row],[Monthly_Rent_EUR]]*12</f>
        <v>194770.44</v>
      </c>
      <c r="J481" s="2" t="str">
        <f>IF(tblRentRoll[[#This Row],[Annual_Rent_EUR]]&lt;&gt;tblRentRoll[[#This Row],[Jahresrente_EUR]], "FALSCH", "")</f>
        <v/>
      </c>
      <c r="K481" s="1">
        <v>44353</v>
      </c>
      <c r="L481" s="1">
        <v>45318</v>
      </c>
      <c r="M481">
        <v>2592.08</v>
      </c>
      <c r="N481">
        <v>2423.77</v>
      </c>
      <c r="O48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1" t="str">
        <f>IF(tblRentRoll[[#This Row],[Area_sqm]]&lt;=0,"Area&lt;=0","")</f>
        <v/>
      </c>
      <c r="Q481" t="str">
        <f>IF(tblRentRoll[[#This Row],[Monthly_Rent_EUR]]&lt;=0,"Rent&lt;=0","")</f>
        <v/>
      </c>
      <c r="R481">
        <f>IF(AND(tblRentRoll[[#This Row],[Status]]="Occupied", tblRentRoll[[#This Row],[Area_sqm]]&gt;0), tblRentRoll[[#This Row],[Annual_Rent_EUR]]/tblRentRoll[[#This Row],[Area_sqm]],"")</f>
        <v>163.67263865546218</v>
      </c>
      <c r="S481">
        <f>tblRentRoll[[#This Row],[Service_Charge_EUR]]+tblRentRoll[[#This Row],[Operating_Cost_EUR]]</f>
        <v>5015.8500000000004</v>
      </c>
      <c r="T481">
        <f>IF(tblRentRoll[[#This Row],[Annual_Rent_EUR]]&lt;&gt;0,tblRentRoll[[#This Row],[Annual_Rent_EUR]]-tblRentRoll[[#This Row],[Operating_Cost_EUR]], "")</f>
        <v>192346.67</v>
      </c>
      <c r="U481">
        <f ca="1">IF(AND(tblRentRoll[[#This Row],[Status]]="Occupied",tblRentRoll[[#This Row],[Lease_End]]&gt;=TODAY()),DATEDIF(TODAY(),tblRentRoll[[#This Row],[Lease_End]],"m"), 0)</f>
        <v>0</v>
      </c>
      <c r="V481" t="str">
        <f ca="1">IF(tblRentRoll[[#This Row],[Status]]&lt;&gt;"Occupied","", IF(tblRentRoll[[#This Row],[Month_to_Expiry]]&lt;=3, "0-3 Monaten",  IF(tblRentRoll[[#This Row],[Month_to_Expiry]]&lt;=6, "3-6 Monaten", IF(tblRentRoll[[#This Row],[Month_to_Expiry]]&lt;=12,"6-12 Monaten", IF(tblRentRoll[[#This Row],[Month_to_Expiry]]&gt;=12, "12 M+",)))))</f>
        <v>0-3 Monaten</v>
      </c>
      <c r="W481">
        <f>IF(tblRentRoll[[#This Row],[Status]]="Vacant", tblRentRoll[[#This Row],[Area_sqm]],0)</f>
        <v>0</v>
      </c>
      <c r="X481" s="3">
        <f>IF(tblRentRoll[[#This Row],[Status]]="Occupied", tblRentRoll[[#This Row],[Area_sqm]],0)</f>
        <v>1190</v>
      </c>
      <c r="Y481" s="3">
        <f ca="1">tblRentRoll[[#This Row],[Month_to_Expiry]]/12*tblRentRoll[[#This Row],[Annual_Rent_EUR]]</f>
        <v>0</v>
      </c>
      <c r="Z481" s="3"/>
    </row>
    <row r="482" spans="1:26" x14ac:dyDescent="0.35">
      <c r="A482" t="s">
        <v>56</v>
      </c>
      <c r="B482" t="s">
        <v>676</v>
      </c>
      <c r="C482" t="s">
        <v>29</v>
      </c>
      <c r="D482">
        <v>1380</v>
      </c>
      <c r="E482" t="s">
        <v>15</v>
      </c>
      <c r="F482" t="s">
        <v>677</v>
      </c>
      <c r="G482">
        <v>17122.650000000001</v>
      </c>
      <c r="H482">
        <v>205471.8</v>
      </c>
      <c r="I482" s="2">
        <f>tblRentRoll[[#This Row],[Monthly_Rent_EUR]]*12</f>
        <v>205471.80000000002</v>
      </c>
      <c r="J482" s="2" t="str">
        <f>IF(tblRentRoll[[#This Row],[Annual_Rent_EUR]]&lt;&gt;tblRentRoll[[#This Row],[Jahresrente_EUR]], "FALSCH", "")</f>
        <v/>
      </c>
      <c r="K482" s="1">
        <v>44932</v>
      </c>
      <c r="L482" s="1">
        <v>45767</v>
      </c>
      <c r="M482">
        <v>2813.83</v>
      </c>
      <c r="N482">
        <v>713.47</v>
      </c>
      <c r="O48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2" t="str">
        <f>IF(tblRentRoll[[#This Row],[Area_sqm]]&lt;=0,"Area&lt;=0","")</f>
        <v/>
      </c>
      <c r="Q482" t="str">
        <f>IF(tblRentRoll[[#This Row],[Monthly_Rent_EUR]]&lt;=0,"Rent&lt;=0","")</f>
        <v/>
      </c>
      <c r="R482">
        <f>IF(AND(tblRentRoll[[#This Row],[Status]]="Occupied", tblRentRoll[[#This Row],[Area_sqm]]&gt;0), tblRentRoll[[#This Row],[Annual_Rent_EUR]]/tblRentRoll[[#This Row],[Area_sqm]],"")</f>
        <v>148.89260869565217</v>
      </c>
      <c r="S482">
        <f>tblRentRoll[[#This Row],[Service_Charge_EUR]]+tblRentRoll[[#This Row],[Operating_Cost_EUR]]</f>
        <v>3527.3</v>
      </c>
      <c r="T482">
        <f>IF(tblRentRoll[[#This Row],[Annual_Rent_EUR]]&lt;&gt;0,tblRentRoll[[#This Row],[Annual_Rent_EUR]]-tblRentRoll[[#This Row],[Operating_Cost_EUR]], "")</f>
        <v>204758.33</v>
      </c>
      <c r="U482">
        <f ca="1">IF(AND(tblRentRoll[[#This Row],[Status]]="Occupied",tblRentRoll[[#This Row],[Lease_End]]&gt;=TODAY()),DATEDIF(TODAY(),tblRentRoll[[#This Row],[Lease_End]],"m"), 0)</f>
        <v>0</v>
      </c>
      <c r="V482" t="str">
        <f ca="1">IF(tblRentRoll[[#This Row],[Status]]&lt;&gt;"Occupied","", IF(tblRentRoll[[#This Row],[Month_to_Expiry]]&lt;=3, "0-3 Monaten",  IF(tblRentRoll[[#This Row],[Month_to_Expiry]]&lt;=6, "3-6 Monaten", IF(tblRentRoll[[#This Row],[Month_to_Expiry]]&lt;=12,"6-12 Monaten", IF(tblRentRoll[[#This Row],[Month_to_Expiry]]&gt;=12, "12 M+",)))))</f>
        <v>0-3 Monaten</v>
      </c>
      <c r="W482">
        <f>IF(tblRentRoll[[#This Row],[Status]]="Vacant", tblRentRoll[[#This Row],[Area_sqm]],0)</f>
        <v>0</v>
      </c>
      <c r="X482" s="3">
        <f>IF(tblRentRoll[[#This Row],[Status]]="Occupied", tblRentRoll[[#This Row],[Area_sqm]],0)</f>
        <v>1380</v>
      </c>
      <c r="Y482" s="3">
        <f ca="1">tblRentRoll[[#This Row],[Month_to_Expiry]]/12*tblRentRoll[[#This Row],[Annual_Rent_EUR]]</f>
        <v>0</v>
      </c>
      <c r="Z482" s="3"/>
    </row>
    <row r="483" spans="1:26" x14ac:dyDescent="0.35">
      <c r="A483" t="s">
        <v>12</v>
      </c>
      <c r="B483" t="s">
        <v>678</v>
      </c>
      <c r="C483" t="s">
        <v>33</v>
      </c>
      <c r="D483">
        <v>1456</v>
      </c>
      <c r="E483" t="s">
        <v>15</v>
      </c>
      <c r="F483" t="s">
        <v>64</v>
      </c>
      <c r="G483">
        <v>25817.25</v>
      </c>
      <c r="H483">
        <v>309807</v>
      </c>
      <c r="I483" s="2">
        <f>tblRentRoll[[#This Row],[Monthly_Rent_EUR]]*12</f>
        <v>309807</v>
      </c>
      <c r="J483" s="2" t="str">
        <f>IF(tblRentRoll[[#This Row],[Annual_Rent_EUR]]&lt;&gt;tblRentRoll[[#This Row],[Jahresrente_EUR]], "FALSCH", "")</f>
        <v/>
      </c>
      <c r="K483" s="1">
        <v>44451</v>
      </c>
      <c r="L483" s="1">
        <v>44854</v>
      </c>
      <c r="M483">
        <v>4096.12</v>
      </c>
      <c r="N483">
        <v>1894.96</v>
      </c>
      <c r="O48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3" t="str">
        <f>IF(tblRentRoll[[#This Row],[Area_sqm]]&lt;=0,"Area&lt;=0","")</f>
        <v/>
      </c>
      <c r="Q483" t="str">
        <f>IF(tblRentRoll[[#This Row],[Monthly_Rent_EUR]]&lt;=0,"Rent&lt;=0","")</f>
        <v/>
      </c>
      <c r="R483">
        <f>IF(AND(tblRentRoll[[#This Row],[Status]]="Occupied", tblRentRoll[[#This Row],[Area_sqm]]&gt;0), tblRentRoll[[#This Row],[Annual_Rent_EUR]]/tblRentRoll[[#This Row],[Area_sqm]],"")</f>
        <v>212.77953296703296</v>
      </c>
      <c r="S483">
        <f>tblRentRoll[[#This Row],[Service_Charge_EUR]]+tblRentRoll[[#This Row],[Operating_Cost_EUR]]</f>
        <v>5991.08</v>
      </c>
      <c r="T483">
        <f>IF(tblRentRoll[[#This Row],[Annual_Rent_EUR]]&lt;&gt;0,tblRentRoll[[#This Row],[Annual_Rent_EUR]]-tblRentRoll[[#This Row],[Operating_Cost_EUR]], "")</f>
        <v>307912.03999999998</v>
      </c>
      <c r="U483">
        <f ca="1">IF(AND(tblRentRoll[[#This Row],[Status]]="Occupied",tblRentRoll[[#This Row],[Lease_End]]&gt;=TODAY()),DATEDIF(TODAY(),tblRentRoll[[#This Row],[Lease_End]],"m"), 0)</f>
        <v>0</v>
      </c>
      <c r="V483" t="str">
        <f ca="1">IF(tblRentRoll[[#This Row],[Status]]&lt;&gt;"Occupied","", IF(tblRentRoll[[#This Row],[Month_to_Expiry]]&lt;=3, "0-3 Monaten",  IF(tblRentRoll[[#This Row],[Month_to_Expiry]]&lt;=6, "3-6 Monaten", IF(tblRentRoll[[#This Row],[Month_to_Expiry]]&lt;=12,"6-12 Monaten", IF(tblRentRoll[[#This Row],[Month_to_Expiry]]&gt;=12, "12 M+",)))))</f>
        <v>0-3 Monaten</v>
      </c>
      <c r="W483">
        <f>IF(tblRentRoll[[#This Row],[Status]]="Vacant", tblRentRoll[[#This Row],[Area_sqm]],0)</f>
        <v>0</v>
      </c>
      <c r="X483" s="3">
        <f>IF(tblRentRoll[[#This Row],[Status]]="Occupied", tblRentRoll[[#This Row],[Area_sqm]],0)</f>
        <v>1456</v>
      </c>
      <c r="Y483" s="3">
        <f ca="1">tblRentRoll[[#This Row],[Month_to_Expiry]]/12*tblRentRoll[[#This Row],[Annual_Rent_EUR]]</f>
        <v>0</v>
      </c>
      <c r="Z483" s="3"/>
    </row>
    <row r="484" spans="1:26" x14ac:dyDescent="0.35">
      <c r="A484" t="s">
        <v>56</v>
      </c>
      <c r="B484" t="s">
        <v>679</v>
      </c>
      <c r="C484" t="s">
        <v>19</v>
      </c>
      <c r="D484">
        <v>1260</v>
      </c>
      <c r="E484" t="s">
        <v>15</v>
      </c>
      <c r="F484" t="s">
        <v>394</v>
      </c>
      <c r="G484">
        <v>15694.45</v>
      </c>
      <c r="H484">
        <v>188333.4</v>
      </c>
      <c r="I484" s="2">
        <f>tblRentRoll[[#This Row],[Monthly_Rent_EUR]]*12</f>
        <v>188333.40000000002</v>
      </c>
      <c r="J484" s="2" t="str">
        <f>IF(tblRentRoll[[#This Row],[Annual_Rent_EUR]]&lt;&gt;tblRentRoll[[#This Row],[Jahresrente_EUR]], "FALSCH", "")</f>
        <v/>
      </c>
      <c r="K484" s="1">
        <v>44363</v>
      </c>
      <c r="L484" s="1">
        <v>44941</v>
      </c>
      <c r="M484">
        <v>2649.87</v>
      </c>
      <c r="N484">
        <v>1537.39</v>
      </c>
      <c r="O48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4" t="str">
        <f>IF(tblRentRoll[[#This Row],[Area_sqm]]&lt;=0,"Area&lt;=0","")</f>
        <v/>
      </c>
      <c r="Q484" t="str">
        <f>IF(tblRentRoll[[#This Row],[Monthly_Rent_EUR]]&lt;=0,"Rent&lt;=0","")</f>
        <v/>
      </c>
      <c r="R484">
        <f>IF(AND(tblRentRoll[[#This Row],[Status]]="Occupied", tblRentRoll[[#This Row],[Area_sqm]]&gt;0), tblRentRoll[[#This Row],[Annual_Rent_EUR]]/tblRentRoll[[#This Row],[Area_sqm]],"")</f>
        <v>149.47095238095238</v>
      </c>
      <c r="S484">
        <f>tblRentRoll[[#This Row],[Service_Charge_EUR]]+tblRentRoll[[#This Row],[Operating_Cost_EUR]]</f>
        <v>4187.26</v>
      </c>
      <c r="T484">
        <f>IF(tblRentRoll[[#This Row],[Annual_Rent_EUR]]&lt;&gt;0,tblRentRoll[[#This Row],[Annual_Rent_EUR]]-tblRentRoll[[#This Row],[Operating_Cost_EUR]], "")</f>
        <v>186796.00999999998</v>
      </c>
      <c r="U484">
        <f ca="1">IF(AND(tblRentRoll[[#This Row],[Status]]="Occupied",tblRentRoll[[#This Row],[Lease_End]]&gt;=TODAY()),DATEDIF(TODAY(),tblRentRoll[[#This Row],[Lease_End]],"m"), 0)</f>
        <v>0</v>
      </c>
      <c r="V484" t="str">
        <f ca="1">IF(tblRentRoll[[#This Row],[Status]]&lt;&gt;"Occupied","", IF(tblRentRoll[[#This Row],[Month_to_Expiry]]&lt;=3, "0-3 Monaten",  IF(tblRentRoll[[#This Row],[Month_to_Expiry]]&lt;=6, "3-6 Monaten", IF(tblRentRoll[[#This Row],[Month_to_Expiry]]&lt;=12,"6-12 Monaten", IF(tblRentRoll[[#This Row],[Month_to_Expiry]]&gt;=12, "12 M+",)))))</f>
        <v>0-3 Monaten</v>
      </c>
      <c r="W484">
        <f>IF(tblRentRoll[[#This Row],[Status]]="Vacant", tblRentRoll[[#This Row],[Area_sqm]],0)</f>
        <v>0</v>
      </c>
      <c r="X484" s="3">
        <f>IF(tblRentRoll[[#This Row],[Status]]="Occupied", tblRentRoll[[#This Row],[Area_sqm]],0)</f>
        <v>1260</v>
      </c>
      <c r="Y484" s="3">
        <f ca="1">tblRentRoll[[#This Row],[Month_to_Expiry]]/12*tblRentRoll[[#This Row],[Annual_Rent_EUR]]</f>
        <v>0</v>
      </c>
      <c r="Z484" s="3"/>
    </row>
    <row r="485" spans="1:26" x14ac:dyDescent="0.35">
      <c r="A485" t="s">
        <v>21</v>
      </c>
      <c r="B485" t="s">
        <v>680</v>
      </c>
      <c r="C485" t="s">
        <v>33</v>
      </c>
      <c r="D485">
        <v>740</v>
      </c>
      <c r="E485" t="s">
        <v>15</v>
      </c>
      <c r="F485" t="s">
        <v>681</v>
      </c>
      <c r="G485">
        <v>4682.0600000000004</v>
      </c>
      <c r="H485">
        <v>56184.72</v>
      </c>
      <c r="I485" s="2">
        <f>tblRentRoll[[#This Row],[Monthly_Rent_EUR]]*12</f>
        <v>56184.72</v>
      </c>
      <c r="J485" s="2" t="str">
        <f>IF(tblRentRoll[[#This Row],[Annual_Rent_EUR]]&lt;&gt;tblRentRoll[[#This Row],[Jahresrente_EUR]], "FALSCH", "")</f>
        <v/>
      </c>
      <c r="K485" s="1">
        <v>44366</v>
      </c>
      <c r="L485" s="1">
        <v>45736</v>
      </c>
      <c r="M485">
        <v>1873.81</v>
      </c>
      <c r="N485">
        <v>1000.38</v>
      </c>
      <c r="O48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5" t="str">
        <f>IF(tblRentRoll[[#This Row],[Area_sqm]]&lt;=0,"Area&lt;=0","")</f>
        <v/>
      </c>
      <c r="Q485" t="str">
        <f>IF(tblRentRoll[[#This Row],[Monthly_Rent_EUR]]&lt;=0,"Rent&lt;=0","")</f>
        <v/>
      </c>
      <c r="R485">
        <f>IF(AND(tblRentRoll[[#This Row],[Status]]="Occupied", tblRentRoll[[#This Row],[Area_sqm]]&gt;0), tblRentRoll[[#This Row],[Annual_Rent_EUR]]/tblRentRoll[[#This Row],[Area_sqm]],"")</f>
        <v>75.925297297297305</v>
      </c>
      <c r="S485">
        <f>tblRentRoll[[#This Row],[Service_Charge_EUR]]+tblRentRoll[[#This Row],[Operating_Cost_EUR]]</f>
        <v>2874.19</v>
      </c>
      <c r="T485">
        <f>IF(tblRentRoll[[#This Row],[Annual_Rent_EUR]]&lt;&gt;0,tblRentRoll[[#This Row],[Annual_Rent_EUR]]-tblRentRoll[[#This Row],[Operating_Cost_EUR]], "")</f>
        <v>55184.340000000004</v>
      </c>
      <c r="U485">
        <f ca="1">IF(AND(tblRentRoll[[#This Row],[Status]]="Occupied",tblRentRoll[[#This Row],[Lease_End]]&gt;=TODAY()),DATEDIF(TODAY(),tblRentRoll[[#This Row],[Lease_End]],"m"), 0)</f>
        <v>0</v>
      </c>
      <c r="V485" t="str">
        <f ca="1">IF(tblRentRoll[[#This Row],[Status]]&lt;&gt;"Occupied","", IF(tblRentRoll[[#This Row],[Month_to_Expiry]]&lt;=3, "0-3 Monaten",  IF(tblRentRoll[[#This Row],[Month_to_Expiry]]&lt;=6, "3-6 Monaten", IF(tblRentRoll[[#This Row],[Month_to_Expiry]]&lt;=12,"6-12 Monaten", IF(tblRentRoll[[#This Row],[Month_to_Expiry]]&gt;=12, "12 M+",)))))</f>
        <v>0-3 Monaten</v>
      </c>
      <c r="W485">
        <f>IF(tblRentRoll[[#This Row],[Status]]="Vacant", tblRentRoll[[#This Row],[Area_sqm]],0)</f>
        <v>0</v>
      </c>
      <c r="X485" s="3">
        <f>IF(tblRentRoll[[#This Row],[Status]]="Occupied", tblRentRoll[[#This Row],[Area_sqm]],0)</f>
        <v>740</v>
      </c>
      <c r="Y485" s="3">
        <f ca="1">tblRentRoll[[#This Row],[Month_to_Expiry]]/12*tblRentRoll[[#This Row],[Annual_Rent_EUR]]</f>
        <v>0</v>
      </c>
      <c r="Z485" s="3"/>
    </row>
    <row r="486" spans="1:26" x14ac:dyDescent="0.35">
      <c r="A486" t="s">
        <v>24</v>
      </c>
      <c r="B486" t="s">
        <v>682</v>
      </c>
      <c r="C486" t="s">
        <v>19</v>
      </c>
      <c r="D486">
        <v>1132</v>
      </c>
      <c r="E486" t="s">
        <v>20</v>
      </c>
      <c r="G486">
        <v>0</v>
      </c>
      <c r="H486">
        <v>0</v>
      </c>
      <c r="I486" s="2">
        <f>tblRentRoll[[#This Row],[Monthly_Rent_EUR]]*12</f>
        <v>0</v>
      </c>
      <c r="J486" s="2" t="str">
        <f>IF(tblRentRoll[[#This Row],[Annual_Rent_EUR]]&lt;&gt;tblRentRoll[[#This Row],[Jahresrente_EUR]], "FALSCH", "")</f>
        <v/>
      </c>
      <c r="M486">
        <v>1405.93</v>
      </c>
      <c r="N486">
        <v>2240.6799999999998</v>
      </c>
      <c r="O48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6" t="str">
        <f>IF(tblRentRoll[[#This Row],[Area_sqm]]&lt;=0,"Area&lt;=0","")</f>
        <v/>
      </c>
      <c r="Q486" t="str">
        <f>IF(tblRentRoll[[#This Row],[Monthly_Rent_EUR]]&lt;=0,"Rent&lt;=0","")</f>
        <v>Rent&lt;=0</v>
      </c>
      <c r="R486" t="str">
        <f>IF(AND(tblRentRoll[[#This Row],[Status]]="Occupied", tblRentRoll[[#This Row],[Area_sqm]]&gt;0), tblRentRoll[[#This Row],[Annual_Rent_EUR]]/tblRentRoll[[#This Row],[Area_sqm]],"")</f>
        <v/>
      </c>
      <c r="S486">
        <f>tblRentRoll[[#This Row],[Service_Charge_EUR]]+tblRentRoll[[#This Row],[Operating_Cost_EUR]]</f>
        <v>3646.6099999999997</v>
      </c>
      <c r="T486" t="str">
        <f>IF(tblRentRoll[[#This Row],[Annual_Rent_EUR]]&lt;&gt;0,tblRentRoll[[#This Row],[Annual_Rent_EUR]]-tblRentRoll[[#This Row],[Operating_Cost_EUR]], "")</f>
        <v/>
      </c>
      <c r="U486">
        <f ca="1">IF(AND(tblRentRoll[[#This Row],[Status]]="Occupied",tblRentRoll[[#This Row],[Lease_End]]&gt;=TODAY()),DATEDIF(TODAY(),tblRentRoll[[#This Row],[Lease_End]],"m"), 0)</f>
        <v>0</v>
      </c>
      <c r="V486" t="str">
        <f>IF(tblRentRoll[[#This Row],[Status]]&lt;&gt;"Occupied","", IF(tblRentRoll[[#This Row],[Month_to_Expiry]]&lt;=3, "0-3 Monaten",  IF(tblRentRoll[[#This Row],[Month_to_Expiry]]&lt;=6, "3-6 Monaten", IF(tblRentRoll[[#This Row],[Month_to_Expiry]]&lt;=12,"6-12 Monaten", IF(tblRentRoll[[#This Row],[Month_to_Expiry]]&gt;=12, "12 M+",)))))</f>
        <v/>
      </c>
      <c r="W486">
        <f>IF(tblRentRoll[[#This Row],[Status]]="Vacant", tblRentRoll[[#This Row],[Area_sqm]],0)</f>
        <v>1132</v>
      </c>
      <c r="X486" s="3">
        <f>IF(tblRentRoll[[#This Row],[Status]]="Occupied", tblRentRoll[[#This Row],[Area_sqm]],0)</f>
        <v>0</v>
      </c>
      <c r="Y486" s="3">
        <f ca="1">tblRentRoll[[#This Row],[Month_to_Expiry]]/12*tblRentRoll[[#This Row],[Annual_Rent_EUR]]</f>
        <v>0</v>
      </c>
      <c r="Z486" s="3"/>
    </row>
    <row r="487" spans="1:26" x14ac:dyDescent="0.35">
      <c r="A487" t="s">
        <v>56</v>
      </c>
      <c r="B487" t="s">
        <v>683</v>
      </c>
      <c r="C487" t="s">
        <v>29</v>
      </c>
      <c r="D487">
        <v>856</v>
      </c>
      <c r="E487" t="s">
        <v>15</v>
      </c>
      <c r="F487" t="s">
        <v>417</v>
      </c>
      <c r="G487">
        <v>6414.48</v>
      </c>
      <c r="H487">
        <v>76973.759999999995</v>
      </c>
      <c r="I487" s="2">
        <f>tblRentRoll[[#This Row],[Monthly_Rent_EUR]]*12</f>
        <v>76973.759999999995</v>
      </c>
      <c r="J487" s="2" t="str">
        <f>IF(tblRentRoll[[#This Row],[Annual_Rent_EUR]]&lt;&gt;tblRentRoll[[#This Row],[Jahresrente_EUR]], "FALSCH", "")</f>
        <v/>
      </c>
      <c r="K487" s="1">
        <v>44974</v>
      </c>
      <c r="L487" s="1">
        <v>46542</v>
      </c>
      <c r="M487">
        <v>1727.18</v>
      </c>
      <c r="N487">
        <v>710.37</v>
      </c>
      <c r="O48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7" t="str">
        <f>IF(tblRentRoll[[#This Row],[Area_sqm]]&lt;=0,"Area&lt;=0","")</f>
        <v/>
      </c>
      <c r="Q487" t="str">
        <f>IF(tblRentRoll[[#This Row],[Monthly_Rent_EUR]]&lt;=0,"Rent&lt;=0","")</f>
        <v/>
      </c>
      <c r="R487">
        <f>IF(AND(tblRentRoll[[#This Row],[Status]]="Occupied", tblRentRoll[[#This Row],[Area_sqm]]&gt;0), tblRentRoll[[#This Row],[Annual_Rent_EUR]]/tblRentRoll[[#This Row],[Area_sqm]],"")</f>
        <v>89.922616822429902</v>
      </c>
      <c r="S487">
        <f>tblRentRoll[[#This Row],[Service_Charge_EUR]]+tblRentRoll[[#This Row],[Operating_Cost_EUR]]</f>
        <v>2437.5500000000002</v>
      </c>
      <c r="T487">
        <f>IF(tblRentRoll[[#This Row],[Annual_Rent_EUR]]&lt;&gt;0,tblRentRoll[[#This Row],[Annual_Rent_EUR]]-tblRentRoll[[#This Row],[Operating_Cost_EUR]], "")</f>
        <v>76263.39</v>
      </c>
      <c r="U487">
        <f ca="1">IF(AND(tblRentRoll[[#This Row],[Status]]="Occupied",tblRentRoll[[#This Row],[Lease_End]]&gt;=TODAY()),DATEDIF(TODAY(),tblRentRoll[[#This Row],[Lease_End]],"m"), 0)</f>
        <v>14</v>
      </c>
      <c r="V487" t="str">
        <f ca="1">IF(tblRentRoll[[#This Row],[Status]]&lt;&gt;"Occupied","", IF(tblRentRoll[[#This Row],[Month_to_Expiry]]&lt;=3, "0-3 Monaten",  IF(tblRentRoll[[#This Row],[Month_to_Expiry]]&lt;=6, "3-6 Monaten", IF(tblRentRoll[[#This Row],[Month_to_Expiry]]&lt;=12,"6-12 Monaten", IF(tblRentRoll[[#This Row],[Month_to_Expiry]]&gt;=12, "12 M+",)))))</f>
        <v>12 M+</v>
      </c>
      <c r="W487">
        <f>IF(tblRentRoll[[#This Row],[Status]]="Vacant", tblRentRoll[[#This Row],[Area_sqm]],0)</f>
        <v>0</v>
      </c>
      <c r="X487" s="3">
        <f>IF(tblRentRoll[[#This Row],[Status]]="Occupied", tblRentRoll[[#This Row],[Area_sqm]],0)</f>
        <v>856</v>
      </c>
      <c r="Y487" s="3">
        <f ca="1">tblRentRoll[[#This Row],[Month_to_Expiry]]/12*tblRentRoll[[#This Row],[Annual_Rent_EUR]]</f>
        <v>89802.72</v>
      </c>
      <c r="Z487" s="3"/>
    </row>
    <row r="488" spans="1:26" x14ac:dyDescent="0.35">
      <c r="A488" t="s">
        <v>56</v>
      </c>
      <c r="B488" t="s">
        <v>684</v>
      </c>
      <c r="C488" t="s">
        <v>14</v>
      </c>
      <c r="D488">
        <v>984</v>
      </c>
      <c r="E488" t="s">
        <v>15</v>
      </c>
      <c r="F488" t="s">
        <v>41</v>
      </c>
      <c r="G488">
        <v>15068.16</v>
      </c>
      <c r="H488">
        <v>180817.92000000001</v>
      </c>
      <c r="I488" s="2">
        <f>tblRentRoll[[#This Row],[Monthly_Rent_EUR]]*12</f>
        <v>180817.91999999998</v>
      </c>
      <c r="J488" s="2" t="str">
        <f>IF(tblRentRoll[[#This Row],[Annual_Rent_EUR]]&lt;&gt;tblRentRoll[[#This Row],[Jahresrente_EUR]], "FALSCH", "")</f>
        <v/>
      </c>
      <c r="K488" s="1">
        <v>44801</v>
      </c>
      <c r="L488" s="1">
        <v>45895</v>
      </c>
      <c r="M488">
        <v>1323.13</v>
      </c>
      <c r="N488">
        <v>1577.12</v>
      </c>
      <c r="O48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8" t="str">
        <f>IF(tblRentRoll[[#This Row],[Area_sqm]]&lt;=0,"Area&lt;=0","")</f>
        <v/>
      </c>
      <c r="Q488" t="str">
        <f>IF(tblRentRoll[[#This Row],[Monthly_Rent_EUR]]&lt;=0,"Rent&lt;=0","")</f>
        <v/>
      </c>
      <c r="R488">
        <f>IF(AND(tblRentRoll[[#This Row],[Status]]="Occupied", tblRentRoll[[#This Row],[Area_sqm]]&gt;0), tblRentRoll[[#This Row],[Annual_Rent_EUR]]/tblRentRoll[[#This Row],[Area_sqm]],"")</f>
        <v>183.75804878048783</v>
      </c>
      <c r="S488">
        <f>tblRentRoll[[#This Row],[Service_Charge_EUR]]+tblRentRoll[[#This Row],[Operating_Cost_EUR]]</f>
        <v>2900.25</v>
      </c>
      <c r="T488">
        <f>IF(tblRentRoll[[#This Row],[Annual_Rent_EUR]]&lt;&gt;0,tblRentRoll[[#This Row],[Annual_Rent_EUR]]-tblRentRoll[[#This Row],[Operating_Cost_EUR]], "")</f>
        <v>179240.80000000002</v>
      </c>
      <c r="U488">
        <f ca="1">IF(AND(tblRentRoll[[#This Row],[Status]]="Occupied",tblRentRoll[[#This Row],[Lease_End]]&gt;=TODAY()),DATEDIF(TODAY(),tblRentRoll[[#This Row],[Lease_End]],"m"), 0)</f>
        <v>0</v>
      </c>
      <c r="V488" t="str">
        <f ca="1">IF(tblRentRoll[[#This Row],[Status]]&lt;&gt;"Occupied","", IF(tblRentRoll[[#This Row],[Month_to_Expiry]]&lt;=3, "0-3 Monaten",  IF(tblRentRoll[[#This Row],[Month_to_Expiry]]&lt;=6, "3-6 Monaten", IF(tblRentRoll[[#This Row],[Month_to_Expiry]]&lt;=12,"6-12 Monaten", IF(tblRentRoll[[#This Row],[Month_to_Expiry]]&gt;=12, "12 M+",)))))</f>
        <v>0-3 Monaten</v>
      </c>
      <c r="W488">
        <f>IF(tblRentRoll[[#This Row],[Status]]="Vacant", tblRentRoll[[#This Row],[Area_sqm]],0)</f>
        <v>0</v>
      </c>
      <c r="X488" s="3">
        <f>IF(tblRentRoll[[#This Row],[Status]]="Occupied", tblRentRoll[[#This Row],[Area_sqm]],0)</f>
        <v>984</v>
      </c>
      <c r="Y488" s="3">
        <f ca="1">tblRentRoll[[#This Row],[Month_to_Expiry]]/12*tblRentRoll[[#This Row],[Annual_Rent_EUR]]</f>
        <v>0</v>
      </c>
      <c r="Z488" s="3"/>
    </row>
    <row r="489" spans="1:26" x14ac:dyDescent="0.35">
      <c r="A489" t="s">
        <v>27</v>
      </c>
      <c r="B489" t="s">
        <v>685</v>
      </c>
      <c r="C489" t="s">
        <v>19</v>
      </c>
      <c r="D489">
        <v>243</v>
      </c>
      <c r="E489" t="s">
        <v>15</v>
      </c>
      <c r="F489" t="s">
        <v>199</v>
      </c>
      <c r="G489">
        <v>2576.3000000000002</v>
      </c>
      <c r="H489">
        <v>30915.599999999999</v>
      </c>
      <c r="I489" s="2">
        <f>tblRentRoll[[#This Row],[Monthly_Rent_EUR]]*12</f>
        <v>30915.600000000002</v>
      </c>
      <c r="J489" s="2" t="str">
        <f>IF(tblRentRoll[[#This Row],[Annual_Rent_EUR]]&lt;&gt;tblRentRoll[[#This Row],[Jahresrente_EUR]], "FALSCH", "")</f>
        <v/>
      </c>
      <c r="K489" s="1">
        <v>45256</v>
      </c>
      <c r="L489" s="1">
        <v>45816</v>
      </c>
      <c r="M489">
        <v>274.18</v>
      </c>
      <c r="N489">
        <v>326.92</v>
      </c>
      <c r="O48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89" t="str">
        <f>IF(tblRentRoll[[#This Row],[Area_sqm]]&lt;=0,"Area&lt;=0","")</f>
        <v/>
      </c>
      <c r="Q489" t="str">
        <f>IF(tblRentRoll[[#This Row],[Monthly_Rent_EUR]]&lt;=0,"Rent&lt;=0","")</f>
        <v/>
      </c>
      <c r="R489">
        <f>IF(AND(tblRentRoll[[#This Row],[Status]]="Occupied", tblRentRoll[[#This Row],[Area_sqm]]&gt;0), tblRentRoll[[#This Row],[Annual_Rent_EUR]]/tblRentRoll[[#This Row],[Area_sqm]],"")</f>
        <v>127.22469135802469</v>
      </c>
      <c r="S489">
        <f>tblRentRoll[[#This Row],[Service_Charge_EUR]]+tblRentRoll[[#This Row],[Operating_Cost_EUR]]</f>
        <v>601.1</v>
      </c>
      <c r="T489">
        <f>IF(tblRentRoll[[#This Row],[Annual_Rent_EUR]]&lt;&gt;0,tblRentRoll[[#This Row],[Annual_Rent_EUR]]-tblRentRoll[[#This Row],[Operating_Cost_EUR]], "")</f>
        <v>30588.68</v>
      </c>
      <c r="U489">
        <f ca="1">IF(AND(tblRentRoll[[#This Row],[Status]]="Occupied",tblRentRoll[[#This Row],[Lease_End]]&gt;=TODAY()),DATEDIF(TODAY(),tblRentRoll[[#This Row],[Lease_End]],"m"), 0)</f>
        <v>0</v>
      </c>
      <c r="V489" t="str">
        <f ca="1">IF(tblRentRoll[[#This Row],[Status]]&lt;&gt;"Occupied","", IF(tblRentRoll[[#This Row],[Month_to_Expiry]]&lt;=3, "0-3 Monaten",  IF(tblRentRoll[[#This Row],[Month_to_Expiry]]&lt;=6, "3-6 Monaten", IF(tblRentRoll[[#This Row],[Month_to_Expiry]]&lt;=12,"6-12 Monaten", IF(tblRentRoll[[#This Row],[Month_to_Expiry]]&gt;=12, "12 M+",)))))</f>
        <v>0-3 Monaten</v>
      </c>
      <c r="W489">
        <f>IF(tblRentRoll[[#This Row],[Status]]="Vacant", tblRentRoll[[#This Row],[Area_sqm]],0)</f>
        <v>0</v>
      </c>
      <c r="X489" s="3">
        <f>IF(tblRentRoll[[#This Row],[Status]]="Occupied", tblRentRoll[[#This Row],[Area_sqm]],0)</f>
        <v>243</v>
      </c>
      <c r="Y489" s="3">
        <f ca="1">tblRentRoll[[#This Row],[Month_to_Expiry]]/12*tblRentRoll[[#This Row],[Annual_Rent_EUR]]</f>
        <v>0</v>
      </c>
      <c r="Z489" s="3"/>
    </row>
    <row r="490" spans="1:26" x14ac:dyDescent="0.35">
      <c r="A490" t="s">
        <v>27</v>
      </c>
      <c r="B490" t="s">
        <v>686</v>
      </c>
      <c r="C490" t="s">
        <v>33</v>
      </c>
      <c r="D490">
        <v>1367</v>
      </c>
      <c r="E490" t="s">
        <v>15</v>
      </c>
      <c r="F490" t="s">
        <v>490</v>
      </c>
      <c r="G490">
        <v>8542.5400000000009</v>
      </c>
      <c r="H490">
        <v>102510.48</v>
      </c>
      <c r="I490" s="2">
        <f>tblRentRoll[[#This Row],[Monthly_Rent_EUR]]*12</f>
        <v>102510.48000000001</v>
      </c>
      <c r="J490" s="2" t="str">
        <f>IF(tblRentRoll[[#This Row],[Annual_Rent_EUR]]&lt;&gt;tblRentRoll[[#This Row],[Jahresrente_EUR]], "FALSCH", "")</f>
        <v/>
      </c>
      <c r="K490" s="1">
        <v>44679</v>
      </c>
      <c r="L490" s="1">
        <v>45085</v>
      </c>
      <c r="M490">
        <v>2563.39</v>
      </c>
      <c r="N490">
        <v>2795.11</v>
      </c>
      <c r="O49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0" t="str">
        <f>IF(tblRentRoll[[#This Row],[Area_sqm]]&lt;=0,"Area&lt;=0","")</f>
        <v/>
      </c>
      <c r="Q490" t="str">
        <f>IF(tblRentRoll[[#This Row],[Monthly_Rent_EUR]]&lt;=0,"Rent&lt;=0","")</f>
        <v/>
      </c>
      <c r="R490">
        <f>IF(AND(tblRentRoll[[#This Row],[Status]]="Occupied", tblRentRoll[[#This Row],[Area_sqm]]&gt;0), tblRentRoll[[#This Row],[Annual_Rent_EUR]]/tblRentRoll[[#This Row],[Area_sqm]],"")</f>
        <v>74.989378200438921</v>
      </c>
      <c r="S490">
        <f>tblRentRoll[[#This Row],[Service_Charge_EUR]]+tblRentRoll[[#This Row],[Operating_Cost_EUR]]</f>
        <v>5358.5</v>
      </c>
      <c r="T490">
        <f>IF(tblRentRoll[[#This Row],[Annual_Rent_EUR]]&lt;&gt;0,tblRentRoll[[#This Row],[Annual_Rent_EUR]]-tblRentRoll[[#This Row],[Operating_Cost_EUR]], "")</f>
        <v>99715.37</v>
      </c>
      <c r="U490">
        <f ca="1">IF(AND(tblRentRoll[[#This Row],[Status]]="Occupied",tblRentRoll[[#This Row],[Lease_End]]&gt;=TODAY()),DATEDIF(TODAY(),tblRentRoll[[#This Row],[Lease_End]],"m"), 0)</f>
        <v>0</v>
      </c>
      <c r="V490" t="str">
        <f ca="1">IF(tblRentRoll[[#This Row],[Status]]&lt;&gt;"Occupied","", IF(tblRentRoll[[#This Row],[Month_to_Expiry]]&lt;=3, "0-3 Monaten",  IF(tblRentRoll[[#This Row],[Month_to_Expiry]]&lt;=6, "3-6 Monaten", IF(tblRentRoll[[#This Row],[Month_to_Expiry]]&lt;=12,"6-12 Monaten", IF(tblRentRoll[[#This Row],[Month_to_Expiry]]&gt;=12, "12 M+",)))))</f>
        <v>0-3 Monaten</v>
      </c>
      <c r="W490">
        <f>IF(tblRentRoll[[#This Row],[Status]]="Vacant", tblRentRoll[[#This Row],[Area_sqm]],0)</f>
        <v>0</v>
      </c>
      <c r="X490" s="3">
        <f>IF(tblRentRoll[[#This Row],[Status]]="Occupied", tblRentRoll[[#This Row],[Area_sqm]],0)</f>
        <v>1367</v>
      </c>
      <c r="Y490" s="3">
        <f ca="1">tblRentRoll[[#This Row],[Month_to_Expiry]]/12*tblRentRoll[[#This Row],[Annual_Rent_EUR]]</f>
        <v>0</v>
      </c>
      <c r="Z490" s="3"/>
    </row>
    <row r="491" spans="1:26" x14ac:dyDescent="0.35">
      <c r="A491" t="s">
        <v>27</v>
      </c>
      <c r="B491" t="s">
        <v>687</v>
      </c>
      <c r="C491" t="s">
        <v>19</v>
      </c>
      <c r="D491">
        <v>1198</v>
      </c>
      <c r="E491" t="s">
        <v>15</v>
      </c>
      <c r="F491" t="s">
        <v>688</v>
      </c>
      <c r="G491">
        <v>10184.14</v>
      </c>
      <c r="H491">
        <v>122209.68</v>
      </c>
      <c r="I491" s="2">
        <f>tblRentRoll[[#This Row],[Monthly_Rent_EUR]]*12</f>
        <v>122209.68</v>
      </c>
      <c r="J491" s="2" t="str">
        <f>IF(tblRentRoll[[#This Row],[Annual_Rent_EUR]]&lt;&gt;tblRentRoll[[#This Row],[Jahresrente_EUR]], "FALSCH", "")</f>
        <v/>
      </c>
      <c r="K491" s="1">
        <v>44588</v>
      </c>
      <c r="L491" s="1">
        <v>45751</v>
      </c>
      <c r="M491">
        <v>2297.1999999999998</v>
      </c>
      <c r="N491">
        <v>2412.1999999999998</v>
      </c>
      <c r="O49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1" t="str">
        <f>IF(tblRentRoll[[#This Row],[Area_sqm]]&lt;=0,"Area&lt;=0","")</f>
        <v/>
      </c>
      <c r="Q491" t="str">
        <f>IF(tblRentRoll[[#This Row],[Monthly_Rent_EUR]]&lt;=0,"Rent&lt;=0","")</f>
        <v/>
      </c>
      <c r="R491">
        <f>IF(AND(tblRentRoll[[#This Row],[Status]]="Occupied", tblRentRoll[[#This Row],[Area_sqm]]&gt;0), tblRentRoll[[#This Row],[Annual_Rent_EUR]]/tblRentRoll[[#This Row],[Area_sqm]],"")</f>
        <v>102.01141903171953</v>
      </c>
      <c r="S491">
        <f>tblRentRoll[[#This Row],[Service_Charge_EUR]]+tblRentRoll[[#This Row],[Operating_Cost_EUR]]</f>
        <v>4709.3999999999996</v>
      </c>
      <c r="T491">
        <f>IF(tblRentRoll[[#This Row],[Annual_Rent_EUR]]&lt;&gt;0,tblRentRoll[[#This Row],[Annual_Rent_EUR]]-tblRentRoll[[#This Row],[Operating_Cost_EUR]], "")</f>
        <v>119797.48</v>
      </c>
      <c r="U491">
        <f ca="1">IF(AND(tblRentRoll[[#This Row],[Status]]="Occupied",tblRentRoll[[#This Row],[Lease_End]]&gt;=TODAY()),DATEDIF(TODAY(),tblRentRoll[[#This Row],[Lease_End]],"m"), 0)</f>
        <v>0</v>
      </c>
      <c r="V491" t="str">
        <f ca="1">IF(tblRentRoll[[#This Row],[Status]]&lt;&gt;"Occupied","", IF(tblRentRoll[[#This Row],[Month_to_Expiry]]&lt;=3, "0-3 Monaten",  IF(tblRentRoll[[#This Row],[Month_to_Expiry]]&lt;=6, "3-6 Monaten", IF(tblRentRoll[[#This Row],[Month_to_Expiry]]&lt;=12,"6-12 Monaten", IF(tblRentRoll[[#This Row],[Month_to_Expiry]]&gt;=12, "12 M+",)))))</f>
        <v>0-3 Monaten</v>
      </c>
      <c r="W491">
        <f>IF(tblRentRoll[[#This Row],[Status]]="Vacant", tblRentRoll[[#This Row],[Area_sqm]],0)</f>
        <v>0</v>
      </c>
      <c r="X491" s="3">
        <f>IF(tblRentRoll[[#This Row],[Status]]="Occupied", tblRentRoll[[#This Row],[Area_sqm]],0)</f>
        <v>1198</v>
      </c>
      <c r="Y491" s="3">
        <f ca="1">tblRentRoll[[#This Row],[Month_to_Expiry]]/12*tblRentRoll[[#This Row],[Annual_Rent_EUR]]</f>
        <v>0</v>
      </c>
      <c r="Z491" s="3"/>
    </row>
    <row r="492" spans="1:26" x14ac:dyDescent="0.35">
      <c r="A492" t="s">
        <v>17</v>
      </c>
      <c r="B492" t="s">
        <v>689</v>
      </c>
      <c r="C492" t="s">
        <v>33</v>
      </c>
      <c r="D492">
        <v>1465</v>
      </c>
      <c r="E492" t="s">
        <v>15</v>
      </c>
      <c r="F492" t="s">
        <v>132</v>
      </c>
      <c r="G492">
        <v>12526.25</v>
      </c>
      <c r="H492">
        <v>150315</v>
      </c>
      <c r="I492" s="2">
        <f>tblRentRoll[[#This Row],[Monthly_Rent_EUR]]*12</f>
        <v>150315</v>
      </c>
      <c r="J492" s="2" t="str">
        <f>IF(tblRentRoll[[#This Row],[Annual_Rent_EUR]]&lt;&gt;tblRentRoll[[#This Row],[Jahresrente_EUR]], "FALSCH", "")</f>
        <v/>
      </c>
      <c r="K492" s="1">
        <v>44734</v>
      </c>
      <c r="L492" s="1">
        <v>46369</v>
      </c>
      <c r="M492">
        <v>4142.09</v>
      </c>
      <c r="N492">
        <v>3389.91</v>
      </c>
      <c r="O492"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2" t="str">
        <f>IF(tblRentRoll[[#This Row],[Area_sqm]]&lt;=0,"Area&lt;=0","")</f>
        <v/>
      </c>
      <c r="Q492" t="str">
        <f>IF(tblRentRoll[[#This Row],[Monthly_Rent_EUR]]&lt;=0,"Rent&lt;=0","")</f>
        <v/>
      </c>
      <c r="R492">
        <f>IF(AND(tblRentRoll[[#This Row],[Status]]="Occupied", tblRentRoll[[#This Row],[Area_sqm]]&gt;0), tblRentRoll[[#This Row],[Annual_Rent_EUR]]/tblRentRoll[[#This Row],[Area_sqm]],"")</f>
        <v>102.60409556313994</v>
      </c>
      <c r="S492">
        <f>tblRentRoll[[#This Row],[Service_Charge_EUR]]+tblRentRoll[[#This Row],[Operating_Cost_EUR]]</f>
        <v>7532</v>
      </c>
      <c r="T492">
        <f>IF(tblRentRoll[[#This Row],[Annual_Rent_EUR]]&lt;&gt;0,tblRentRoll[[#This Row],[Annual_Rent_EUR]]-tblRentRoll[[#This Row],[Operating_Cost_EUR]], "")</f>
        <v>146925.09</v>
      </c>
      <c r="U492">
        <f ca="1">IF(AND(tblRentRoll[[#This Row],[Status]]="Occupied",tblRentRoll[[#This Row],[Lease_End]]&gt;=TODAY()),DATEDIF(TODAY(),tblRentRoll[[#This Row],[Lease_End]],"m"), 0)</f>
        <v>9</v>
      </c>
      <c r="V492" t="str">
        <f ca="1">IF(tblRentRoll[[#This Row],[Status]]&lt;&gt;"Occupied","", IF(tblRentRoll[[#This Row],[Month_to_Expiry]]&lt;=3, "0-3 Monaten",  IF(tblRentRoll[[#This Row],[Month_to_Expiry]]&lt;=6, "3-6 Monaten", IF(tblRentRoll[[#This Row],[Month_to_Expiry]]&lt;=12,"6-12 Monaten", IF(tblRentRoll[[#This Row],[Month_to_Expiry]]&gt;=12, "12 M+",)))))</f>
        <v>6-12 Monaten</v>
      </c>
      <c r="W492">
        <f>IF(tblRentRoll[[#This Row],[Status]]="Vacant", tblRentRoll[[#This Row],[Area_sqm]],0)</f>
        <v>0</v>
      </c>
      <c r="X492" s="3">
        <f>IF(tblRentRoll[[#This Row],[Status]]="Occupied", tblRentRoll[[#This Row],[Area_sqm]],0)</f>
        <v>1465</v>
      </c>
      <c r="Y492" s="3">
        <f ca="1">tblRentRoll[[#This Row],[Month_to_Expiry]]/12*tblRentRoll[[#This Row],[Annual_Rent_EUR]]</f>
        <v>112736.25</v>
      </c>
      <c r="Z492" s="3"/>
    </row>
    <row r="493" spans="1:26" x14ac:dyDescent="0.35">
      <c r="A493" t="s">
        <v>56</v>
      </c>
      <c r="B493" t="s">
        <v>690</v>
      </c>
      <c r="C493" t="s">
        <v>33</v>
      </c>
      <c r="D493">
        <v>1016</v>
      </c>
      <c r="E493" t="s">
        <v>15</v>
      </c>
      <c r="F493" t="s">
        <v>495</v>
      </c>
      <c r="G493">
        <v>15719.47</v>
      </c>
      <c r="H493">
        <v>188633.64</v>
      </c>
      <c r="I493" s="2">
        <f>tblRentRoll[[#This Row],[Monthly_Rent_EUR]]*12</f>
        <v>188633.63999999998</v>
      </c>
      <c r="J493" s="2" t="str">
        <f>IF(tblRentRoll[[#This Row],[Annual_Rent_EUR]]&lt;&gt;tblRentRoll[[#This Row],[Jahresrente_EUR]], "FALSCH", "")</f>
        <v/>
      </c>
      <c r="K493" s="1">
        <v>45085</v>
      </c>
      <c r="L493" s="1">
        <v>45904</v>
      </c>
      <c r="M493">
        <v>1643.39</v>
      </c>
      <c r="N493">
        <v>2491.0300000000002</v>
      </c>
      <c r="O493"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3" t="str">
        <f>IF(tblRentRoll[[#This Row],[Area_sqm]]&lt;=0,"Area&lt;=0","")</f>
        <v/>
      </c>
      <c r="Q493" t="str">
        <f>IF(tblRentRoll[[#This Row],[Monthly_Rent_EUR]]&lt;=0,"Rent&lt;=0","")</f>
        <v/>
      </c>
      <c r="R493">
        <f>IF(AND(tblRentRoll[[#This Row],[Status]]="Occupied", tblRentRoll[[#This Row],[Area_sqm]]&gt;0), tblRentRoll[[#This Row],[Annual_Rent_EUR]]/tblRentRoll[[#This Row],[Area_sqm]],"")</f>
        <v>185.66303149606301</v>
      </c>
      <c r="S493">
        <f>tblRentRoll[[#This Row],[Service_Charge_EUR]]+tblRentRoll[[#This Row],[Operating_Cost_EUR]]</f>
        <v>4134.42</v>
      </c>
      <c r="T493">
        <f>IF(tblRentRoll[[#This Row],[Annual_Rent_EUR]]&lt;&gt;0,tblRentRoll[[#This Row],[Annual_Rent_EUR]]-tblRentRoll[[#This Row],[Operating_Cost_EUR]], "")</f>
        <v>186142.61000000002</v>
      </c>
      <c r="U493">
        <f ca="1">IF(AND(tblRentRoll[[#This Row],[Status]]="Occupied",tblRentRoll[[#This Row],[Lease_End]]&gt;=TODAY()),DATEDIF(TODAY(),tblRentRoll[[#This Row],[Lease_End]],"m"), 0)</f>
        <v>0</v>
      </c>
      <c r="V493" t="str">
        <f ca="1">IF(tblRentRoll[[#This Row],[Status]]&lt;&gt;"Occupied","", IF(tblRentRoll[[#This Row],[Month_to_Expiry]]&lt;=3, "0-3 Monaten",  IF(tblRentRoll[[#This Row],[Month_to_Expiry]]&lt;=6, "3-6 Monaten", IF(tblRentRoll[[#This Row],[Month_to_Expiry]]&lt;=12,"6-12 Monaten", IF(tblRentRoll[[#This Row],[Month_to_Expiry]]&gt;=12, "12 M+",)))))</f>
        <v>0-3 Monaten</v>
      </c>
      <c r="W493">
        <f>IF(tblRentRoll[[#This Row],[Status]]="Vacant", tblRentRoll[[#This Row],[Area_sqm]],0)</f>
        <v>0</v>
      </c>
      <c r="X493" s="3">
        <f>IF(tblRentRoll[[#This Row],[Status]]="Occupied", tblRentRoll[[#This Row],[Area_sqm]],0)</f>
        <v>1016</v>
      </c>
      <c r="Y493" s="3">
        <f ca="1">tblRentRoll[[#This Row],[Month_to_Expiry]]/12*tblRentRoll[[#This Row],[Annual_Rent_EUR]]</f>
        <v>0</v>
      </c>
      <c r="Z493" s="3"/>
    </row>
    <row r="494" spans="1:26" x14ac:dyDescent="0.35">
      <c r="A494" t="s">
        <v>44</v>
      </c>
      <c r="B494" t="s">
        <v>691</v>
      </c>
      <c r="C494" t="s">
        <v>19</v>
      </c>
      <c r="D494">
        <v>95</v>
      </c>
      <c r="E494" t="s">
        <v>15</v>
      </c>
      <c r="F494" t="s">
        <v>88</v>
      </c>
      <c r="G494">
        <v>917</v>
      </c>
      <c r="H494">
        <v>11004</v>
      </c>
      <c r="I494" s="2">
        <f>tblRentRoll[[#This Row],[Monthly_Rent_EUR]]*12</f>
        <v>11004</v>
      </c>
      <c r="J494" s="2" t="str">
        <f>IF(tblRentRoll[[#This Row],[Annual_Rent_EUR]]&lt;&gt;tblRentRoll[[#This Row],[Jahresrente_EUR]], "FALSCH", "")</f>
        <v/>
      </c>
      <c r="K494" s="1">
        <v>44441</v>
      </c>
      <c r="L494" s="1">
        <v>45846</v>
      </c>
      <c r="M494">
        <v>222.81</v>
      </c>
      <c r="N494">
        <v>228.14</v>
      </c>
      <c r="O494"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4" t="str">
        <f>IF(tblRentRoll[[#This Row],[Area_sqm]]&lt;=0,"Area&lt;=0","")</f>
        <v/>
      </c>
      <c r="Q494" t="str">
        <f>IF(tblRentRoll[[#This Row],[Monthly_Rent_EUR]]&lt;=0,"Rent&lt;=0","")</f>
        <v/>
      </c>
      <c r="R494">
        <f>IF(AND(tblRentRoll[[#This Row],[Status]]="Occupied", tblRentRoll[[#This Row],[Area_sqm]]&gt;0), tblRentRoll[[#This Row],[Annual_Rent_EUR]]/tblRentRoll[[#This Row],[Area_sqm]],"")</f>
        <v>115.83157894736843</v>
      </c>
      <c r="S494">
        <f>tblRentRoll[[#This Row],[Service_Charge_EUR]]+tblRentRoll[[#This Row],[Operating_Cost_EUR]]</f>
        <v>450.95</v>
      </c>
      <c r="T494">
        <f>IF(tblRentRoll[[#This Row],[Annual_Rent_EUR]]&lt;&gt;0,tblRentRoll[[#This Row],[Annual_Rent_EUR]]-tblRentRoll[[#This Row],[Operating_Cost_EUR]], "")</f>
        <v>10775.86</v>
      </c>
      <c r="U494">
        <f ca="1">IF(AND(tblRentRoll[[#This Row],[Status]]="Occupied",tblRentRoll[[#This Row],[Lease_End]]&gt;=TODAY()),DATEDIF(TODAY(),tblRentRoll[[#This Row],[Lease_End]],"m"), 0)</f>
        <v>0</v>
      </c>
      <c r="V494" t="str">
        <f ca="1">IF(tblRentRoll[[#This Row],[Status]]&lt;&gt;"Occupied","", IF(tblRentRoll[[#This Row],[Month_to_Expiry]]&lt;=3, "0-3 Monaten",  IF(tblRentRoll[[#This Row],[Month_to_Expiry]]&lt;=6, "3-6 Monaten", IF(tblRentRoll[[#This Row],[Month_to_Expiry]]&lt;=12,"6-12 Monaten", IF(tblRentRoll[[#This Row],[Month_to_Expiry]]&gt;=12, "12 M+",)))))</f>
        <v>0-3 Monaten</v>
      </c>
      <c r="W494">
        <f>IF(tblRentRoll[[#This Row],[Status]]="Vacant", tblRentRoll[[#This Row],[Area_sqm]],0)</f>
        <v>0</v>
      </c>
      <c r="X494" s="3">
        <f>IF(tblRentRoll[[#This Row],[Status]]="Occupied", tblRentRoll[[#This Row],[Area_sqm]],0)</f>
        <v>95</v>
      </c>
      <c r="Y494" s="3">
        <f ca="1">tblRentRoll[[#This Row],[Month_to_Expiry]]/12*tblRentRoll[[#This Row],[Annual_Rent_EUR]]</f>
        <v>0</v>
      </c>
      <c r="Z494" s="3"/>
    </row>
    <row r="495" spans="1:26" x14ac:dyDescent="0.35">
      <c r="A495" t="s">
        <v>44</v>
      </c>
      <c r="B495" t="s">
        <v>692</v>
      </c>
      <c r="C495" t="s">
        <v>19</v>
      </c>
      <c r="D495">
        <v>771</v>
      </c>
      <c r="E495" t="s">
        <v>20</v>
      </c>
      <c r="G495">
        <v>0</v>
      </c>
      <c r="H495">
        <v>0</v>
      </c>
      <c r="I495" s="2">
        <f>tblRentRoll[[#This Row],[Monthly_Rent_EUR]]*12</f>
        <v>0</v>
      </c>
      <c r="J495" s="2" t="str">
        <f>IF(tblRentRoll[[#This Row],[Annual_Rent_EUR]]&lt;&gt;tblRentRoll[[#This Row],[Jahresrente_EUR]], "FALSCH", "")</f>
        <v/>
      </c>
      <c r="M495">
        <v>806.06</v>
      </c>
      <c r="N495">
        <v>1196.3800000000001</v>
      </c>
      <c r="O495"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5" t="str">
        <f>IF(tblRentRoll[[#This Row],[Area_sqm]]&lt;=0,"Area&lt;=0","")</f>
        <v/>
      </c>
      <c r="Q495" t="str">
        <f>IF(tblRentRoll[[#This Row],[Monthly_Rent_EUR]]&lt;=0,"Rent&lt;=0","")</f>
        <v>Rent&lt;=0</v>
      </c>
      <c r="R495" t="str">
        <f>IF(AND(tblRentRoll[[#This Row],[Status]]="Occupied", tblRentRoll[[#This Row],[Area_sqm]]&gt;0), tblRentRoll[[#This Row],[Annual_Rent_EUR]]/tblRentRoll[[#This Row],[Area_sqm]],"")</f>
        <v/>
      </c>
      <c r="S495">
        <f>tblRentRoll[[#This Row],[Service_Charge_EUR]]+tblRentRoll[[#This Row],[Operating_Cost_EUR]]</f>
        <v>2002.44</v>
      </c>
      <c r="T495" t="str">
        <f>IF(tblRentRoll[[#This Row],[Annual_Rent_EUR]]&lt;&gt;0,tblRentRoll[[#This Row],[Annual_Rent_EUR]]-tblRentRoll[[#This Row],[Operating_Cost_EUR]], "")</f>
        <v/>
      </c>
      <c r="U495">
        <f ca="1">IF(AND(tblRentRoll[[#This Row],[Status]]="Occupied",tblRentRoll[[#This Row],[Lease_End]]&gt;=TODAY()),DATEDIF(TODAY(),tblRentRoll[[#This Row],[Lease_End]],"m"), 0)</f>
        <v>0</v>
      </c>
      <c r="V495" t="str">
        <f>IF(tblRentRoll[[#This Row],[Status]]&lt;&gt;"Occupied","", IF(tblRentRoll[[#This Row],[Month_to_Expiry]]&lt;=3, "0-3 Monaten",  IF(tblRentRoll[[#This Row],[Month_to_Expiry]]&lt;=6, "3-6 Monaten", IF(tblRentRoll[[#This Row],[Month_to_Expiry]]&lt;=12,"6-12 Monaten", IF(tblRentRoll[[#This Row],[Month_to_Expiry]]&gt;=12, "12 M+",)))))</f>
        <v/>
      </c>
      <c r="W495">
        <f>IF(tblRentRoll[[#This Row],[Status]]="Vacant", tblRentRoll[[#This Row],[Area_sqm]],0)</f>
        <v>771</v>
      </c>
      <c r="X495" s="3">
        <f>IF(tblRentRoll[[#This Row],[Status]]="Occupied", tblRentRoll[[#This Row],[Area_sqm]],0)</f>
        <v>0</v>
      </c>
      <c r="Y495" s="3">
        <f ca="1">tblRentRoll[[#This Row],[Month_to_Expiry]]/12*tblRentRoll[[#This Row],[Annual_Rent_EUR]]</f>
        <v>0</v>
      </c>
      <c r="Z495" s="3"/>
    </row>
    <row r="496" spans="1:26" x14ac:dyDescent="0.35">
      <c r="A496" t="s">
        <v>17</v>
      </c>
      <c r="B496" t="s">
        <v>693</v>
      </c>
      <c r="C496" t="s">
        <v>33</v>
      </c>
      <c r="D496">
        <v>280</v>
      </c>
      <c r="E496" t="s">
        <v>20</v>
      </c>
      <c r="G496">
        <v>0</v>
      </c>
      <c r="H496">
        <v>0</v>
      </c>
      <c r="I496" s="2">
        <f>tblRentRoll[[#This Row],[Monthly_Rent_EUR]]*12</f>
        <v>0</v>
      </c>
      <c r="J496" s="2" t="str">
        <f>IF(tblRentRoll[[#This Row],[Annual_Rent_EUR]]&lt;&gt;tblRentRoll[[#This Row],[Jahresrente_EUR]], "FALSCH", "")</f>
        <v/>
      </c>
      <c r="M496">
        <v>291.82</v>
      </c>
      <c r="N496">
        <v>526.54999999999995</v>
      </c>
      <c r="O496"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6" t="str">
        <f>IF(tblRentRoll[[#This Row],[Area_sqm]]&lt;=0,"Area&lt;=0","")</f>
        <v/>
      </c>
      <c r="Q496" t="str">
        <f>IF(tblRentRoll[[#This Row],[Monthly_Rent_EUR]]&lt;=0,"Rent&lt;=0","")</f>
        <v>Rent&lt;=0</v>
      </c>
      <c r="R496" t="str">
        <f>IF(AND(tblRentRoll[[#This Row],[Status]]="Occupied", tblRentRoll[[#This Row],[Area_sqm]]&gt;0), tblRentRoll[[#This Row],[Annual_Rent_EUR]]/tblRentRoll[[#This Row],[Area_sqm]],"")</f>
        <v/>
      </c>
      <c r="S496">
        <f>tblRentRoll[[#This Row],[Service_Charge_EUR]]+tblRentRoll[[#This Row],[Operating_Cost_EUR]]</f>
        <v>818.36999999999989</v>
      </c>
      <c r="T496" t="str">
        <f>IF(tblRentRoll[[#This Row],[Annual_Rent_EUR]]&lt;&gt;0,tblRentRoll[[#This Row],[Annual_Rent_EUR]]-tblRentRoll[[#This Row],[Operating_Cost_EUR]], "")</f>
        <v/>
      </c>
      <c r="U496">
        <f ca="1">IF(AND(tblRentRoll[[#This Row],[Status]]="Occupied",tblRentRoll[[#This Row],[Lease_End]]&gt;=TODAY()),DATEDIF(TODAY(),tblRentRoll[[#This Row],[Lease_End]],"m"), 0)</f>
        <v>0</v>
      </c>
      <c r="V496" t="str">
        <f>IF(tblRentRoll[[#This Row],[Status]]&lt;&gt;"Occupied","", IF(tblRentRoll[[#This Row],[Month_to_Expiry]]&lt;=3, "0-3 Monaten",  IF(tblRentRoll[[#This Row],[Month_to_Expiry]]&lt;=6, "3-6 Monaten", IF(tblRentRoll[[#This Row],[Month_to_Expiry]]&lt;=12,"6-12 Monaten", IF(tblRentRoll[[#This Row],[Month_to_Expiry]]&gt;=12, "12 M+",)))))</f>
        <v/>
      </c>
      <c r="W496">
        <f>IF(tblRentRoll[[#This Row],[Status]]="Vacant", tblRentRoll[[#This Row],[Area_sqm]],0)</f>
        <v>280</v>
      </c>
      <c r="X496" s="3">
        <f>IF(tblRentRoll[[#This Row],[Status]]="Occupied", tblRentRoll[[#This Row],[Area_sqm]],0)</f>
        <v>0</v>
      </c>
      <c r="Y496" s="3">
        <f ca="1">tblRentRoll[[#This Row],[Month_to_Expiry]]/12*tblRentRoll[[#This Row],[Annual_Rent_EUR]]</f>
        <v>0</v>
      </c>
      <c r="Z496" s="3"/>
    </row>
    <row r="497" spans="1:26" x14ac:dyDescent="0.35">
      <c r="A497" t="s">
        <v>24</v>
      </c>
      <c r="B497" t="s">
        <v>694</v>
      </c>
      <c r="C497" t="s">
        <v>33</v>
      </c>
      <c r="D497">
        <v>447</v>
      </c>
      <c r="E497" t="s">
        <v>15</v>
      </c>
      <c r="F497" t="s">
        <v>215</v>
      </c>
      <c r="G497">
        <v>5606.48</v>
      </c>
      <c r="H497">
        <v>67277.759999999995</v>
      </c>
      <c r="I497" s="2">
        <f>tblRentRoll[[#This Row],[Monthly_Rent_EUR]]*12</f>
        <v>67277.759999999995</v>
      </c>
      <c r="J497" s="2" t="str">
        <f>IF(tblRentRoll[[#This Row],[Annual_Rent_EUR]]&lt;&gt;tblRentRoll[[#This Row],[Jahresrente_EUR]], "FALSCH", "")</f>
        <v/>
      </c>
      <c r="K497" s="1">
        <v>44818</v>
      </c>
      <c r="L497" s="1">
        <v>45088</v>
      </c>
      <c r="M497">
        <v>1086.8399999999999</v>
      </c>
      <c r="N497">
        <v>1045.93</v>
      </c>
      <c r="O497"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7" t="str">
        <f>IF(tblRentRoll[[#This Row],[Area_sqm]]&lt;=0,"Area&lt;=0","")</f>
        <v/>
      </c>
      <c r="Q497" t="str">
        <f>IF(tblRentRoll[[#This Row],[Monthly_Rent_EUR]]&lt;=0,"Rent&lt;=0","")</f>
        <v/>
      </c>
      <c r="R497">
        <f>IF(AND(tblRentRoll[[#This Row],[Status]]="Occupied", tblRentRoll[[#This Row],[Area_sqm]]&gt;0), tblRentRoll[[#This Row],[Annual_Rent_EUR]]/tblRentRoll[[#This Row],[Area_sqm]],"")</f>
        <v>150.50953020134227</v>
      </c>
      <c r="S497">
        <f>tblRentRoll[[#This Row],[Service_Charge_EUR]]+tblRentRoll[[#This Row],[Operating_Cost_EUR]]</f>
        <v>2132.77</v>
      </c>
      <c r="T497">
        <f>IF(tblRentRoll[[#This Row],[Annual_Rent_EUR]]&lt;&gt;0,tblRentRoll[[#This Row],[Annual_Rent_EUR]]-tblRentRoll[[#This Row],[Operating_Cost_EUR]], "")</f>
        <v>66231.83</v>
      </c>
      <c r="U497">
        <f ca="1">IF(AND(tblRentRoll[[#This Row],[Status]]="Occupied",tblRentRoll[[#This Row],[Lease_End]]&gt;=TODAY()),DATEDIF(TODAY(),tblRentRoll[[#This Row],[Lease_End]],"m"), 0)</f>
        <v>0</v>
      </c>
      <c r="V497" t="str">
        <f ca="1">IF(tblRentRoll[[#This Row],[Status]]&lt;&gt;"Occupied","", IF(tblRentRoll[[#This Row],[Month_to_Expiry]]&lt;=3, "0-3 Monaten",  IF(tblRentRoll[[#This Row],[Month_to_Expiry]]&lt;=6, "3-6 Monaten", IF(tblRentRoll[[#This Row],[Month_to_Expiry]]&lt;=12,"6-12 Monaten", IF(tblRentRoll[[#This Row],[Month_to_Expiry]]&gt;=12, "12 M+",)))))</f>
        <v>0-3 Monaten</v>
      </c>
      <c r="W497">
        <f>IF(tblRentRoll[[#This Row],[Status]]="Vacant", tblRentRoll[[#This Row],[Area_sqm]],0)</f>
        <v>0</v>
      </c>
      <c r="X497" s="3">
        <f>IF(tblRentRoll[[#This Row],[Status]]="Occupied", tblRentRoll[[#This Row],[Area_sqm]],0)</f>
        <v>447</v>
      </c>
      <c r="Y497" s="3">
        <f ca="1">tblRentRoll[[#This Row],[Month_to_Expiry]]/12*tblRentRoll[[#This Row],[Annual_Rent_EUR]]</f>
        <v>0</v>
      </c>
      <c r="Z497" s="3"/>
    </row>
    <row r="498" spans="1:26" x14ac:dyDescent="0.35">
      <c r="A498" t="s">
        <v>21</v>
      </c>
      <c r="B498" t="s">
        <v>695</v>
      </c>
      <c r="C498" t="s">
        <v>19</v>
      </c>
      <c r="D498">
        <v>484</v>
      </c>
      <c r="E498" t="s">
        <v>15</v>
      </c>
      <c r="F498" t="s">
        <v>23</v>
      </c>
      <c r="G498">
        <v>5284.32</v>
      </c>
      <c r="H498">
        <v>63411.839999999997</v>
      </c>
      <c r="I498" s="2">
        <f>tblRentRoll[[#This Row],[Monthly_Rent_EUR]]*12</f>
        <v>63411.839999999997</v>
      </c>
      <c r="J498" s="2" t="str">
        <f>IF(tblRentRoll[[#This Row],[Annual_Rent_EUR]]&lt;&gt;tblRentRoll[[#This Row],[Jahresrente_EUR]], "FALSCH", "")</f>
        <v/>
      </c>
      <c r="K498" s="1">
        <v>44896</v>
      </c>
      <c r="L498" s="1">
        <v>45453</v>
      </c>
      <c r="M498">
        <v>643.79999999999995</v>
      </c>
      <c r="N498">
        <v>754.27</v>
      </c>
      <c r="O498"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8" t="str">
        <f>IF(tblRentRoll[[#This Row],[Area_sqm]]&lt;=0,"Area&lt;=0","")</f>
        <v/>
      </c>
      <c r="Q498" t="str">
        <f>IF(tblRentRoll[[#This Row],[Monthly_Rent_EUR]]&lt;=0,"Rent&lt;=0","")</f>
        <v/>
      </c>
      <c r="R498">
        <f>IF(AND(tblRentRoll[[#This Row],[Status]]="Occupied", tblRentRoll[[#This Row],[Area_sqm]]&gt;0), tblRentRoll[[#This Row],[Annual_Rent_EUR]]/tblRentRoll[[#This Row],[Area_sqm]],"")</f>
        <v>131.01619834710743</v>
      </c>
      <c r="S498">
        <f>tblRentRoll[[#This Row],[Service_Charge_EUR]]+tblRentRoll[[#This Row],[Operating_Cost_EUR]]</f>
        <v>1398.07</v>
      </c>
      <c r="T498">
        <f>IF(tblRentRoll[[#This Row],[Annual_Rent_EUR]]&lt;&gt;0,tblRentRoll[[#This Row],[Annual_Rent_EUR]]-tblRentRoll[[#This Row],[Operating_Cost_EUR]], "")</f>
        <v>62657.57</v>
      </c>
      <c r="U498">
        <f ca="1">IF(AND(tblRentRoll[[#This Row],[Status]]="Occupied",tblRentRoll[[#This Row],[Lease_End]]&gt;=TODAY()),DATEDIF(TODAY(),tblRentRoll[[#This Row],[Lease_End]],"m"), 0)</f>
        <v>0</v>
      </c>
      <c r="V498" t="str">
        <f ca="1">IF(tblRentRoll[[#This Row],[Status]]&lt;&gt;"Occupied","", IF(tblRentRoll[[#This Row],[Month_to_Expiry]]&lt;=3, "0-3 Monaten",  IF(tblRentRoll[[#This Row],[Month_to_Expiry]]&lt;=6, "3-6 Monaten", IF(tblRentRoll[[#This Row],[Month_to_Expiry]]&lt;=12,"6-12 Monaten", IF(tblRentRoll[[#This Row],[Month_to_Expiry]]&gt;=12, "12 M+",)))))</f>
        <v>0-3 Monaten</v>
      </c>
      <c r="W498">
        <f>IF(tblRentRoll[[#This Row],[Status]]="Vacant", tblRentRoll[[#This Row],[Area_sqm]],0)</f>
        <v>0</v>
      </c>
      <c r="X498" s="3">
        <f>IF(tblRentRoll[[#This Row],[Status]]="Occupied", tblRentRoll[[#This Row],[Area_sqm]],0)</f>
        <v>484</v>
      </c>
      <c r="Y498" s="3">
        <f ca="1">tblRentRoll[[#This Row],[Month_to_Expiry]]/12*tblRentRoll[[#This Row],[Annual_Rent_EUR]]</f>
        <v>0</v>
      </c>
      <c r="Z498" s="3"/>
    </row>
    <row r="499" spans="1:26" x14ac:dyDescent="0.35">
      <c r="A499" t="s">
        <v>44</v>
      </c>
      <c r="B499" t="s">
        <v>696</v>
      </c>
      <c r="C499" t="s">
        <v>14</v>
      </c>
      <c r="D499">
        <v>511</v>
      </c>
      <c r="E499" t="s">
        <v>15</v>
      </c>
      <c r="F499" t="s">
        <v>268</v>
      </c>
      <c r="G499">
        <v>3922.38</v>
      </c>
      <c r="H499">
        <v>47068.56</v>
      </c>
      <c r="I499" s="2">
        <f>tblRentRoll[[#This Row],[Monthly_Rent_EUR]]*12</f>
        <v>47068.56</v>
      </c>
      <c r="J499" s="2" t="str">
        <f>IF(tblRentRoll[[#This Row],[Annual_Rent_EUR]]&lt;&gt;tblRentRoll[[#This Row],[Jahresrente_EUR]], "FALSCH", "")</f>
        <v/>
      </c>
      <c r="K499" s="1">
        <v>44313</v>
      </c>
      <c r="L499" s="1">
        <v>45097</v>
      </c>
      <c r="M499">
        <v>795.04</v>
      </c>
      <c r="N499">
        <v>265.3</v>
      </c>
      <c r="O499"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499" t="str">
        <f>IF(tblRentRoll[[#This Row],[Area_sqm]]&lt;=0,"Area&lt;=0","")</f>
        <v/>
      </c>
      <c r="Q499" t="str">
        <f>IF(tblRentRoll[[#This Row],[Monthly_Rent_EUR]]&lt;=0,"Rent&lt;=0","")</f>
        <v/>
      </c>
      <c r="R499">
        <f>IF(AND(tblRentRoll[[#This Row],[Status]]="Occupied", tblRentRoll[[#This Row],[Area_sqm]]&gt;0), tblRentRoll[[#This Row],[Annual_Rent_EUR]]/tblRentRoll[[#This Row],[Area_sqm]],"")</f>
        <v>92.110684931506839</v>
      </c>
      <c r="S499">
        <f>tblRentRoll[[#This Row],[Service_Charge_EUR]]+tblRentRoll[[#This Row],[Operating_Cost_EUR]]</f>
        <v>1060.3399999999999</v>
      </c>
      <c r="T499">
        <f>IF(tblRentRoll[[#This Row],[Annual_Rent_EUR]]&lt;&gt;0,tblRentRoll[[#This Row],[Annual_Rent_EUR]]-tblRentRoll[[#This Row],[Operating_Cost_EUR]], "")</f>
        <v>46803.259999999995</v>
      </c>
      <c r="U499">
        <f ca="1">IF(AND(tblRentRoll[[#This Row],[Status]]="Occupied",tblRentRoll[[#This Row],[Lease_End]]&gt;=TODAY()),DATEDIF(TODAY(),tblRentRoll[[#This Row],[Lease_End]],"m"), 0)</f>
        <v>0</v>
      </c>
      <c r="V499" t="str">
        <f ca="1">IF(tblRentRoll[[#This Row],[Status]]&lt;&gt;"Occupied","", IF(tblRentRoll[[#This Row],[Month_to_Expiry]]&lt;=3, "0-3 Monaten",  IF(tblRentRoll[[#This Row],[Month_to_Expiry]]&lt;=6, "3-6 Monaten", IF(tblRentRoll[[#This Row],[Month_to_Expiry]]&lt;=12,"6-12 Monaten", IF(tblRentRoll[[#This Row],[Month_to_Expiry]]&gt;=12, "12 M+",)))))</f>
        <v>0-3 Monaten</v>
      </c>
      <c r="W499">
        <f>IF(tblRentRoll[[#This Row],[Status]]="Vacant", tblRentRoll[[#This Row],[Area_sqm]],0)</f>
        <v>0</v>
      </c>
      <c r="X499" s="3">
        <f>IF(tblRentRoll[[#This Row],[Status]]="Occupied", tblRentRoll[[#This Row],[Area_sqm]],0)</f>
        <v>511</v>
      </c>
      <c r="Y499" s="3">
        <f ca="1">tblRentRoll[[#This Row],[Month_to_Expiry]]/12*tblRentRoll[[#This Row],[Annual_Rent_EUR]]</f>
        <v>0</v>
      </c>
      <c r="Z499" s="3"/>
    </row>
    <row r="500" spans="1:26" x14ac:dyDescent="0.35">
      <c r="A500" t="s">
        <v>17</v>
      </c>
      <c r="B500" t="s">
        <v>697</v>
      </c>
      <c r="C500" t="s">
        <v>19</v>
      </c>
      <c r="D500">
        <v>699</v>
      </c>
      <c r="E500" t="s">
        <v>15</v>
      </c>
      <c r="F500" t="s">
        <v>688</v>
      </c>
      <c r="G500">
        <v>9976.8700000000008</v>
      </c>
      <c r="H500">
        <v>119722.44</v>
      </c>
      <c r="I500" s="2">
        <f>tblRentRoll[[#This Row],[Monthly_Rent_EUR]]*12</f>
        <v>119722.44</v>
      </c>
      <c r="J500" s="2" t="str">
        <f>IF(tblRentRoll[[#This Row],[Annual_Rent_EUR]]&lt;&gt;tblRentRoll[[#This Row],[Jahresrente_EUR]], "FALSCH", "")</f>
        <v/>
      </c>
      <c r="K500" s="1">
        <v>44401</v>
      </c>
      <c r="L500" s="1">
        <v>46149</v>
      </c>
      <c r="M500">
        <v>929.53</v>
      </c>
      <c r="N500">
        <v>1195.71</v>
      </c>
      <c r="O500"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00" t="str">
        <f>IF(tblRentRoll[[#This Row],[Area_sqm]]&lt;=0,"Area&lt;=0","")</f>
        <v/>
      </c>
      <c r="Q500" t="str">
        <f>IF(tblRentRoll[[#This Row],[Monthly_Rent_EUR]]&lt;=0,"Rent&lt;=0","")</f>
        <v/>
      </c>
      <c r="R500">
        <f>IF(AND(tblRentRoll[[#This Row],[Status]]="Occupied", tblRentRoll[[#This Row],[Area_sqm]]&gt;0), tblRentRoll[[#This Row],[Annual_Rent_EUR]]/tblRentRoll[[#This Row],[Area_sqm]],"")</f>
        <v>171.27673819742489</v>
      </c>
      <c r="S500">
        <f>tblRentRoll[[#This Row],[Service_Charge_EUR]]+tblRentRoll[[#This Row],[Operating_Cost_EUR]]</f>
        <v>2125.2399999999998</v>
      </c>
      <c r="T500">
        <f>IF(tblRentRoll[[#This Row],[Annual_Rent_EUR]]&lt;&gt;0,tblRentRoll[[#This Row],[Annual_Rent_EUR]]-tblRentRoll[[#This Row],[Operating_Cost_EUR]], "")</f>
        <v>118526.73</v>
      </c>
      <c r="U500">
        <f ca="1">IF(AND(tblRentRoll[[#This Row],[Status]]="Occupied",tblRentRoll[[#This Row],[Lease_End]]&gt;=TODAY()),DATEDIF(TODAY(),tblRentRoll[[#This Row],[Lease_End]],"m"), 0)</f>
        <v>1</v>
      </c>
      <c r="V500" t="str">
        <f ca="1">IF(tblRentRoll[[#This Row],[Status]]&lt;&gt;"Occupied","", IF(tblRentRoll[[#This Row],[Month_to_Expiry]]&lt;=3, "0-3 Monaten",  IF(tblRentRoll[[#This Row],[Month_to_Expiry]]&lt;=6, "3-6 Monaten", IF(tblRentRoll[[#This Row],[Month_to_Expiry]]&lt;=12,"6-12 Monaten", IF(tblRentRoll[[#This Row],[Month_to_Expiry]]&gt;=12, "12 M+",)))))</f>
        <v>0-3 Monaten</v>
      </c>
      <c r="W500">
        <f>IF(tblRentRoll[[#This Row],[Status]]="Vacant", tblRentRoll[[#This Row],[Area_sqm]],0)</f>
        <v>0</v>
      </c>
      <c r="X500" s="3">
        <f>IF(tblRentRoll[[#This Row],[Status]]="Occupied", tblRentRoll[[#This Row],[Area_sqm]],0)</f>
        <v>699</v>
      </c>
      <c r="Y500" s="3">
        <f ca="1">tblRentRoll[[#This Row],[Month_to_Expiry]]/12*tblRentRoll[[#This Row],[Annual_Rent_EUR]]</f>
        <v>9976.869999999999</v>
      </c>
      <c r="Z500" s="3"/>
    </row>
    <row r="501" spans="1:26" x14ac:dyDescent="0.35">
      <c r="A501" t="s">
        <v>56</v>
      </c>
      <c r="B501" t="s">
        <v>698</v>
      </c>
      <c r="C501" t="s">
        <v>33</v>
      </c>
      <c r="D501">
        <v>1393</v>
      </c>
      <c r="E501" t="s">
        <v>15</v>
      </c>
      <c r="F501" t="s">
        <v>554</v>
      </c>
      <c r="G501">
        <v>14406.28</v>
      </c>
      <c r="H501">
        <v>172875.36</v>
      </c>
      <c r="I501" s="2">
        <f>tblRentRoll[[#This Row],[Monthly_Rent_EUR]]*12</f>
        <v>172875.36000000002</v>
      </c>
      <c r="J501" s="2" t="str">
        <f>IF(tblRentRoll[[#This Row],[Annual_Rent_EUR]]&lt;&gt;tblRentRoll[[#This Row],[Jahresrente_EUR]], "FALSCH", "")</f>
        <v/>
      </c>
      <c r="K501" s="1">
        <v>45225</v>
      </c>
      <c r="L501" s="1">
        <v>46251</v>
      </c>
      <c r="M501">
        <v>1647.07</v>
      </c>
      <c r="N501">
        <v>1582.05</v>
      </c>
      <c r="O501" t="str">
        <f>IF(
_xlfn.TEXTJOIN(" | ",TRUE,
IF(tblRentRoll[[#This Row],[Area_sqm]]&lt;=0,"Area&lt;=0",""),
IF(AND(tblRentRoll[[#This Row],[Status]]="Vacant",IFERROR(VALUE(tblRentRoll[[#This Row],[Monthly_Rent_EUR]]),0)&gt;0),"Vacant mit Miete",""),
IF(AND(tblRentRoll[[#This Row],[Status]]="Occupied",tblRentRoll[[#This Row],[Tenant_Name]]=""),"Occupied ohne Tenant",""),
IF(IFERROR(VALUE(tblRentRoll[[#This Row],[Monthly_Rent_EUR]]),0)&lt;0,"Negative Miete","")
)="",
"OK")</f>
        <v>OK</v>
      </c>
      <c r="P501" t="str">
        <f>IF(tblRentRoll[[#This Row],[Area_sqm]]&lt;=0,"Area&lt;=0","")</f>
        <v/>
      </c>
      <c r="Q501" t="str">
        <f>IF(tblRentRoll[[#This Row],[Monthly_Rent_EUR]]&lt;=0,"Rent&lt;=0","")</f>
        <v/>
      </c>
      <c r="R501">
        <f>IF(AND(tblRentRoll[[#This Row],[Status]]="Occupied", tblRentRoll[[#This Row],[Area_sqm]]&gt;0), tblRentRoll[[#This Row],[Annual_Rent_EUR]]/tblRentRoll[[#This Row],[Area_sqm]],"")</f>
        <v>124.10291457286431</v>
      </c>
      <c r="S501">
        <f>tblRentRoll[[#This Row],[Service_Charge_EUR]]+tblRentRoll[[#This Row],[Operating_Cost_EUR]]</f>
        <v>3229.12</v>
      </c>
      <c r="T501">
        <f>IF(tblRentRoll[[#This Row],[Annual_Rent_EUR]]&lt;&gt;0,tblRentRoll[[#This Row],[Annual_Rent_EUR]]-tblRentRoll[[#This Row],[Operating_Cost_EUR]], "")</f>
        <v>171293.31</v>
      </c>
      <c r="U501">
        <f ca="1">IF(AND(tblRentRoll[[#This Row],[Status]]="Occupied",tblRentRoll[[#This Row],[Lease_End]]&gt;=TODAY()),DATEDIF(TODAY(),tblRentRoll[[#This Row],[Lease_End]],"m"), 0)</f>
        <v>5</v>
      </c>
      <c r="V501" t="str">
        <f ca="1">IF(tblRentRoll[[#This Row],[Status]]&lt;&gt;"Occupied","", IF(tblRentRoll[[#This Row],[Month_to_Expiry]]&lt;=3, "0-3 Monaten",  IF(tblRentRoll[[#This Row],[Month_to_Expiry]]&lt;=6, "3-6 Monaten", IF(tblRentRoll[[#This Row],[Month_to_Expiry]]&lt;=12,"6-12 Monaten", IF(tblRentRoll[[#This Row],[Month_to_Expiry]]&gt;=12, "12 M+",)))))</f>
        <v>3-6 Monaten</v>
      </c>
      <c r="W501">
        <f>IF(tblRentRoll[[#This Row],[Status]]="Vacant", tblRentRoll[[#This Row],[Area_sqm]],0)</f>
        <v>0</v>
      </c>
      <c r="X501" s="3">
        <f>IF(tblRentRoll[[#This Row],[Status]]="Occupied", tblRentRoll[[#This Row],[Area_sqm]],0)</f>
        <v>1393</v>
      </c>
      <c r="Y501" s="3">
        <f ca="1">tblRentRoll[[#This Row],[Month_to_Expiry]]/12*tblRentRoll[[#This Row],[Annual_Rent_EUR]]</f>
        <v>72031.399999999994</v>
      </c>
      <c r="Z501" s="3"/>
    </row>
    <row r="502" spans="1:26" x14ac:dyDescent="0.35">
      <c r="D502">
        <f>SUBTOTAL(109,tblRentRoll[Area_sqm])</f>
        <v>405875</v>
      </c>
      <c r="G502">
        <f>SUBTOTAL(109,tblRentRoll[Monthly_Rent_EUR])</f>
        <v>4155174.1999999988</v>
      </c>
      <c r="H502">
        <f>SUBTOTAL(109,tblRentRoll[Annual_Rent_EUR])</f>
        <v>49862089.919999987</v>
      </c>
      <c r="I502">
        <f>SUBTOTAL(109,tblRentRoll[Jahresrente_EUR])</f>
        <v>49862090.399999984</v>
      </c>
      <c r="J502">
        <f>SUBTOTAL(109,tblRentRoll[Unterschied])</f>
        <v>0</v>
      </c>
      <c r="K502" s="1"/>
      <c r="L502" s="1"/>
      <c r="M502">
        <f>SUBTOTAL(109,tblRentRoll[Service_Charge_EUR])</f>
        <v>815654.99999999988</v>
      </c>
      <c r="N502">
        <f>SUBTOTAL(109,tblRentRoll[Operating_Cost_EUR])</f>
        <v>585460.53000000049</v>
      </c>
      <c r="R502">
        <f>SUBTOTAL(101,tblRentRoll[Rent_per_sqm])</f>
        <v>141.24600225496812</v>
      </c>
      <c r="S502">
        <f>SUBTOTAL(109,tblRentRoll[Total_Cost_EURO])</f>
        <v>1401115.5299999993</v>
      </c>
      <c r="T502">
        <f>SUBTOTAL(109,tblRentRoll[NOI_pro_UNIT])</f>
        <v>49355221.150000013</v>
      </c>
      <c r="W502">
        <f>SUBTOTAL(109,tblRentRoll[Vacant_Area])</f>
        <v>54160</v>
      </c>
      <c r="X502">
        <f>SUBTOTAL(109,tblRentRoll[Oc_Area])</f>
        <v>351715</v>
      </c>
      <c r="Y502">
        <f ca="1">SUBTOTAL(109,tblRentRoll[WeightedTermYears])</f>
        <v>17257318.210000001</v>
      </c>
    </row>
    <row r="503" spans="1:26" s="17" customFormat="1" x14ac:dyDescent="0.35"/>
    <row r="504" spans="1:26" s="17" customFormat="1" x14ac:dyDescent="0.35"/>
    <row r="505" spans="1:26" s="17" customFormat="1" x14ac:dyDescent="0.35"/>
    <row r="506" spans="1:26" s="17" customFormat="1" x14ac:dyDescent="0.35"/>
    <row r="507" spans="1:26" s="17" customFormat="1" x14ac:dyDescent="0.35"/>
    <row r="508" spans="1:26" s="17" customFormat="1" x14ac:dyDescent="0.35"/>
    <row r="509" spans="1:26" s="17" customFormat="1" x14ac:dyDescent="0.35"/>
    <row r="510" spans="1:26" s="17" customFormat="1" x14ac:dyDescent="0.35"/>
    <row r="511" spans="1:26" s="17" customFormat="1" x14ac:dyDescent="0.35"/>
    <row r="512" spans="1:26" s="17" customFormat="1" x14ac:dyDescent="0.35"/>
    <row r="513" s="17" customFormat="1" x14ac:dyDescent="0.35"/>
    <row r="514" s="17" customFormat="1" x14ac:dyDescent="0.35"/>
    <row r="515" s="17" customFormat="1" x14ac:dyDescent="0.35"/>
    <row r="516" s="17" customFormat="1" x14ac:dyDescent="0.35"/>
    <row r="517" s="17" customFormat="1" x14ac:dyDescent="0.35"/>
    <row r="518" s="17" customFormat="1" x14ac:dyDescent="0.35"/>
    <row r="519" s="17" customFormat="1" x14ac:dyDescent="0.35"/>
    <row r="520" s="17" customFormat="1" x14ac:dyDescent="0.35"/>
    <row r="521" s="17" customFormat="1" x14ac:dyDescent="0.35"/>
    <row r="522" s="17" customFormat="1" x14ac:dyDescent="0.35"/>
    <row r="523" s="17" customFormat="1" x14ac:dyDescent="0.35"/>
    <row r="524" s="17" customFormat="1" x14ac:dyDescent="0.35"/>
    <row r="525" s="17" customFormat="1" x14ac:dyDescent="0.35"/>
    <row r="526" s="17" customFormat="1" x14ac:dyDescent="0.35"/>
    <row r="527" s="17" customFormat="1" x14ac:dyDescent="0.35"/>
    <row r="528" s="17" customFormat="1" x14ac:dyDescent="0.35"/>
    <row r="529" s="17" customFormat="1" x14ac:dyDescent="0.35"/>
    <row r="530" s="17" customFormat="1" x14ac:dyDescent="0.35"/>
    <row r="531" s="17" customFormat="1" x14ac:dyDescent="0.35"/>
    <row r="532" s="17" customFormat="1" x14ac:dyDescent="0.35"/>
    <row r="533" s="17" customFormat="1" x14ac:dyDescent="0.35"/>
    <row r="534" s="17" customFormat="1" x14ac:dyDescent="0.35"/>
    <row r="535" s="17" customFormat="1" x14ac:dyDescent="0.35"/>
    <row r="536" s="17" customFormat="1" x14ac:dyDescent="0.35"/>
    <row r="537" s="17" customFormat="1" x14ac:dyDescent="0.35"/>
    <row r="538" s="17" customFormat="1" x14ac:dyDescent="0.35"/>
    <row r="539" s="17" customFormat="1" x14ac:dyDescent="0.35"/>
    <row r="540" s="17" customFormat="1" x14ac:dyDescent="0.35"/>
    <row r="541" s="17" customFormat="1" x14ac:dyDescent="0.35"/>
    <row r="542" s="17" customFormat="1" x14ac:dyDescent="0.35"/>
    <row r="543" s="17" customFormat="1" x14ac:dyDescent="0.35"/>
    <row r="544" s="17" customFormat="1" x14ac:dyDescent="0.35"/>
    <row r="545" s="17" customFormat="1" x14ac:dyDescent="0.35"/>
    <row r="546" s="17" customFormat="1" x14ac:dyDescent="0.35"/>
    <row r="547" s="17" customFormat="1" x14ac:dyDescent="0.35"/>
    <row r="548" s="17" customFormat="1" x14ac:dyDescent="0.35"/>
    <row r="549" s="17" customFormat="1" x14ac:dyDescent="0.35"/>
    <row r="550" s="17" customFormat="1" x14ac:dyDescent="0.35"/>
    <row r="551" s="17" customFormat="1" x14ac:dyDescent="0.35"/>
    <row r="552" s="17" customFormat="1" x14ac:dyDescent="0.35"/>
    <row r="553" s="17" customFormat="1" x14ac:dyDescent="0.35"/>
    <row r="554" s="17" customFormat="1" x14ac:dyDescent="0.35"/>
    <row r="555" s="17" customFormat="1" x14ac:dyDescent="0.35"/>
    <row r="556" s="17" customFormat="1" x14ac:dyDescent="0.35"/>
    <row r="557" s="17" customFormat="1" x14ac:dyDescent="0.35"/>
    <row r="558" s="17" customFormat="1" x14ac:dyDescent="0.35"/>
    <row r="559" s="17" customFormat="1" x14ac:dyDescent="0.35"/>
    <row r="560" s="17" customFormat="1" x14ac:dyDescent="0.35"/>
    <row r="561" s="17" customFormat="1" x14ac:dyDescent="0.35"/>
    <row r="562" s="17" customFormat="1" x14ac:dyDescent="0.35"/>
    <row r="563" s="17" customFormat="1" x14ac:dyDescent="0.35"/>
    <row r="564" s="17" customFormat="1" x14ac:dyDescent="0.35"/>
    <row r="565" s="17" customFormat="1" x14ac:dyDescent="0.35"/>
    <row r="566" s="17" customFormat="1" x14ac:dyDescent="0.35"/>
    <row r="567" s="17" customFormat="1" x14ac:dyDescent="0.35"/>
    <row r="568" s="17" customFormat="1" x14ac:dyDescent="0.35"/>
    <row r="569" s="17" customFormat="1" x14ac:dyDescent="0.35"/>
    <row r="570" s="17" customFormat="1" x14ac:dyDescent="0.35"/>
    <row r="571" s="17" customFormat="1" x14ac:dyDescent="0.35"/>
    <row r="572" s="17" customFormat="1" x14ac:dyDescent="0.35"/>
    <row r="573" s="17" customFormat="1" x14ac:dyDescent="0.35"/>
    <row r="574" s="17" customFormat="1" x14ac:dyDescent="0.35"/>
    <row r="575" s="17" customFormat="1" x14ac:dyDescent="0.35"/>
    <row r="576" s="17" customFormat="1" x14ac:dyDescent="0.35"/>
    <row r="577" s="17" customFormat="1" x14ac:dyDescent="0.35"/>
    <row r="578" s="17" customFormat="1" x14ac:dyDescent="0.35"/>
    <row r="579" s="17" customFormat="1" x14ac:dyDescent="0.35"/>
    <row r="580" s="17" customFormat="1" x14ac:dyDescent="0.35"/>
    <row r="581" s="17" customFormat="1" x14ac:dyDescent="0.35"/>
    <row r="582" s="17" customFormat="1" x14ac:dyDescent="0.35"/>
    <row r="583" s="17" customFormat="1" x14ac:dyDescent="0.35"/>
    <row r="584" s="17" customFormat="1" x14ac:dyDescent="0.35"/>
    <row r="585" s="17" customFormat="1" x14ac:dyDescent="0.35"/>
    <row r="586" s="17" customFormat="1" x14ac:dyDescent="0.35"/>
    <row r="587" s="17" customFormat="1" x14ac:dyDescent="0.35"/>
    <row r="588" s="17" customFormat="1" x14ac:dyDescent="0.35"/>
    <row r="589" s="17" customFormat="1" x14ac:dyDescent="0.35"/>
    <row r="590" s="17" customFormat="1" x14ac:dyDescent="0.35"/>
    <row r="591" s="17" customFormat="1" x14ac:dyDescent="0.35"/>
    <row r="592" s="17" customFormat="1" x14ac:dyDescent="0.35"/>
    <row r="593" s="17" customFormat="1" x14ac:dyDescent="0.35"/>
    <row r="594" s="17" customFormat="1" x14ac:dyDescent="0.35"/>
    <row r="595" s="17" customFormat="1" x14ac:dyDescent="0.35"/>
    <row r="596" s="17" customFormat="1" x14ac:dyDescent="0.35"/>
    <row r="597" s="17" customFormat="1" x14ac:dyDescent="0.35"/>
    <row r="598" s="17" customFormat="1" x14ac:dyDescent="0.35"/>
    <row r="599" s="17" customFormat="1" x14ac:dyDescent="0.35"/>
    <row r="600" s="17" customFormat="1" x14ac:dyDescent="0.35"/>
    <row r="601" s="17" customFormat="1" x14ac:dyDescent="0.35"/>
    <row r="602" s="17" customFormat="1" x14ac:dyDescent="0.35"/>
    <row r="603" s="17" customFormat="1" x14ac:dyDescent="0.35"/>
    <row r="604" s="17" customFormat="1" x14ac:dyDescent="0.35"/>
    <row r="605" s="17" customFormat="1" x14ac:dyDescent="0.35"/>
    <row r="606" s="17" customFormat="1" x14ac:dyDescent="0.35"/>
    <row r="607" s="17" customFormat="1" x14ac:dyDescent="0.35"/>
    <row r="608" s="17" customFormat="1" x14ac:dyDescent="0.35"/>
    <row r="609" s="17" customFormat="1" x14ac:dyDescent="0.35"/>
    <row r="610" s="17" customFormat="1" x14ac:dyDescent="0.35"/>
    <row r="611" s="17" customFormat="1" x14ac:dyDescent="0.35"/>
    <row r="612" s="17" customFormat="1" x14ac:dyDescent="0.35"/>
    <row r="613" s="17" customFormat="1" x14ac:dyDescent="0.35"/>
    <row r="614" s="17" customFormat="1" x14ac:dyDescent="0.35"/>
    <row r="615" s="17" customFormat="1" x14ac:dyDescent="0.35"/>
    <row r="616" s="17" customFormat="1" x14ac:dyDescent="0.35"/>
    <row r="617" s="17" customFormat="1" x14ac:dyDescent="0.35"/>
    <row r="618" s="17" customFormat="1" x14ac:dyDescent="0.35"/>
    <row r="619" s="17" customFormat="1" x14ac:dyDescent="0.35"/>
    <row r="620" s="17" customFormat="1" x14ac:dyDescent="0.35"/>
  </sheetData>
  <conditionalFormatting sqref="B1:B1048576">
    <cfRule type="duplicateValues" dxfId="3" priority="1"/>
    <cfRule type="duplicateValues" dxfId="2" priority="2"/>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DD0C-53E0-4561-896F-0CFCB2E34D81}">
  <dimension ref="A3:H4"/>
  <sheetViews>
    <sheetView tabSelected="1" workbookViewId="0">
      <selection activeCell="D4" sqref="D4"/>
    </sheetView>
  </sheetViews>
  <sheetFormatPr baseColWidth="10" defaultRowHeight="14.5" x14ac:dyDescent="0.35"/>
  <cols>
    <col min="1" max="1" width="19.90625" bestFit="1" customWidth="1"/>
    <col min="2" max="2" width="18.54296875" bestFit="1" customWidth="1"/>
    <col min="3" max="3" width="22.1796875" bestFit="1" customWidth="1"/>
    <col min="4" max="4" width="29.81640625" bestFit="1" customWidth="1"/>
    <col min="5" max="5" width="12.54296875" customWidth="1"/>
  </cols>
  <sheetData>
    <row r="3" spans="1:8" x14ac:dyDescent="0.35">
      <c r="A3" t="s">
        <v>721</v>
      </c>
      <c r="B3" t="s">
        <v>714</v>
      </c>
      <c r="C3" t="s">
        <v>713</v>
      </c>
      <c r="D3" t="s">
        <v>722</v>
      </c>
      <c r="E3" s="7" t="s">
        <v>723</v>
      </c>
      <c r="F3" s="7" t="s">
        <v>724</v>
      </c>
      <c r="G3" t="s">
        <v>736</v>
      </c>
      <c r="H3" t="s">
        <v>735</v>
      </c>
    </row>
    <row r="4" spans="1:8" x14ac:dyDescent="0.35">
      <c r="A4" s="3">
        <v>405875</v>
      </c>
      <c r="B4" s="3">
        <v>351715</v>
      </c>
      <c r="C4" s="3">
        <v>54160</v>
      </c>
      <c r="D4" s="3">
        <v>99724.179839999968</v>
      </c>
      <c r="E4" s="6">
        <f>GETPIVOTDATA("Summe von Oc_Area",$A$3)/GETPIVOTDATA("Summe von Area_sqm",$A$3)*100</f>
        <v>86.655990144748998</v>
      </c>
      <c r="F4" s="6">
        <f>GETPIVOTDATA("Summe von Vacant_Area",$A$3)/GETPIVOTDATA("Summe von Area_sqm",$A$3)*100</f>
        <v>13.344009855251002</v>
      </c>
      <c r="G4" s="19">
        <f ca="1">tblRentRoll[[#Totals],[WeightedTermYears]]/tblRentRoll[[#Totals],[Annual_Rent_EUR]]</f>
        <v>0.34610098047811644</v>
      </c>
      <c r="H4" s="19">
        <f>tblRentRoll[[#Totals],[NOI_pro_UNIT]]/tblRentRoll[[#Totals],[Annual_Rent_EUR]]</f>
        <v>0.98983458633977828</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4AAC-2281-4E16-A9F4-324AF6ED8854}">
  <dimension ref="A1:B11"/>
  <sheetViews>
    <sheetView topLeftCell="A11" workbookViewId="0">
      <selection activeCell="M34" sqref="M34"/>
    </sheetView>
  </sheetViews>
  <sheetFormatPr baseColWidth="10" defaultRowHeight="14.5" x14ac:dyDescent="0.35"/>
  <cols>
    <col min="1" max="1" width="26.54296875" customWidth="1"/>
    <col min="2" max="2" width="18.7265625" customWidth="1"/>
    <col min="3" max="3" width="15.26953125" customWidth="1"/>
  </cols>
  <sheetData>
    <row r="1" spans="1:2" ht="33.5" x14ac:dyDescent="0.75">
      <c r="A1" s="9" t="s">
        <v>725</v>
      </c>
    </row>
    <row r="2" spans="1:2" ht="23.5" x14ac:dyDescent="0.55000000000000004">
      <c r="A2" s="10" t="s">
        <v>726</v>
      </c>
      <c r="B2" s="11">
        <f ca="1">TODAY()</f>
        <v>46093</v>
      </c>
    </row>
    <row r="4" spans="1:2" x14ac:dyDescent="0.35">
      <c r="A4" s="14" t="s">
        <v>727</v>
      </c>
      <c r="B4">
        <v>500</v>
      </c>
    </row>
    <row r="5" spans="1:2" x14ac:dyDescent="0.35">
      <c r="A5" s="14" t="s">
        <v>728</v>
      </c>
      <c r="B5" s="15">
        <f>tblRentRoll[[#Totals],[Area_sqm]]</f>
        <v>405875</v>
      </c>
    </row>
    <row r="6" spans="1:2" x14ac:dyDescent="0.35">
      <c r="A6" s="8" t="s">
        <v>730</v>
      </c>
      <c r="B6" s="12">
        <f>'1_KPIs_Pivot'!E4</f>
        <v>86.655990144748998</v>
      </c>
    </row>
    <row r="7" spans="1:2" x14ac:dyDescent="0.35">
      <c r="A7" s="8" t="s">
        <v>729</v>
      </c>
      <c r="B7" s="8">
        <f>GETPIVOTDATA("Summe von Area_sqm",'1_KPIs_Pivot'!$A$3)</f>
        <v>405875</v>
      </c>
    </row>
    <row r="8" spans="1:2" x14ac:dyDescent="0.35">
      <c r="A8" s="8" t="s">
        <v>731</v>
      </c>
      <c r="B8" s="8">
        <f>tblRentRoll[[#Totals],[Oc_Area]]</f>
        <v>351715</v>
      </c>
    </row>
    <row r="9" spans="1:2" x14ac:dyDescent="0.35">
      <c r="A9" s="8" t="s">
        <v>732</v>
      </c>
      <c r="B9" s="13">
        <f ca="1">tblRentRoll[[#Totals],[WeightedTermYears]]/tblRentRoll[[#Totals],[Annual_Rent_EUR]]</f>
        <v>0.34610098047811644</v>
      </c>
    </row>
    <row r="10" spans="1:2" ht="17" customHeight="1" x14ac:dyDescent="0.35">
      <c r="A10" s="8" t="s">
        <v>733</v>
      </c>
      <c r="B10" s="8">
        <f>GETPIVOTDATA("Summe von Vacant_Area",'1_KPIs_Pivot'!$A$3)</f>
        <v>54160</v>
      </c>
    </row>
    <row r="11" spans="1:2" ht="17" customHeight="1" x14ac:dyDescent="0.35">
      <c r="A11" s="8" t="s">
        <v>735</v>
      </c>
      <c r="B11" s="16">
        <f>tblRentRoll[[#Totals],[NOI_pro_UNIT]]/tblRentRoll[[#Totals],[Annual_Rent_EUR]]</f>
        <v>0.98983458633977828</v>
      </c>
    </row>
  </sheetData>
  <pageMargins left="0.7" right="0.7" top="0.78740157499999996" bottom="0.78740157499999996"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BBF7-A267-41FF-BB89-43109A565840}">
  <dimension ref="A3:B12"/>
  <sheetViews>
    <sheetView topLeftCell="A3" workbookViewId="0">
      <selection activeCell="M34" sqref="M34"/>
    </sheetView>
  </sheetViews>
  <sheetFormatPr baseColWidth="10" defaultRowHeight="14.5" x14ac:dyDescent="0.35"/>
  <cols>
    <col min="1" max="1" width="21.54296875" bestFit="1" customWidth="1"/>
    <col min="2" max="2" width="27" bestFit="1" customWidth="1"/>
  </cols>
  <sheetData>
    <row r="3" spans="1:2" x14ac:dyDescent="0.35">
      <c r="A3" s="4" t="s">
        <v>711</v>
      </c>
      <c r="B3" t="s">
        <v>720</v>
      </c>
    </row>
    <row r="4" spans="1:2" x14ac:dyDescent="0.35">
      <c r="A4" s="5" t="s">
        <v>31</v>
      </c>
      <c r="B4" s="3">
        <v>5166499.08</v>
      </c>
    </row>
    <row r="5" spans="1:2" x14ac:dyDescent="0.35">
      <c r="A5" s="5" t="s">
        <v>21</v>
      </c>
      <c r="B5" s="3">
        <v>5288700.4800000004</v>
      </c>
    </row>
    <row r="6" spans="1:2" x14ac:dyDescent="0.35">
      <c r="A6" s="5" t="s">
        <v>17</v>
      </c>
      <c r="B6" s="3">
        <v>5642157.8399999999</v>
      </c>
    </row>
    <row r="7" spans="1:2" x14ac:dyDescent="0.35">
      <c r="A7" s="5" t="s">
        <v>44</v>
      </c>
      <c r="B7" s="3">
        <v>6188352.5999999996</v>
      </c>
    </row>
    <row r="8" spans="1:2" x14ac:dyDescent="0.35">
      <c r="A8" s="5" t="s">
        <v>27</v>
      </c>
      <c r="B8" s="3">
        <v>6450223.8000000007</v>
      </c>
    </row>
    <row r="9" spans="1:2" x14ac:dyDescent="0.35">
      <c r="A9" s="5" t="s">
        <v>12</v>
      </c>
      <c r="B9" s="3">
        <v>6673342.6800000006</v>
      </c>
    </row>
    <row r="10" spans="1:2" x14ac:dyDescent="0.35">
      <c r="A10" s="5" t="s">
        <v>56</v>
      </c>
      <c r="B10" s="3">
        <v>6813046.080000001</v>
      </c>
    </row>
    <row r="11" spans="1:2" x14ac:dyDescent="0.35">
      <c r="A11" s="5" t="s">
        <v>24</v>
      </c>
      <c r="B11" s="3">
        <v>7639767.3600000003</v>
      </c>
    </row>
    <row r="12" spans="1:2" x14ac:dyDescent="0.35">
      <c r="A12" s="5" t="s">
        <v>712</v>
      </c>
      <c r="B12" s="3">
        <v>49862089.920000002</v>
      </c>
    </row>
  </sheetData>
  <pageMargins left="0.7" right="0.7" top="0.78740157499999996" bottom="0.78740157499999996"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CA1F-20A9-4795-8F8D-75704CBE4C32}">
  <dimension ref="A3:C12"/>
  <sheetViews>
    <sheetView workbookViewId="0">
      <selection activeCell="B37" sqref="B37"/>
    </sheetView>
  </sheetViews>
  <sheetFormatPr baseColWidth="10" defaultRowHeight="14.5" x14ac:dyDescent="0.35"/>
  <cols>
    <col min="1" max="1" width="21.54296875" bestFit="1" customWidth="1"/>
    <col min="2" max="2" width="18.54296875" bestFit="1" customWidth="1"/>
    <col min="3" max="3" width="22.1796875" bestFit="1" customWidth="1"/>
  </cols>
  <sheetData>
    <row r="3" spans="1:3" x14ac:dyDescent="0.35">
      <c r="A3" s="4" t="s">
        <v>711</v>
      </c>
      <c r="B3" t="s">
        <v>714</v>
      </c>
      <c r="C3" t="s">
        <v>713</v>
      </c>
    </row>
    <row r="4" spans="1:3" x14ac:dyDescent="0.35">
      <c r="A4" s="5" t="s">
        <v>17</v>
      </c>
      <c r="B4" s="3">
        <v>41682</v>
      </c>
      <c r="C4" s="3">
        <v>7042</v>
      </c>
    </row>
    <row r="5" spans="1:3" x14ac:dyDescent="0.35">
      <c r="A5" s="5" t="s">
        <v>27</v>
      </c>
      <c r="B5" s="3">
        <v>45225</v>
      </c>
      <c r="C5" s="3">
        <v>7951</v>
      </c>
    </row>
    <row r="6" spans="1:3" x14ac:dyDescent="0.35">
      <c r="A6" s="5" t="s">
        <v>12</v>
      </c>
      <c r="B6" s="3">
        <v>46077</v>
      </c>
      <c r="C6" s="3">
        <v>3351</v>
      </c>
    </row>
    <row r="7" spans="1:3" x14ac:dyDescent="0.35">
      <c r="A7" s="5" t="s">
        <v>31</v>
      </c>
      <c r="B7" s="3">
        <v>39171</v>
      </c>
      <c r="C7" s="3">
        <v>3218</v>
      </c>
    </row>
    <row r="8" spans="1:3" x14ac:dyDescent="0.35">
      <c r="A8" s="5" t="s">
        <v>24</v>
      </c>
      <c r="B8" s="3">
        <v>53199</v>
      </c>
      <c r="C8" s="3">
        <v>5780</v>
      </c>
    </row>
    <row r="9" spans="1:3" x14ac:dyDescent="0.35">
      <c r="A9" s="5" t="s">
        <v>44</v>
      </c>
      <c r="B9" s="3">
        <v>42480</v>
      </c>
      <c r="C9" s="3">
        <v>6875</v>
      </c>
    </row>
    <row r="10" spans="1:3" x14ac:dyDescent="0.35">
      <c r="A10" s="5" t="s">
        <v>21</v>
      </c>
      <c r="B10" s="3">
        <v>37393</v>
      </c>
      <c r="C10" s="3">
        <v>9903</v>
      </c>
    </row>
    <row r="11" spans="1:3" x14ac:dyDescent="0.35">
      <c r="A11" s="5" t="s">
        <v>56</v>
      </c>
      <c r="B11" s="3">
        <v>46488</v>
      </c>
      <c r="C11" s="3">
        <v>10040</v>
      </c>
    </row>
    <row r="12" spans="1:3" x14ac:dyDescent="0.35">
      <c r="A12" s="5" t="s">
        <v>712</v>
      </c>
      <c r="B12" s="3">
        <v>351715</v>
      </c>
      <c r="C12" s="3">
        <v>54160</v>
      </c>
    </row>
  </sheetData>
  <pageMargins left="0.7" right="0.7" top="0.78740157499999996" bottom="0.78740157499999996"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071D-CE61-43AF-ADE1-646397120242}">
  <dimension ref="A3:B8"/>
  <sheetViews>
    <sheetView workbookViewId="0">
      <selection activeCell="B33" sqref="B33"/>
    </sheetView>
  </sheetViews>
  <sheetFormatPr baseColWidth="10" defaultRowHeight="14.5" x14ac:dyDescent="0.35"/>
  <cols>
    <col min="1" max="1" width="21.54296875" bestFit="1" customWidth="1"/>
    <col min="2" max="2" width="27" bestFit="1" customWidth="1"/>
  </cols>
  <sheetData>
    <row r="3" spans="1:2" x14ac:dyDescent="0.35">
      <c r="A3" s="4" t="s">
        <v>711</v>
      </c>
      <c r="B3" t="s">
        <v>720</v>
      </c>
    </row>
    <row r="4" spans="1:2" x14ac:dyDescent="0.35">
      <c r="A4" s="5" t="s">
        <v>715</v>
      </c>
      <c r="B4" s="3">
        <v>35424316.559999987</v>
      </c>
    </row>
    <row r="5" spans="1:2" x14ac:dyDescent="0.35">
      <c r="A5" s="5" t="s">
        <v>716</v>
      </c>
      <c r="B5" s="3">
        <v>7918529.5200000005</v>
      </c>
    </row>
    <row r="6" spans="1:2" x14ac:dyDescent="0.35">
      <c r="A6" s="5" t="s">
        <v>717</v>
      </c>
      <c r="B6" s="3">
        <v>2651933.4000000004</v>
      </c>
    </row>
    <row r="7" spans="1:2" x14ac:dyDescent="0.35">
      <c r="A7" s="5" t="s">
        <v>718</v>
      </c>
      <c r="B7" s="3">
        <v>3867310.44</v>
      </c>
    </row>
    <row r="8" spans="1:2" x14ac:dyDescent="0.35">
      <c r="A8" s="5" t="s">
        <v>712</v>
      </c>
      <c r="B8" s="3">
        <v>49862089.919999987</v>
      </c>
    </row>
  </sheetData>
  <pageMargins left="0.7" right="0.7" top="0.78740157499999996" bottom="0.78740157499999996"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BE1D-6D03-4CD0-8263-1EB92DBA9286}">
  <dimension ref="A3:B177"/>
  <sheetViews>
    <sheetView workbookViewId="0">
      <selection activeCell="F29" sqref="F29"/>
    </sheetView>
  </sheetViews>
  <sheetFormatPr baseColWidth="10" defaultRowHeight="14.5" x14ac:dyDescent="0.35"/>
  <cols>
    <col min="1" max="1" width="21.54296875" bestFit="1" customWidth="1"/>
    <col min="2" max="2" width="27" bestFit="1" customWidth="1"/>
  </cols>
  <sheetData>
    <row r="3" spans="1:2" x14ac:dyDescent="0.35">
      <c r="A3" s="4" t="s">
        <v>711</v>
      </c>
      <c r="B3" t="s">
        <v>720</v>
      </c>
    </row>
    <row r="4" spans="1:2" x14ac:dyDescent="0.35">
      <c r="A4" s="5" t="s">
        <v>175</v>
      </c>
      <c r="B4" s="3">
        <v>276937.68000000005</v>
      </c>
    </row>
    <row r="5" spans="1:2" x14ac:dyDescent="0.35">
      <c r="A5" s="5" t="s">
        <v>591</v>
      </c>
      <c r="B5" s="3">
        <v>63946.2</v>
      </c>
    </row>
    <row r="6" spans="1:2" x14ac:dyDescent="0.35">
      <c r="A6" s="5" t="s">
        <v>104</v>
      </c>
      <c r="B6" s="3">
        <v>375045.48000000004</v>
      </c>
    </row>
    <row r="7" spans="1:2" x14ac:dyDescent="0.35">
      <c r="A7" s="5" t="s">
        <v>407</v>
      </c>
      <c r="B7" s="3">
        <v>114977.76</v>
      </c>
    </row>
    <row r="8" spans="1:2" x14ac:dyDescent="0.35">
      <c r="A8" s="5" t="s">
        <v>199</v>
      </c>
      <c r="B8" s="3">
        <v>799816.44</v>
      </c>
    </row>
    <row r="9" spans="1:2" x14ac:dyDescent="0.35">
      <c r="A9" s="5" t="s">
        <v>108</v>
      </c>
      <c r="B9" s="3">
        <v>503774.16000000003</v>
      </c>
    </row>
    <row r="10" spans="1:2" x14ac:dyDescent="0.35">
      <c r="A10" s="5" t="s">
        <v>509</v>
      </c>
      <c r="B10" s="3">
        <v>298790.39999999997</v>
      </c>
    </row>
    <row r="11" spans="1:2" x14ac:dyDescent="0.35">
      <c r="A11" s="5" t="s">
        <v>441</v>
      </c>
      <c r="B11" s="3">
        <v>102273.36</v>
      </c>
    </row>
    <row r="12" spans="1:2" x14ac:dyDescent="0.35">
      <c r="A12" s="5" t="s">
        <v>681</v>
      </c>
      <c r="B12" s="3">
        <v>56184.72</v>
      </c>
    </row>
    <row r="13" spans="1:2" hidden="1" x14ac:dyDescent="0.35">
      <c r="A13" s="5" t="s">
        <v>298</v>
      </c>
      <c r="B13" s="3">
        <v>284151</v>
      </c>
    </row>
    <row r="14" spans="1:2" x14ac:dyDescent="0.35">
      <c r="A14" s="5" t="s">
        <v>511</v>
      </c>
      <c r="B14" s="3">
        <v>101735.03999999999</v>
      </c>
    </row>
    <row r="15" spans="1:2" x14ac:dyDescent="0.35">
      <c r="A15" s="5" t="s">
        <v>458</v>
      </c>
      <c r="B15" s="3">
        <v>229121.28</v>
      </c>
    </row>
    <row r="16" spans="1:2" x14ac:dyDescent="0.35">
      <c r="A16" s="5" t="s">
        <v>338</v>
      </c>
      <c r="B16" s="3">
        <v>333142.19999999995</v>
      </c>
    </row>
    <row r="17" spans="1:2" x14ac:dyDescent="0.35">
      <c r="A17" s="5" t="s">
        <v>192</v>
      </c>
      <c r="B17" s="3">
        <v>575257.67999999993</v>
      </c>
    </row>
    <row r="18" spans="1:2" x14ac:dyDescent="0.35">
      <c r="A18" s="5" t="s">
        <v>126</v>
      </c>
      <c r="B18" s="3">
        <v>653600.52</v>
      </c>
    </row>
    <row r="19" spans="1:2" x14ac:dyDescent="0.35">
      <c r="A19" s="5" t="s">
        <v>345</v>
      </c>
      <c r="B19" s="3">
        <v>234191.52000000002</v>
      </c>
    </row>
    <row r="20" spans="1:2" x14ac:dyDescent="0.35">
      <c r="A20" s="5" t="s">
        <v>194</v>
      </c>
      <c r="B20" s="3">
        <v>440510.64</v>
      </c>
    </row>
    <row r="21" spans="1:2" x14ac:dyDescent="0.35">
      <c r="A21" s="5" t="s">
        <v>114</v>
      </c>
      <c r="B21" s="3">
        <v>383551.8</v>
      </c>
    </row>
    <row r="22" spans="1:2" x14ac:dyDescent="0.35">
      <c r="A22" s="5" t="s">
        <v>247</v>
      </c>
      <c r="B22" s="3">
        <v>35740.080000000002</v>
      </c>
    </row>
    <row r="23" spans="1:2" x14ac:dyDescent="0.35">
      <c r="A23" s="5" t="s">
        <v>37</v>
      </c>
      <c r="B23" s="3">
        <v>474946.44000000006</v>
      </c>
    </row>
    <row r="24" spans="1:2" x14ac:dyDescent="0.35">
      <c r="A24" s="5" t="s">
        <v>532</v>
      </c>
      <c r="B24" s="3">
        <v>148946.64000000001</v>
      </c>
    </row>
    <row r="25" spans="1:2" x14ac:dyDescent="0.35">
      <c r="A25" s="5" t="s">
        <v>128</v>
      </c>
      <c r="B25" s="3">
        <v>656372.28</v>
      </c>
    </row>
    <row r="26" spans="1:2" x14ac:dyDescent="0.35">
      <c r="A26" s="5" t="s">
        <v>235</v>
      </c>
      <c r="B26" s="3">
        <v>283488.24</v>
      </c>
    </row>
    <row r="27" spans="1:2" x14ac:dyDescent="0.35">
      <c r="A27" s="5" t="s">
        <v>374</v>
      </c>
      <c r="B27" s="3">
        <v>271760.16000000003</v>
      </c>
    </row>
    <row r="28" spans="1:2" x14ac:dyDescent="0.35">
      <c r="A28" s="5" t="s">
        <v>556</v>
      </c>
      <c r="B28" s="3">
        <v>30111.84</v>
      </c>
    </row>
    <row r="29" spans="1:2" x14ac:dyDescent="0.35">
      <c r="A29" s="5" t="s">
        <v>614</v>
      </c>
      <c r="B29" s="3">
        <v>300984.24</v>
      </c>
    </row>
    <row r="30" spans="1:2" x14ac:dyDescent="0.35">
      <c r="A30" s="5" t="s">
        <v>329</v>
      </c>
      <c r="B30" s="3">
        <v>181107</v>
      </c>
    </row>
    <row r="31" spans="1:2" x14ac:dyDescent="0.35">
      <c r="A31" s="5" t="s">
        <v>23</v>
      </c>
      <c r="B31" s="3">
        <v>297875.03999999998</v>
      </c>
    </row>
    <row r="32" spans="1:2" x14ac:dyDescent="0.35">
      <c r="A32" s="5" t="s">
        <v>545</v>
      </c>
      <c r="B32" s="3">
        <v>360428.64</v>
      </c>
    </row>
    <row r="33" spans="1:2" x14ac:dyDescent="0.35">
      <c r="A33" s="5" t="s">
        <v>48</v>
      </c>
      <c r="B33" s="3">
        <v>66594.959999999992</v>
      </c>
    </row>
    <row r="34" spans="1:2" x14ac:dyDescent="0.35">
      <c r="A34" s="5" t="s">
        <v>587</v>
      </c>
      <c r="B34" s="3">
        <v>402748.43999999994</v>
      </c>
    </row>
    <row r="35" spans="1:2" x14ac:dyDescent="0.35">
      <c r="A35" s="5" t="s">
        <v>688</v>
      </c>
      <c r="B35" s="3">
        <v>241932.12</v>
      </c>
    </row>
    <row r="36" spans="1:2" x14ac:dyDescent="0.35">
      <c r="A36" s="5" t="s">
        <v>119</v>
      </c>
      <c r="B36" s="3">
        <v>136866.23999999999</v>
      </c>
    </row>
    <row r="37" spans="1:2" x14ac:dyDescent="0.35">
      <c r="A37" s="5" t="s">
        <v>300</v>
      </c>
      <c r="B37" s="3">
        <v>490984.44000000006</v>
      </c>
    </row>
    <row r="38" spans="1:2" x14ac:dyDescent="0.35">
      <c r="A38" s="5" t="s">
        <v>177</v>
      </c>
      <c r="B38" s="3">
        <v>560127</v>
      </c>
    </row>
    <row r="39" spans="1:2" x14ac:dyDescent="0.35">
      <c r="A39" s="5" t="s">
        <v>52</v>
      </c>
      <c r="B39" s="3">
        <v>255130.68</v>
      </c>
    </row>
    <row r="40" spans="1:2" x14ac:dyDescent="0.35">
      <c r="A40" s="5" t="s">
        <v>158</v>
      </c>
      <c r="B40" s="3">
        <v>273571.92000000004</v>
      </c>
    </row>
    <row r="41" spans="1:2" x14ac:dyDescent="0.35">
      <c r="A41" s="5" t="s">
        <v>82</v>
      </c>
      <c r="B41" s="3">
        <v>200945.28</v>
      </c>
    </row>
    <row r="42" spans="1:2" x14ac:dyDescent="0.35">
      <c r="A42" s="5" t="s">
        <v>185</v>
      </c>
      <c r="B42" s="3">
        <v>178269.6</v>
      </c>
    </row>
    <row r="43" spans="1:2" x14ac:dyDescent="0.35">
      <c r="A43" s="5" t="s">
        <v>80</v>
      </c>
      <c r="B43" s="3">
        <v>452571.72</v>
      </c>
    </row>
    <row r="44" spans="1:2" x14ac:dyDescent="0.35">
      <c r="A44" s="5" t="s">
        <v>59</v>
      </c>
      <c r="B44" s="3">
        <v>284031.35999999999</v>
      </c>
    </row>
    <row r="45" spans="1:2" x14ac:dyDescent="0.35">
      <c r="A45" s="5" t="s">
        <v>632</v>
      </c>
      <c r="B45" s="3">
        <v>29304</v>
      </c>
    </row>
    <row r="46" spans="1:2" x14ac:dyDescent="0.35">
      <c r="A46" s="5" t="s">
        <v>499</v>
      </c>
      <c r="B46" s="3">
        <v>350429.04000000004</v>
      </c>
    </row>
    <row r="47" spans="1:2" x14ac:dyDescent="0.35">
      <c r="A47" s="5" t="s">
        <v>61</v>
      </c>
      <c r="B47" s="3">
        <v>348510.12</v>
      </c>
    </row>
    <row r="48" spans="1:2" x14ac:dyDescent="0.35">
      <c r="A48" s="5" t="s">
        <v>74</v>
      </c>
      <c r="B48" s="3">
        <v>730057.44000000006</v>
      </c>
    </row>
    <row r="49" spans="1:2" x14ac:dyDescent="0.35">
      <c r="A49" s="5" t="s">
        <v>43</v>
      </c>
      <c r="B49" s="3">
        <v>356401.07999999996</v>
      </c>
    </row>
    <row r="50" spans="1:2" x14ac:dyDescent="0.35">
      <c r="A50" s="5" t="s">
        <v>46</v>
      </c>
      <c r="B50" s="3">
        <v>317994.96000000002</v>
      </c>
    </row>
    <row r="51" spans="1:2" x14ac:dyDescent="0.35">
      <c r="A51" s="5" t="s">
        <v>323</v>
      </c>
      <c r="B51" s="3">
        <v>419309.16000000003</v>
      </c>
    </row>
    <row r="52" spans="1:2" x14ac:dyDescent="0.35">
      <c r="A52" s="5" t="s">
        <v>88</v>
      </c>
      <c r="B52" s="3">
        <v>478562.04000000004</v>
      </c>
    </row>
    <row r="53" spans="1:2" x14ac:dyDescent="0.35">
      <c r="A53" s="5" t="s">
        <v>148</v>
      </c>
      <c r="B53" s="3">
        <v>247956.84</v>
      </c>
    </row>
    <row r="54" spans="1:2" x14ac:dyDescent="0.35">
      <c r="A54" s="5" t="s">
        <v>677</v>
      </c>
      <c r="B54" s="3">
        <v>205471.8</v>
      </c>
    </row>
    <row r="55" spans="1:2" x14ac:dyDescent="0.35">
      <c r="A55" s="5" t="s">
        <v>70</v>
      </c>
      <c r="B55" s="3">
        <v>301511.40000000002</v>
      </c>
    </row>
    <row r="56" spans="1:2" x14ac:dyDescent="0.35">
      <c r="A56" s="5" t="s">
        <v>417</v>
      </c>
      <c r="B56" s="3">
        <v>215812.68</v>
      </c>
    </row>
    <row r="57" spans="1:2" x14ac:dyDescent="0.35">
      <c r="A57" s="5" t="s">
        <v>164</v>
      </c>
      <c r="B57" s="3">
        <v>769584.4800000001</v>
      </c>
    </row>
    <row r="58" spans="1:2" x14ac:dyDescent="0.35">
      <c r="A58" s="5" t="s">
        <v>399</v>
      </c>
      <c r="B58" s="3">
        <v>62321.760000000002</v>
      </c>
    </row>
    <row r="59" spans="1:2" x14ac:dyDescent="0.35">
      <c r="A59" s="5" t="s">
        <v>331</v>
      </c>
      <c r="B59" s="3">
        <v>142409.76</v>
      </c>
    </row>
    <row r="60" spans="1:2" x14ac:dyDescent="0.35">
      <c r="A60" s="5" t="s">
        <v>645</v>
      </c>
      <c r="B60" s="3">
        <v>49135.8</v>
      </c>
    </row>
    <row r="61" spans="1:2" x14ac:dyDescent="0.35">
      <c r="A61" s="5" t="s">
        <v>84</v>
      </c>
      <c r="B61" s="3">
        <v>171088.2</v>
      </c>
    </row>
    <row r="62" spans="1:2" x14ac:dyDescent="0.35">
      <c r="A62" s="5" t="s">
        <v>237</v>
      </c>
      <c r="B62" s="3">
        <v>300178.8</v>
      </c>
    </row>
    <row r="63" spans="1:2" x14ac:dyDescent="0.35">
      <c r="A63" s="5" t="s">
        <v>153</v>
      </c>
      <c r="B63" s="3">
        <v>278211.95999999996</v>
      </c>
    </row>
    <row r="64" spans="1:2" x14ac:dyDescent="0.35">
      <c r="A64" s="5" t="s">
        <v>117</v>
      </c>
      <c r="B64" s="3">
        <v>91071.24</v>
      </c>
    </row>
    <row r="65" spans="1:2" x14ac:dyDescent="0.35">
      <c r="A65" s="5" t="s">
        <v>315</v>
      </c>
      <c r="B65" s="3">
        <v>230718.36</v>
      </c>
    </row>
    <row r="66" spans="1:2" x14ac:dyDescent="0.35">
      <c r="A66" s="5" t="s">
        <v>54</v>
      </c>
      <c r="B66" s="3">
        <v>248250.12</v>
      </c>
    </row>
    <row r="67" spans="1:2" x14ac:dyDescent="0.35">
      <c r="A67" s="5" t="s">
        <v>284</v>
      </c>
      <c r="B67" s="3">
        <v>229790.88</v>
      </c>
    </row>
    <row r="68" spans="1:2" x14ac:dyDescent="0.35">
      <c r="A68" s="5" t="s">
        <v>249</v>
      </c>
      <c r="B68" s="3">
        <v>463443.24</v>
      </c>
    </row>
    <row r="69" spans="1:2" x14ac:dyDescent="0.35">
      <c r="A69" s="5" t="s">
        <v>156</v>
      </c>
      <c r="B69" s="3">
        <v>168531.48</v>
      </c>
    </row>
    <row r="70" spans="1:2" x14ac:dyDescent="0.35">
      <c r="A70" s="5" t="s">
        <v>254</v>
      </c>
      <c r="B70" s="3">
        <v>126054.24</v>
      </c>
    </row>
    <row r="71" spans="1:2" x14ac:dyDescent="0.35">
      <c r="A71" s="5" t="s">
        <v>461</v>
      </c>
      <c r="B71" s="3">
        <v>144044.52000000002</v>
      </c>
    </row>
    <row r="72" spans="1:2" x14ac:dyDescent="0.35">
      <c r="A72" s="5" t="s">
        <v>208</v>
      </c>
      <c r="B72" s="3">
        <v>83071.679999999993</v>
      </c>
    </row>
    <row r="73" spans="1:2" x14ac:dyDescent="0.35">
      <c r="A73" s="5" t="s">
        <v>571</v>
      </c>
      <c r="B73" s="3">
        <v>17483.28</v>
      </c>
    </row>
    <row r="74" spans="1:2" x14ac:dyDescent="0.35">
      <c r="A74" s="5" t="s">
        <v>452</v>
      </c>
      <c r="B74" s="3">
        <v>313644.12</v>
      </c>
    </row>
    <row r="75" spans="1:2" x14ac:dyDescent="0.35">
      <c r="A75" s="5" t="s">
        <v>233</v>
      </c>
      <c r="B75" s="3">
        <v>576256.31999999995</v>
      </c>
    </row>
    <row r="76" spans="1:2" x14ac:dyDescent="0.35">
      <c r="A76" s="5" t="s">
        <v>319</v>
      </c>
      <c r="B76" s="3">
        <v>327855</v>
      </c>
    </row>
    <row r="77" spans="1:2" x14ac:dyDescent="0.35">
      <c r="A77" s="5" t="s">
        <v>98</v>
      </c>
      <c r="B77" s="3">
        <v>361607.64</v>
      </c>
    </row>
    <row r="78" spans="1:2" x14ac:dyDescent="0.35">
      <c r="A78" s="5" t="s">
        <v>132</v>
      </c>
      <c r="B78" s="3">
        <v>579444.12</v>
      </c>
    </row>
    <row r="79" spans="1:2" x14ac:dyDescent="0.35">
      <c r="A79" s="5" t="s">
        <v>623</v>
      </c>
      <c r="B79" s="3">
        <v>42316.44</v>
      </c>
    </row>
    <row r="80" spans="1:2" x14ac:dyDescent="0.35">
      <c r="A80" s="5" t="s">
        <v>403</v>
      </c>
      <c r="B80" s="3">
        <v>246322.2</v>
      </c>
    </row>
    <row r="81" spans="1:2" x14ac:dyDescent="0.35">
      <c r="A81" s="5" t="s">
        <v>144</v>
      </c>
      <c r="B81" s="3">
        <v>92340.84</v>
      </c>
    </row>
    <row r="82" spans="1:2" x14ac:dyDescent="0.35">
      <c r="A82" s="5" t="s">
        <v>387</v>
      </c>
      <c r="B82" s="3">
        <v>321956.52</v>
      </c>
    </row>
    <row r="83" spans="1:2" x14ac:dyDescent="0.35">
      <c r="A83" s="5" t="s">
        <v>490</v>
      </c>
      <c r="B83" s="3">
        <v>205278</v>
      </c>
    </row>
    <row r="84" spans="1:2" x14ac:dyDescent="0.35">
      <c r="A84" s="5" t="s">
        <v>251</v>
      </c>
      <c r="B84" s="3">
        <v>83599.679999999993</v>
      </c>
    </row>
    <row r="85" spans="1:2" x14ac:dyDescent="0.35">
      <c r="A85" s="5" t="s">
        <v>448</v>
      </c>
      <c r="B85" s="3">
        <v>94221.84</v>
      </c>
    </row>
    <row r="86" spans="1:2" x14ac:dyDescent="0.35">
      <c r="A86" s="5" t="s">
        <v>609</v>
      </c>
      <c r="B86" s="3">
        <v>11000.52</v>
      </c>
    </row>
    <row r="87" spans="1:2" x14ac:dyDescent="0.35">
      <c r="A87" s="5" t="s">
        <v>215</v>
      </c>
      <c r="B87" s="3">
        <v>397016.04000000004</v>
      </c>
    </row>
    <row r="88" spans="1:2" x14ac:dyDescent="0.35">
      <c r="A88" s="5" t="s">
        <v>605</v>
      </c>
      <c r="B88" s="3">
        <v>44737.440000000002</v>
      </c>
    </row>
    <row r="89" spans="1:2" x14ac:dyDescent="0.35">
      <c r="A89" s="5" t="s">
        <v>90</v>
      </c>
      <c r="B89" s="3">
        <v>211722.96000000002</v>
      </c>
    </row>
    <row r="90" spans="1:2" x14ac:dyDescent="0.35">
      <c r="A90" s="5" t="s">
        <v>78</v>
      </c>
      <c r="B90" s="3">
        <v>887019.4800000001</v>
      </c>
    </row>
    <row r="91" spans="1:2" x14ac:dyDescent="0.35">
      <c r="A91" s="5" t="s">
        <v>231</v>
      </c>
      <c r="B91" s="3">
        <v>314082</v>
      </c>
    </row>
    <row r="92" spans="1:2" x14ac:dyDescent="0.35">
      <c r="A92" s="5" t="s">
        <v>221</v>
      </c>
      <c r="B92" s="3">
        <v>132399.47999999998</v>
      </c>
    </row>
    <row r="93" spans="1:2" x14ac:dyDescent="0.35">
      <c r="A93" s="5" t="s">
        <v>436</v>
      </c>
      <c r="B93" s="3">
        <v>246380.04</v>
      </c>
    </row>
    <row r="94" spans="1:2" x14ac:dyDescent="0.35">
      <c r="A94" s="5" t="s">
        <v>273</v>
      </c>
      <c r="B94" s="3">
        <v>733311.72</v>
      </c>
    </row>
    <row r="95" spans="1:2" x14ac:dyDescent="0.35">
      <c r="A95" s="5" t="s">
        <v>561</v>
      </c>
      <c r="B95" s="3">
        <v>190890.96</v>
      </c>
    </row>
    <row r="96" spans="1:2" x14ac:dyDescent="0.35">
      <c r="A96" s="5" t="s">
        <v>146</v>
      </c>
      <c r="B96" s="3">
        <v>408022.2</v>
      </c>
    </row>
    <row r="97" spans="1:2" x14ac:dyDescent="0.35">
      <c r="A97" s="5" t="s">
        <v>210</v>
      </c>
      <c r="B97" s="3">
        <v>214645.44</v>
      </c>
    </row>
    <row r="98" spans="1:2" x14ac:dyDescent="0.35">
      <c r="A98" s="5" t="s">
        <v>160</v>
      </c>
      <c r="B98" s="3">
        <v>476098.56000000006</v>
      </c>
    </row>
    <row r="99" spans="1:2" x14ac:dyDescent="0.35">
      <c r="A99" s="5" t="s">
        <v>472</v>
      </c>
      <c r="B99" s="3">
        <v>301850.64</v>
      </c>
    </row>
    <row r="100" spans="1:2" x14ac:dyDescent="0.35">
      <c r="A100" s="5" t="s">
        <v>100</v>
      </c>
      <c r="B100" s="3">
        <v>572378.76</v>
      </c>
    </row>
    <row r="101" spans="1:2" x14ac:dyDescent="0.35">
      <c r="A101" s="5" t="s">
        <v>169</v>
      </c>
      <c r="B101" s="3">
        <v>650827.07999999996</v>
      </c>
    </row>
    <row r="102" spans="1:2" x14ac:dyDescent="0.35">
      <c r="A102" s="5" t="s">
        <v>219</v>
      </c>
      <c r="B102" s="3">
        <v>168730.91999999998</v>
      </c>
    </row>
    <row r="103" spans="1:2" x14ac:dyDescent="0.35">
      <c r="A103" s="5" t="s">
        <v>276</v>
      </c>
      <c r="B103" s="3">
        <v>274767.12</v>
      </c>
    </row>
    <row r="104" spans="1:2" x14ac:dyDescent="0.35">
      <c r="A104" s="5" t="s">
        <v>612</v>
      </c>
      <c r="B104" s="3">
        <v>145128.95999999999</v>
      </c>
    </row>
    <row r="105" spans="1:2" x14ac:dyDescent="0.35">
      <c r="A105" s="5" t="s">
        <v>362</v>
      </c>
      <c r="B105" s="3">
        <v>239202.6</v>
      </c>
    </row>
    <row r="106" spans="1:2" x14ac:dyDescent="0.35">
      <c r="A106" s="5" t="s">
        <v>139</v>
      </c>
      <c r="B106" s="3">
        <v>373539.12</v>
      </c>
    </row>
    <row r="107" spans="1:2" x14ac:dyDescent="0.35">
      <c r="A107" s="5" t="s">
        <v>35</v>
      </c>
      <c r="B107" s="3">
        <v>459628.79999999999</v>
      </c>
    </row>
    <row r="108" spans="1:2" x14ac:dyDescent="0.35">
      <c r="A108" s="5" t="s">
        <v>360</v>
      </c>
      <c r="B108" s="3">
        <v>259522.44000000003</v>
      </c>
    </row>
    <row r="109" spans="1:2" x14ac:dyDescent="0.35">
      <c r="A109" s="5" t="s">
        <v>317</v>
      </c>
      <c r="B109" s="3">
        <v>807889.91999999993</v>
      </c>
    </row>
    <row r="110" spans="1:2" x14ac:dyDescent="0.35">
      <c r="A110" s="5" t="s">
        <v>26</v>
      </c>
      <c r="B110" s="3">
        <v>408705</v>
      </c>
    </row>
    <row r="111" spans="1:2" x14ac:dyDescent="0.35">
      <c r="A111" s="5" t="s">
        <v>204</v>
      </c>
      <c r="B111" s="3">
        <v>11730.12</v>
      </c>
    </row>
    <row r="112" spans="1:2" x14ac:dyDescent="0.35">
      <c r="A112" s="5" t="s">
        <v>179</v>
      </c>
      <c r="B112" s="3">
        <v>71526.239999999991</v>
      </c>
    </row>
    <row r="113" spans="1:2" x14ac:dyDescent="0.35">
      <c r="A113" s="5" t="s">
        <v>268</v>
      </c>
      <c r="B113" s="3">
        <v>297327.12</v>
      </c>
    </row>
    <row r="114" spans="1:2" x14ac:dyDescent="0.35">
      <c r="A114" s="5" t="s">
        <v>64</v>
      </c>
      <c r="B114" s="3">
        <v>464642.28</v>
      </c>
    </row>
    <row r="115" spans="1:2" x14ac:dyDescent="0.35">
      <c r="A115" s="5" t="s">
        <v>30</v>
      </c>
      <c r="B115" s="3">
        <v>124317</v>
      </c>
    </row>
    <row r="116" spans="1:2" x14ac:dyDescent="0.35">
      <c r="A116" s="5" t="s">
        <v>182</v>
      </c>
      <c r="B116" s="3">
        <v>57991.08</v>
      </c>
    </row>
    <row r="117" spans="1:2" x14ac:dyDescent="0.35">
      <c r="A117" s="5" t="s">
        <v>495</v>
      </c>
      <c r="B117" s="3">
        <v>308560.08</v>
      </c>
    </row>
    <row r="118" spans="1:2" x14ac:dyDescent="0.35">
      <c r="A118" s="5" t="s">
        <v>76</v>
      </c>
      <c r="B118" s="3">
        <v>722270.4</v>
      </c>
    </row>
    <row r="119" spans="1:2" x14ac:dyDescent="0.35">
      <c r="A119" s="5" t="s">
        <v>309</v>
      </c>
      <c r="B119" s="3">
        <v>19471.439999999999</v>
      </c>
    </row>
    <row r="120" spans="1:2" x14ac:dyDescent="0.35">
      <c r="A120" s="5" t="s">
        <v>102</v>
      </c>
      <c r="B120" s="3">
        <v>187063.8</v>
      </c>
    </row>
    <row r="121" spans="1:2" x14ac:dyDescent="0.35">
      <c r="A121" s="5" t="s">
        <v>421</v>
      </c>
      <c r="B121" s="3">
        <v>168570.12</v>
      </c>
    </row>
    <row r="122" spans="1:2" x14ac:dyDescent="0.35">
      <c r="A122" s="5" t="s">
        <v>294</v>
      </c>
      <c r="B122" s="3">
        <v>148143.72</v>
      </c>
    </row>
    <row r="123" spans="1:2" x14ac:dyDescent="0.35">
      <c r="A123" s="5" t="s">
        <v>134</v>
      </c>
      <c r="B123" s="3">
        <v>342504.6</v>
      </c>
    </row>
    <row r="124" spans="1:2" x14ac:dyDescent="0.35">
      <c r="A124" s="5" t="s">
        <v>224</v>
      </c>
      <c r="B124" s="3">
        <v>100992.72</v>
      </c>
    </row>
    <row r="125" spans="1:2" x14ac:dyDescent="0.35">
      <c r="A125" s="5" t="s">
        <v>95</v>
      </c>
      <c r="B125" s="3">
        <v>501099.72</v>
      </c>
    </row>
    <row r="126" spans="1:2" x14ac:dyDescent="0.35">
      <c r="A126" s="5" t="s">
        <v>291</v>
      </c>
      <c r="B126" s="3">
        <v>39152.28</v>
      </c>
    </row>
    <row r="127" spans="1:2" x14ac:dyDescent="0.35">
      <c r="A127" s="5" t="s">
        <v>217</v>
      </c>
      <c r="B127" s="3">
        <v>488247.72000000003</v>
      </c>
    </row>
    <row r="128" spans="1:2" x14ac:dyDescent="0.35">
      <c r="A128" s="5" t="s">
        <v>66</v>
      </c>
      <c r="B128" s="3">
        <v>369326.04000000004</v>
      </c>
    </row>
    <row r="129" spans="1:2" x14ac:dyDescent="0.35">
      <c r="A129" s="5" t="s">
        <v>201</v>
      </c>
      <c r="B129" s="3">
        <v>561130.56000000006</v>
      </c>
    </row>
    <row r="130" spans="1:2" x14ac:dyDescent="0.35">
      <c r="A130" s="5" t="s">
        <v>243</v>
      </c>
      <c r="B130" s="3">
        <v>730728.95999999996</v>
      </c>
    </row>
    <row r="131" spans="1:2" x14ac:dyDescent="0.35">
      <c r="A131" s="5" t="s">
        <v>124</v>
      </c>
      <c r="B131" s="3">
        <v>373908.72</v>
      </c>
    </row>
    <row r="132" spans="1:2" x14ac:dyDescent="0.35">
      <c r="A132" s="5" t="s">
        <v>381</v>
      </c>
      <c r="B132" s="3">
        <v>38890.92</v>
      </c>
    </row>
    <row r="133" spans="1:2" x14ac:dyDescent="0.35">
      <c r="A133" s="5" t="s">
        <v>670</v>
      </c>
      <c r="B133" s="3">
        <v>240040.68</v>
      </c>
    </row>
    <row r="134" spans="1:2" x14ac:dyDescent="0.35">
      <c r="A134" s="5" t="s">
        <v>340</v>
      </c>
      <c r="B134" s="3">
        <v>61764.36</v>
      </c>
    </row>
    <row r="135" spans="1:2" x14ac:dyDescent="0.35">
      <c r="A135" s="5" t="s">
        <v>68</v>
      </c>
      <c r="B135" s="3">
        <v>423310.68</v>
      </c>
    </row>
    <row r="136" spans="1:2" x14ac:dyDescent="0.35">
      <c r="A136" s="5" t="s">
        <v>582</v>
      </c>
      <c r="B136" s="3">
        <v>95230.92</v>
      </c>
    </row>
    <row r="137" spans="1:2" x14ac:dyDescent="0.35">
      <c r="A137" s="5" t="s">
        <v>486</v>
      </c>
      <c r="B137" s="3">
        <v>317911.67999999999</v>
      </c>
    </row>
    <row r="138" spans="1:2" x14ac:dyDescent="0.35">
      <c r="A138" s="5" t="s">
        <v>597</v>
      </c>
      <c r="B138" s="3">
        <v>50711.4</v>
      </c>
    </row>
    <row r="139" spans="1:2" x14ac:dyDescent="0.35">
      <c r="A139" s="5" t="s">
        <v>311</v>
      </c>
      <c r="B139" s="3">
        <v>25690.560000000001</v>
      </c>
    </row>
    <row r="140" spans="1:2" x14ac:dyDescent="0.35">
      <c r="A140" s="5" t="s">
        <v>39</v>
      </c>
      <c r="B140" s="3">
        <v>281621.28000000003</v>
      </c>
    </row>
    <row r="141" spans="1:2" x14ac:dyDescent="0.35">
      <c r="A141" s="5" t="s">
        <v>506</v>
      </c>
      <c r="B141" s="3">
        <v>36838.080000000002</v>
      </c>
    </row>
    <row r="142" spans="1:2" x14ac:dyDescent="0.35">
      <c r="A142" s="5" t="s">
        <v>454</v>
      </c>
      <c r="B142" s="3">
        <v>94051.08</v>
      </c>
    </row>
    <row r="143" spans="1:2" x14ac:dyDescent="0.35">
      <c r="A143" s="5" t="s">
        <v>554</v>
      </c>
      <c r="B143" s="3">
        <v>259974.83999999997</v>
      </c>
    </row>
    <row r="144" spans="1:2" x14ac:dyDescent="0.35">
      <c r="A144" s="5" t="s">
        <v>263</v>
      </c>
      <c r="B144" s="3">
        <v>279632.76</v>
      </c>
    </row>
    <row r="145" spans="1:2" x14ac:dyDescent="0.35">
      <c r="A145" s="5" t="s">
        <v>227</v>
      </c>
      <c r="B145" s="3">
        <v>13649.28</v>
      </c>
    </row>
    <row r="146" spans="1:2" x14ac:dyDescent="0.35">
      <c r="A146" s="5" t="s">
        <v>106</v>
      </c>
      <c r="B146" s="3">
        <v>353510.16</v>
      </c>
    </row>
    <row r="147" spans="1:2" x14ac:dyDescent="0.35">
      <c r="A147" s="5" t="s">
        <v>16</v>
      </c>
      <c r="B147" s="3">
        <v>258354.36</v>
      </c>
    </row>
    <row r="148" spans="1:2" x14ac:dyDescent="0.35">
      <c r="A148" s="5" t="s">
        <v>355</v>
      </c>
      <c r="B148" s="3">
        <v>91955.16</v>
      </c>
    </row>
    <row r="149" spans="1:2" x14ac:dyDescent="0.35">
      <c r="A149" s="5" t="s">
        <v>260</v>
      </c>
      <c r="B149" s="3">
        <v>553932</v>
      </c>
    </row>
    <row r="150" spans="1:2" x14ac:dyDescent="0.35">
      <c r="A150" s="5" t="s">
        <v>86</v>
      </c>
      <c r="B150" s="3">
        <v>449997.11999999994</v>
      </c>
    </row>
    <row r="151" spans="1:2" x14ac:dyDescent="0.35">
      <c r="A151" s="5" t="s">
        <v>475</v>
      </c>
      <c r="B151" s="3">
        <v>265534.44</v>
      </c>
    </row>
    <row r="152" spans="1:2" x14ac:dyDescent="0.35">
      <c r="A152" s="5" t="s">
        <v>162</v>
      </c>
      <c r="B152" s="3">
        <v>519635.52</v>
      </c>
    </row>
    <row r="153" spans="1:2" x14ac:dyDescent="0.35">
      <c r="A153" s="5" t="s">
        <v>411</v>
      </c>
      <c r="B153" s="3">
        <v>202709.04</v>
      </c>
    </row>
    <row r="154" spans="1:2" x14ac:dyDescent="0.35">
      <c r="A154" s="5" t="s">
        <v>41</v>
      </c>
      <c r="B154" s="3">
        <v>432823.8</v>
      </c>
    </row>
    <row r="155" spans="1:2" x14ac:dyDescent="0.35">
      <c r="A155" s="5" t="s">
        <v>212</v>
      </c>
      <c r="B155" s="3">
        <v>231524.28</v>
      </c>
    </row>
    <row r="156" spans="1:2" x14ac:dyDescent="0.35">
      <c r="A156" s="5" t="s">
        <v>333</v>
      </c>
      <c r="B156" s="3">
        <v>100180.56</v>
      </c>
    </row>
    <row r="157" spans="1:2" x14ac:dyDescent="0.35">
      <c r="A157" s="5" t="s">
        <v>394</v>
      </c>
      <c r="B157" s="3">
        <v>321546.83999999997</v>
      </c>
    </row>
    <row r="158" spans="1:2" x14ac:dyDescent="0.35">
      <c r="A158" s="5" t="s">
        <v>467</v>
      </c>
      <c r="B158" s="3">
        <v>167546.28</v>
      </c>
    </row>
    <row r="159" spans="1:2" x14ac:dyDescent="0.35">
      <c r="A159" s="5" t="s">
        <v>357</v>
      </c>
      <c r="B159" s="3">
        <v>108151.79999999999</v>
      </c>
    </row>
    <row r="160" spans="1:2" x14ac:dyDescent="0.35">
      <c r="A160" s="5" t="s">
        <v>405</v>
      </c>
      <c r="B160" s="3">
        <v>141729.96</v>
      </c>
    </row>
    <row r="161" spans="1:2" x14ac:dyDescent="0.35">
      <c r="A161" s="5" t="s">
        <v>433</v>
      </c>
      <c r="B161" s="3">
        <v>315784.44</v>
      </c>
    </row>
    <row r="162" spans="1:2" x14ac:dyDescent="0.35">
      <c r="A162" s="5" t="s">
        <v>307</v>
      </c>
      <c r="B162" s="3">
        <v>456723.48</v>
      </c>
    </row>
    <row r="163" spans="1:2" x14ac:dyDescent="0.35">
      <c r="A163" s="5" t="s">
        <v>142</v>
      </c>
      <c r="B163" s="3">
        <v>323750.40000000002</v>
      </c>
    </row>
    <row r="164" spans="1:2" x14ac:dyDescent="0.35">
      <c r="A164" s="5" t="s">
        <v>286</v>
      </c>
      <c r="B164" s="3">
        <v>140831.63999999998</v>
      </c>
    </row>
    <row r="165" spans="1:2" x14ac:dyDescent="0.35">
      <c r="A165" s="5" t="s">
        <v>241</v>
      </c>
      <c r="B165" s="3">
        <v>819089.39999999991</v>
      </c>
    </row>
    <row r="166" spans="1:2" x14ac:dyDescent="0.35">
      <c r="A166" s="5" t="s">
        <v>196</v>
      </c>
      <c r="B166" s="3">
        <v>191935.08</v>
      </c>
    </row>
    <row r="167" spans="1:2" x14ac:dyDescent="0.35">
      <c r="A167" s="5" t="s">
        <v>282</v>
      </c>
      <c r="B167" s="3">
        <v>237943.2</v>
      </c>
    </row>
    <row r="168" spans="1:2" x14ac:dyDescent="0.35">
      <c r="A168" s="5" t="s">
        <v>122</v>
      </c>
      <c r="B168" s="3">
        <v>348457.31999999995</v>
      </c>
    </row>
    <row r="169" spans="1:2" x14ac:dyDescent="0.35">
      <c r="A169" s="5" t="s">
        <v>257</v>
      </c>
      <c r="B169" s="3">
        <v>204864.84000000003</v>
      </c>
    </row>
    <row r="170" spans="1:2" x14ac:dyDescent="0.35">
      <c r="A170" s="5" t="s">
        <v>429</v>
      </c>
      <c r="B170" s="3">
        <v>295958.28000000003</v>
      </c>
    </row>
    <row r="171" spans="1:2" x14ac:dyDescent="0.35">
      <c r="A171" s="5" t="s">
        <v>111</v>
      </c>
      <c r="B171" s="3">
        <v>218909.04</v>
      </c>
    </row>
    <row r="172" spans="1:2" x14ac:dyDescent="0.35">
      <c r="A172" s="5" t="s">
        <v>50</v>
      </c>
      <c r="B172" s="3">
        <v>439263</v>
      </c>
    </row>
    <row r="173" spans="1:2" x14ac:dyDescent="0.35">
      <c r="A173" s="5" t="s">
        <v>289</v>
      </c>
      <c r="B173" s="3">
        <v>81028.799999999988</v>
      </c>
    </row>
    <row r="174" spans="1:2" x14ac:dyDescent="0.35">
      <c r="A174" s="5" t="s">
        <v>280</v>
      </c>
      <c r="B174" s="3">
        <v>421241.16000000003</v>
      </c>
    </row>
    <row r="175" spans="1:2" x14ac:dyDescent="0.35">
      <c r="A175" s="5" t="s">
        <v>270</v>
      </c>
      <c r="B175" s="3">
        <v>453408.36</v>
      </c>
    </row>
    <row r="176" spans="1:2" x14ac:dyDescent="0.35">
      <c r="A176" s="5" t="s">
        <v>173</v>
      </c>
      <c r="B176" s="3">
        <v>242153.39999999997</v>
      </c>
    </row>
    <row r="177" spans="1:2" x14ac:dyDescent="0.35">
      <c r="A177" s="5" t="s">
        <v>712</v>
      </c>
      <c r="B177" s="3">
        <v>49862089.919999987</v>
      </c>
    </row>
  </sheetData>
  <pageMargins left="0.7" right="0.7" top="0.78740157499999996" bottom="0.78740157499999996"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891C-9B24-434E-91F2-5AE0422DFFFD}">
  <dimension ref="A3:B8"/>
  <sheetViews>
    <sheetView workbookViewId="0">
      <selection activeCell="N19" sqref="N19"/>
    </sheetView>
  </sheetViews>
  <sheetFormatPr baseColWidth="10" defaultRowHeight="14.5" x14ac:dyDescent="0.35"/>
  <cols>
    <col min="1" max="1" width="21.54296875" bestFit="1" customWidth="1"/>
    <col min="2" max="2" width="27" bestFit="1" customWidth="1"/>
  </cols>
  <sheetData>
    <row r="3" spans="1:2" x14ac:dyDescent="0.35">
      <c r="A3" s="4" t="s">
        <v>711</v>
      </c>
      <c r="B3" t="s">
        <v>720</v>
      </c>
    </row>
    <row r="4" spans="1:2" x14ac:dyDescent="0.35">
      <c r="A4" s="5" t="s">
        <v>19</v>
      </c>
      <c r="B4" s="3">
        <v>12078892.919999992</v>
      </c>
    </row>
    <row r="5" spans="1:2" x14ac:dyDescent="0.35">
      <c r="A5" s="5" t="s">
        <v>14</v>
      </c>
      <c r="B5" s="3">
        <v>11796009.959999999</v>
      </c>
    </row>
    <row r="6" spans="1:2" x14ac:dyDescent="0.35">
      <c r="A6" s="5" t="s">
        <v>29</v>
      </c>
      <c r="B6" s="3">
        <v>13582922.280000001</v>
      </c>
    </row>
    <row r="7" spans="1:2" x14ac:dyDescent="0.35">
      <c r="A7" s="5" t="s">
        <v>33</v>
      </c>
      <c r="B7" s="3">
        <v>12404264.760000002</v>
      </c>
    </row>
    <row r="8" spans="1:2" x14ac:dyDescent="0.35">
      <c r="A8" s="5" t="s">
        <v>712</v>
      </c>
      <c r="B8" s="3">
        <v>49862089.920000002</v>
      </c>
    </row>
  </sheetData>
  <pageMargins left="0.7" right="0.7" top="0.78740157499999996" bottom="0.78740157499999996"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2614-E12F-4F1A-849C-5E78CBF666A7}">
  <dimension ref="A3:B12"/>
  <sheetViews>
    <sheetView workbookViewId="0">
      <selection activeCell="D31" sqref="D31"/>
    </sheetView>
  </sheetViews>
  <sheetFormatPr baseColWidth="10" defaultRowHeight="14.5" x14ac:dyDescent="0.35"/>
  <cols>
    <col min="1" max="1" width="21.54296875" bestFit="1" customWidth="1"/>
    <col min="2" max="2" width="28.1796875" bestFit="1" customWidth="1"/>
  </cols>
  <sheetData>
    <row r="3" spans="1:2" x14ac:dyDescent="0.35">
      <c r="A3" s="4" t="s">
        <v>711</v>
      </c>
      <c r="B3" t="s">
        <v>719</v>
      </c>
    </row>
    <row r="4" spans="1:2" x14ac:dyDescent="0.35">
      <c r="A4" s="5" t="s">
        <v>17</v>
      </c>
      <c r="B4" s="3">
        <v>470179.82000000007</v>
      </c>
    </row>
    <row r="5" spans="1:2" x14ac:dyDescent="0.35">
      <c r="A5" s="5" t="s">
        <v>27</v>
      </c>
      <c r="B5" s="3">
        <v>537518.64999999991</v>
      </c>
    </row>
    <row r="6" spans="1:2" x14ac:dyDescent="0.35">
      <c r="A6" s="5" t="s">
        <v>12</v>
      </c>
      <c r="B6" s="3">
        <v>556111.89</v>
      </c>
    </row>
    <row r="7" spans="1:2" x14ac:dyDescent="0.35">
      <c r="A7" s="5" t="s">
        <v>31</v>
      </c>
      <c r="B7" s="3">
        <v>430541.58999999997</v>
      </c>
    </row>
    <row r="8" spans="1:2" x14ac:dyDescent="0.35">
      <c r="A8" s="5" t="s">
        <v>24</v>
      </c>
      <c r="B8" s="3">
        <v>636647.28000000026</v>
      </c>
    </row>
    <row r="9" spans="1:2" x14ac:dyDescent="0.35">
      <c r="A9" s="5" t="s">
        <v>44</v>
      </c>
      <c r="B9" s="3">
        <v>515696.0500000001</v>
      </c>
    </row>
    <row r="10" spans="1:2" x14ac:dyDescent="0.35">
      <c r="A10" s="5" t="s">
        <v>21</v>
      </c>
      <c r="B10" s="3">
        <v>440725.07999999996</v>
      </c>
    </row>
    <row r="11" spans="1:2" x14ac:dyDescent="0.35">
      <c r="A11" s="5" t="s">
        <v>56</v>
      </c>
      <c r="B11" s="3">
        <v>567753.84000000008</v>
      </c>
    </row>
    <row r="12" spans="1:2" x14ac:dyDescent="0.35">
      <c r="A12" s="5" t="s">
        <v>712</v>
      </c>
      <c r="B12" s="3">
        <v>4155174.2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Rent_Roll_Data</vt:lpstr>
      <vt:lpstr>1_KPIs_Pivot</vt:lpstr>
      <vt:lpstr>Dashboard</vt:lpstr>
      <vt:lpstr>2_Portfolio_An_Rent</vt:lpstr>
      <vt:lpstr>3_Occupancy by Property</vt:lpstr>
      <vt:lpstr>4_Lease_Expiry_Schedule</vt:lpstr>
      <vt:lpstr>Top_Tenants</vt:lpstr>
      <vt:lpstr>An_RENT_pivot</vt:lpstr>
      <vt:lpstr>Monatly_Rent_Pivot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Natalia Archipenko</cp:lastModifiedBy>
  <dcterms:created xsi:type="dcterms:W3CDTF">2026-02-20T11:18:45Z</dcterms:created>
  <dcterms:modified xsi:type="dcterms:W3CDTF">2026-03-12T09:53:14Z</dcterms:modified>
</cp:coreProperties>
</file>